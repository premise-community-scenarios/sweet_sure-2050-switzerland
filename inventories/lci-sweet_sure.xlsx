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sweet_sure-2050-switzerland/inventories/"/>
    </mc:Choice>
  </mc:AlternateContent>
  <xr:revisionPtr revIDLastSave="0" documentId="13_ncr:1_{9634B431-0EB6-D549-BDA6-71D2490A93EB}" xr6:coauthVersionLast="47" xr6:coauthVersionMax="47" xr10:uidLastSave="{00000000-0000-0000-0000-000000000000}"/>
  <bookViews>
    <workbookView xWindow="42740" yWindow="-580" windowWidth="25800" windowHeight="18880" xr2:uid="{00000000-000D-0000-FFFF-FFFF00000000}"/>
  </bookViews>
  <sheets>
    <sheet name="lci" sheetId="6" r:id="rId1"/>
    <sheet name="Parameters" sheetId="2" r:id="rId2"/>
  </sheets>
  <definedNames>
    <definedName name="_xlnm._FilterDatabase" localSheetId="0" hidden="1">lci!$A$1:$O$2320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K1870" i="6" l="1"/>
  <c r="J1870" i="6"/>
  <c r="B1870" i="6"/>
  <c r="I1870" i="6"/>
  <c r="I2007" i="6"/>
  <c r="K2007" i="6" s="1"/>
  <c r="I2038" i="6"/>
  <c r="J2039" i="6"/>
  <c r="I2039" i="6"/>
  <c r="J2073" i="6"/>
  <c r="I2073" i="6"/>
  <c r="J2074" i="6"/>
  <c r="I2074" i="6"/>
  <c r="H2074" i="6"/>
  <c r="J2075" i="6"/>
  <c r="I2075" i="6"/>
  <c r="H2075" i="6"/>
  <c r="J2076" i="6"/>
  <c r="I2076" i="6"/>
  <c r="H2076" i="6"/>
  <c r="J2077" i="6"/>
  <c r="I2077" i="6"/>
  <c r="J2078" i="6"/>
  <c r="I2078" i="6"/>
  <c r="H2077" i="6"/>
  <c r="J2095" i="6"/>
  <c r="I2095" i="6"/>
  <c r="H2095" i="6"/>
  <c r="J2094" i="6"/>
  <c r="I2094" i="6"/>
  <c r="H2094" i="6"/>
  <c r="J2093" i="6"/>
  <c r="I2093" i="6"/>
  <c r="H2093" i="6"/>
  <c r="J2096" i="6"/>
  <c r="I2096" i="6"/>
  <c r="H2096" i="6"/>
  <c r="J2097" i="6"/>
  <c r="I2097" i="6"/>
  <c r="L2121" i="6"/>
  <c r="K2121" i="6"/>
  <c r="L2136" i="6"/>
  <c r="K2136" i="6"/>
  <c r="K2202" i="6"/>
  <c r="J2202" i="6"/>
  <c r="I2202" i="6"/>
  <c r="K2254" i="6"/>
  <c r="J2254" i="6"/>
  <c r="I2254" i="6"/>
  <c r="K2255" i="6"/>
  <c r="J2255" i="6"/>
  <c r="I2255" i="6"/>
  <c r="I2256" i="6"/>
  <c r="K2256" i="6"/>
  <c r="J2256" i="6"/>
  <c r="I2257" i="6"/>
  <c r="K2257" i="6"/>
  <c r="J2257" i="6"/>
  <c r="K2273" i="6"/>
  <c r="J2273" i="6"/>
  <c r="I2273" i="6"/>
  <c r="K2274" i="6"/>
  <c r="J2274" i="6"/>
  <c r="I2274" i="6"/>
  <c r="K2275" i="6"/>
  <c r="J2275" i="6"/>
  <c r="I2275" i="6"/>
  <c r="K2277" i="6"/>
  <c r="J2277" i="6"/>
  <c r="K2278" i="6"/>
  <c r="J2278" i="6"/>
  <c r="J2279" i="6"/>
  <c r="K2279" i="6"/>
  <c r="B2279" i="6"/>
  <c r="I2277" i="6"/>
  <c r="K2295" i="6"/>
  <c r="J2295" i="6"/>
  <c r="I2295" i="6"/>
  <c r="K2296" i="6"/>
  <c r="J2296" i="6"/>
  <c r="K1897" i="6"/>
  <c r="J1897" i="6"/>
  <c r="I1897" i="6"/>
  <c r="J1899" i="6"/>
  <c r="K1899" i="6"/>
  <c r="I1899" i="6"/>
  <c r="J1934" i="6"/>
  <c r="K1934" i="6"/>
  <c r="I1934" i="6"/>
  <c r="K1932" i="6"/>
  <c r="J1932" i="6"/>
  <c r="I1932" i="6"/>
  <c r="J2038" i="6"/>
  <c r="H2038" i="6"/>
  <c r="J2037" i="6"/>
  <c r="I2037" i="6"/>
  <c r="H2037" i="6"/>
  <c r="J2036" i="6"/>
  <c r="I2036" i="6"/>
  <c r="H2036" i="6"/>
  <c r="J2035" i="6"/>
  <c r="I2035" i="6"/>
  <c r="H2035" i="6"/>
  <c r="K1931" i="6"/>
  <c r="J1931" i="6"/>
  <c r="B1931" i="6"/>
  <c r="I1931" i="6"/>
  <c r="K1871" i="6"/>
  <c r="J1871" i="6"/>
  <c r="I1896" i="6"/>
  <c r="K1896" i="6"/>
  <c r="J1896" i="6"/>
  <c r="B1896" i="6"/>
  <c r="I1898" i="6"/>
  <c r="K1898" i="6"/>
  <c r="J1898" i="6"/>
  <c r="B1898" i="6"/>
  <c r="K1901" i="6"/>
  <c r="K1900" i="6"/>
  <c r="J1901" i="6"/>
  <c r="J1900" i="6"/>
  <c r="I1901" i="6"/>
  <c r="B1901" i="6"/>
  <c r="B1613" i="6"/>
  <c r="G2355" i="6"/>
  <c r="E2355" i="6"/>
  <c r="A2355" i="6"/>
  <c r="G2343" i="6"/>
  <c r="E2343" i="6"/>
  <c r="A2343" i="6"/>
  <c r="G2331" i="6"/>
  <c r="E2331" i="6"/>
  <c r="A2331" i="6"/>
  <c r="J2007" i="6" l="1"/>
  <c r="I2279" i="6"/>
  <c r="K2258" i="6"/>
  <c r="J2258" i="6"/>
  <c r="B2258" i="6"/>
  <c r="I2258" i="6" s="1"/>
  <c r="B2136" i="6"/>
  <c r="J2136" i="6" s="1"/>
  <c r="B2121" i="6"/>
  <c r="J2121" i="6" s="1"/>
  <c r="B2078" i="6" l="1"/>
  <c r="H2078" i="6" s="1"/>
  <c r="B2097" i="6"/>
  <c r="H2097" i="6" s="1"/>
  <c r="B2039" i="6"/>
  <c r="H2039" i="6" s="1"/>
  <c r="K1935" i="6"/>
  <c r="J1935" i="6"/>
  <c r="B1935" i="6"/>
  <c r="I1935" i="6" s="1"/>
  <c r="B1900" i="6"/>
  <c r="I1900" i="6" s="1"/>
  <c r="B1377" i="6"/>
  <c r="B1639" i="6"/>
  <c r="B1588" i="6"/>
  <c r="B1510" i="6"/>
  <c r="B1577" i="6"/>
  <c r="B1499" i="6"/>
  <c r="B1256" i="6"/>
  <c r="B782" i="6"/>
  <c r="B1098" i="6"/>
  <c r="B940" i="6"/>
  <c r="B624" i="6"/>
  <c r="B171" i="6"/>
  <c r="B473" i="6"/>
  <c r="B322" i="6"/>
  <c r="B1354" i="6"/>
  <c r="B1488" i="6"/>
  <c r="B1466" i="6"/>
  <c r="B1740" i="6"/>
  <c r="B1729" i="6"/>
  <c r="B1751" i="6"/>
  <c r="B1532" i="6"/>
  <c r="B1422" i="6"/>
  <c r="B2107" i="6"/>
  <c r="B1871" i="6"/>
  <c r="I1871" i="6" s="1"/>
  <c r="K1937" i="6"/>
  <c r="J1937" i="6"/>
  <c r="B1937" i="6"/>
  <c r="K1936" i="6"/>
  <c r="J1936" i="6"/>
  <c r="B1936" i="6"/>
  <c r="I1936" i="6" s="1"/>
  <c r="B2296" i="6"/>
  <c r="I2296" i="6" s="1"/>
  <c r="B2278" i="6"/>
  <c r="I2278" i="6" s="1"/>
  <c r="K2276" i="6"/>
  <c r="J2276" i="6"/>
  <c r="B2276" i="6"/>
  <c r="I2276" i="6" s="1"/>
  <c r="L2133" i="6" l="1"/>
  <c r="I1937" i="6"/>
  <c r="B2133" i="6"/>
  <c r="J2133" i="6" s="1"/>
  <c r="K2133" i="6"/>
  <c r="B2073" i="6"/>
  <c r="H2073" i="6" s="1"/>
  <c r="J2072" i="6"/>
  <c r="I2072" i="6"/>
  <c r="B2072" i="6"/>
  <c r="H2072" i="6" s="1"/>
  <c r="K2006" i="6"/>
  <c r="J2006" i="6"/>
  <c r="B2006" i="6"/>
  <c r="I2006" i="6" s="1"/>
  <c r="B19" i="6" l="1"/>
  <c r="B1916" i="6"/>
  <c r="B1915" i="6"/>
  <c r="B1914" i="6"/>
  <c r="D1912" i="6"/>
  <c r="C1912" i="6"/>
  <c r="A1912" i="6"/>
  <c r="B1905" i="6"/>
  <c r="H1912" i="6" s="1"/>
  <c r="B2294" i="6"/>
  <c r="B2272" i="6"/>
  <c r="B2204" i="6"/>
  <c r="B2147" i="6"/>
  <c r="G2146" i="6"/>
  <c r="D2146" i="6"/>
  <c r="C2146" i="6"/>
  <c r="A2146" i="6"/>
  <c r="B2135" i="6"/>
  <c r="B2119" i="6"/>
  <c r="B2092" i="6"/>
  <c r="B2071" i="6"/>
  <c r="B1928" i="6"/>
  <c r="B2040" i="6"/>
  <c r="H2040" i="6" s="1"/>
  <c r="B2034" i="6"/>
  <c r="B2005" i="6"/>
  <c r="B1952" i="6"/>
  <c r="B1961" i="6" s="1"/>
  <c r="L2134" i="6" l="1"/>
  <c r="B2134" i="6"/>
  <c r="J2134" i="6" s="1"/>
  <c r="K2134" i="6"/>
  <c r="J2040" i="6"/>
  <c r="I2040" i="6"/>
  <c r="B1895" i="6" l="1"/>
  <c r="B1930" i="6"/>
  <c r="G1927" i="6"/>
  <c r="D1927" i="6"/>
  <c r="C1927" i="6"/>
  <c r="A1927" i="6"/>
  <c r="G1894" i="6"/>
  <c r="D1894" i="6"/>
  <c r="C1894" i="6"/>
  <c r="A1894" i="6"/>
  <c r="B1869" i="6"/>
  <c r="G1868" i="6"/>
  <c r="D1868" i="6"/>
  <c r="C1868" i="6"/>
  <c r="A1868" i="6"/>
  <c r="B1814" i="6"/>
  <c r="B1813" i="6"/>
  <c r="G1812" i="6"/>
  <c r="D1812" i="6"/>
  <c r="C1812" i="6"/>
  <c r="A1812" i="6"/>
  <c r="B1764" i="6"/>
  <c r="B1763" i="6"/>
  <c r="B1773" i="6" s="1"/>
  <c r="G1762" i="6"/>
  <c r="D1762" i="6"/>
  <c r="C1762" i="6"/>
  <c r="A1762" i="6"/>
  <c r="B1929" i="6" l="1"/>
  <c r="A1728" i="6" l="1"/>
  <c r="C1728" i="6"/>
  <c r="D1728" i="6"/>
  <c r="H1728" i="6"/>
  <c r="A1739" i="6"/>
  <c r="C1739" i="6"/>
  <c r="D1739" i="6"/>
  <c r="H1739" i="6"/>
  <c r="A1750" i="6"/>
  <c r="C1750" i="6"/>
  <c r="D1750" i="6"/>
  <c r="H1750" i="6"/>
  <c r="B1706" i="6"/>
  <c r="B1695" i="6"/>
  <c r="B1673" i="6"/>
  <c r="B1662" i="6"/>
  <c r="B1718" i="6"/>
  <c r="H1717" i="6"/>
  <c r="D1717" i="6"/>
  <c r="C1717" i="6"/>
  <c r="A1717" i="6"/>
  <c r="H1705" i="6"/>
  <c r="D1705" i="6"/>
  <c r="C1705" i="6"/>
  <c r="A1705" i="6"/>
  <c r="H1694" i="6"/>
  <c r="D1694" i="6"/>
  <c r="C1694" i="6"/>
  <c r="A1694" i="6"/>
  <c r="H1683" i="6"/>
  <c r="D1683" i="6"/>
  <c r="C1683" i="6"/>
  <c r="A1683" i="6"/>
  <c r="H1672" i="6"/>
  <c r="D1672" i="6"/>
  <c r="C1672" i="6"/>
  <c r="A1672" i="6"/>
  <c r="H1661" i="6"/>
  <c r="D1661" i="6"/>
  <c r="C1661" i="6"/>
  <c r="A1661" i="6"/>
  <c r="B1651" i="6"/>
  <c r="H1650" i="6"/>
  <c r="D1650" i="6"/>
  <c r="C1650" i="6"/>
  <c r="A1650" i="6"/>
  <c r="H1638" i="6"/>
  <c r="D1638" i="6"/>
  <c r="C1638" i="6"/>
  <c r="A1638" i="6"/>
  <c r="B1627" i="6"/>
  <c r="H1626" i="6"/>
  <c r="D1626" i="6"/>
  <c r="C1626" i="6"/>
  <c r="A1626" i="6"/>
  <c r="B1455" i="6"/>
  <c r="H1454" i="6"/>
  <c r="D1454" i="6"/>
  <c r="C1454" i="6"/>
  <c r="A1454" i="6"/>
  <c r="B1521" i="6" l="1"/>
  <c r="H1609" i="6"/>
  <c r="D1609" i="6"/>
  <c r="C1609" i="6"/>
  <c r="A1609" i="6"/>
  <c r="B1599" i="6"/>
  <c r="H1598" i="6"/>
  <c r="D1598" i="6"/>
  <c r="C1598" i="6"/>
  <c r="A1598" i="6"/>
  <c r="H1587" i="6"/>
  <c r="D1587" i="6"/>
  <c r="C1587" i="6"/>
  <c r="A1587" i="6"/>
  <c r="H1576" i="6"/>
  <c r="D1576" i="6"/>
  <c r="C1576" i="6"/>
  <c r="A1576" i="6"/>
  <c r="B1565" i="6"/>
  <c r="H1564" i="6"/>
  <c r="D1564" i="6"/>
  <c r="C1564" i="6"/>
  <c r="A1564" i="6"/>
  <c r="B1554" i="6"/>
  <c r="H1553" i="6"/>
  <c r="D1553" i="6"/>
  <c r="C1553" i="6"/>
  <c r="A1553" i="6"/>
  <c r="B1543" i="6"/>
  <c r="H1542" i="6"/>
  <c r="D1542" i="6"/>
  <c r="C1542" i="6"/>
  <c r="A1542" i="6"/>
  <c r="H1531" i="6"/>
  <c r="D1531" i="6"/>
  <c r="C1531" i="6"/>
  <c r="A1531" i="6"/>
  <c r="H1520" i="6"/>
  <c r="D1520" i="6"/>
  <c r="C1520" i="6"/>
  <c r="A1520" i="6"/>
  <c r="H1509" i="6"/>
  <c r="D1509" i="6"/>
  <c r="C1509" i="6"/>
  <c r="A1509" i="6"/>
  <c r="H1498" i="6"/>
  <c r="D1498" i="6"/>
  <c r="C1498" i="6"/>
  <c r="A1498" i="6"/>
  <c r="H1487" i="6"/>
  <c r="D1487" i="6"/>
  <c r="C1487" i="6"/>
  <c r="A1487" i="6"/>
  <c r="B1477" i="6"/>
  <c r="H1476" i="6"/>
  <c r="D1476" i="6"/>
  <c r="C1476" i="6"/>
  <c r="A1476" i="6"/>
  <c r="H1465" i="6"/>
  <c r="D1465" i="6"/>
  <c r="C1465" i="6"/>
  <c r="A1465" i="6"/>
  <c r="B1444" i="6"/>
  <c r="B1411" i="6"/>
  <c r="H1443" i="6"/>
  <c r="D1443" i="6"/>
  <c r="C1443" i="6"/>
  <c r="A1443" i="6"/>
  <c r="H1432" i="6"/>
  <c r="D1432" i="6"/>
  <c r="C1432" i="6"/>
  <c r="A1432" i="6"/>
  <c r="H1421" i="6"/>
  <c r="D1421" i="6"/>
  <c r="C1421" i="6"/>
  <c r="A1421" i="6"/>
  <c r="B1400" i="6"/>
  <c r="H1410" i="6"/>
  <c r="D1410" i="6"/>
  <c r="C1410" i="6"/>
  <c r="A1410" i="6"/>
  <c r="B1389" i="6"/>
  <c r="B1365" i="6"/>
  <c r="H1399" i="6"/>
  <c r="D1399" i="6"/>
  <c r="C1399" i="6"/>
  <c r="A1399" i="6"/>
  <c r="H1388" i="6"/>
  <c r="D1388" i="6"/>
  <c r="C1388" i="6"/>
  <c r="A1388" i="6"/>
  <c r="H1376" i="6"/>
  <c r="D1376" i="6"/>
  <c r="C1376" i="6"/>
  <c r="A1376" i="6"/>
  <c r="H1364" i="6"/>
  <c r="D1364" i="6"/>
  <c r="C1364" i="6"/>
  <c r="A1364" i="6"/>
  <c r="H1352" i="6" l="1"/>
  <c r="D1352" i="6"/>
  <c r="C1352" i="6"/>
  <c r="A1352" i="6"/>
  <c r="H1339" i="6"/>
  <c r="D1339" i="6"/>
  <c r="C1339" i="6"/>
  <c r="A1339" i="6"/>
  <c r="H1327" i="6"/>
  <c r="D1327" i="6"/>
  <c r="C1327" i="6"/>
  <c r="A1327" i="6"/>
  <c r="H1303" i="6"/>
  <c r="D1303" i="6"/>
  <c r="C1303" i="6"/>
  <c r="A1303" i="6"/>
  <c r="H1315" i="6"/>
  <c r="D1315" i="6"/>
  <c r="C1315" i="6"/>
  <c r="A1315" i="6"/>
  <c r="H1291" i="6"/>
  <c r="D1291" i="6"/>
  <c r="C1291" i="6"/>
  <c r="A1291" i="6"/>
  <c r="H1279" i="6"/>
  <c r="D1279" i="6"/>
  <c r="C1279" i="6"/>
  <c r="A1279" i="6"/>
  <c r="B1106" i="6"/>
  <c r="B948" i="6"/>
  <c r="B791" i="6"/>
  <c r="B633" i="6"/>
  <c r="B481" i="6"/>
  <c r="B330" i="6"/>
  <c r="B179" i="6"/>
  <c r="B28" i="6"/>
  <c r="B1111" i="6"/>
  <c r="B1146" i="6" s="1"/>
  <c r="B953" i="6"/>
  <c r="B988" i="6" s="1"/>
  <c r="B796" i="6"/>
  <c r="B638" i="6"/>
  <c r="B622" i="6"/>
  <c r="B623" i="6" s="1"/>
  <c r="B471" i="6"/>
  <c r="B472" i="6" s="1"/>
  <c r="A184" i="6"/>
  <c r="A334" i="6"/>
  <c r="A485" i="6"/>
  <c r="A637" i="6"/>
  <c r="D1267" i="6"/>
  <c r="H1267" i="6"/>
  <c r="C1267" i="6"/>
  <c r="A1267" i="6"/>
  <c r="H334" i="6"/>
  <c r="H485" i="6"/>
  <c r="C485" i="6"/>
  <c r="C334" i="6"/>
  <c r="H1110" i="6"/>
  <c r="C1110" i="6"/>
  <c r="A1110" i="6"/>
  <c r="H952" i="6"/>
  <c r="C952" i="6"/>
  <c r="A952" i="6"/>
  <c r="H795" i="6" l="1"/>
  <c r="D795" i="6"/>
  <c r="C795" i="6"/>
  <c r="A795" i="6"/>
  <c r="H637" i="6"/>
  <c r="D637" i="6"/>
  <c r="C637" i="6"/>
  <c r="H184" i="6"/>
  <c r="D184" i="6"/>
  <c r="C184" i="6"/>
  <c r="D33" i="6"/>
  <c r="H33" i="6"/>
  <c r="C33" i="6"/>
  <c r="A33" i="6"/>
  <c r="B17" i="6"/>
  <c r="H15" i="6"/>
  <c r="C15" i="6"/>
  <c r="A15" i="6"/>
  <c r="D51" i="2"/>
  <c r="B52" i="2"/>
  <c r="B49" i="2"/>
  <c r="B89" i="2"/>
  <c r="B15" i="2" l="1"/>
  <c r="G89" i="2"/>
  <c r="B90" i="2"/>
  <c r="D90" i="2"/>
  <c r="G51" i="2"/>
  <c r="F51" i="2"/>
  <c r="D52" i="2"/>
  <c r="B37" i="2"/>
  <c r="G36" i="2"/>
  <c r="D83" i="2"/>
  <c r="B97" i="2" s="1"/>
  <c r="D82" i="2"/>
  <c r="D36" i="2"/>
  <c r="D37" i="2"/>
  <c r="F36" i="2" s="1"/>
  <c r="C60" i="2"/>
  <c r="B10" i="2"/>
  <c r="J28" i="2"/>
  <c r="B16" i="6"/>
  <c r="B18" i="6"/>
  <c r="F63" i="2"/>
  <c r="E63" i="2"/>
  <c r="H25" i="2"/>
  <c r="G25" i="2"/>
  <c r="F25" i="2"/>
  <c r="E25" i="2"/>
  <c r="D25" i="2"/>
  <c r="C25" i="2"/>
  <c r="C44" i="2"/>
  <c r="F52" i="2"/>
  <c r="G52" i="2"/>
  <c r="B34" i="2"/>
  <c r="D59" i="2"/>
  <c r="F37" i="2"/>
  <c r="G37" i="2"/>
  <c r="D97" i="2" l="1"/>
  <c r="F97" i="2" s="1"/>
  <c r="B98" i="2"/>
  <c r="D98" i="2" s="1"/>
  <c r="G97" i="2"/>
  <c r="G90" i="2"/>
  <c r="C59" i="2"/>
  <c r="D89" i="2"/>
  <c r="F98" i="2" l="1"/>
  <c r="G98" i="2"/>
  <c r="F89" i="2"/>
  <c r="F90" i="2"/>
</calcChain>
</file>

<file path=xl/sharedStrings.xml><?xml version="1.0" encoding="utf-8"?>
<sst xmlns="http://schemas.openxmlformats.org/spreadsheetml/2006/main" count="8429" uniqueCount="513">
  <si>
    <t>Activity</t>
  </si>
  <si>
    <t>location</t>
  </si>
  <si>
    <t>production amount</t>
  </si>
  <si>
    <t>reference product</t>
  </si>
  <si>
    <t>type</t>
  </si>
  <si>
    <t>process</t>
  </si>
  <si>
    <t>unit</t>
  </si>
  <si>
    <t>kilogram</t>
  </si>
  <si>
    <t>source</t>
  </si>
  <si>
    <t>comment</t>
  </si>
  <si>
    <t>Exchanges</t>
  </si>
  <si>
    <t>name</t>
  </si>
  <si>
    <t>amount</t>
  </si>
  <si>
    <t>categories</t>
  </si>
  <si>
    <t>allocation</t>
  </si>
  <si>
    <t>production</t>
  </si>
  <si>
    <t/>
  </si>
  <si>
    <t>megajoule</t>
  </si>
  <si>
    <t>technosphere</t>
  </si>
  <si>
    <t>GREET</t>
  </si>
  <si>
    <t>market for diesel, burned in agricultural machinery</t>
  </si>
  <si>
    <t>diesel, burned in agricultural machinery</t>
  </si>
  <si>
    <t>skip</t>
  </si>
  <si>
    <t>Btu to MJ</t>
  </si>
  <si>
    <t>GLO</t>
  </si>
  <si>
    <t>gallon to liter</t>
  </si>
  <si>
    <t>LHV ethanol [MJ/kg]</t>
  </si>
  <si>
    <t>biosphere</t>
  </si>
  <si>
    <t>ton kilometer</t>
  </si>
  <si>
    <t>lbs to kg</t>
  </si>
  <si>
    <t>268597 Btu per ton</t>
  </si>
  <si>
    <t>miles to km</t>
  </si>
  <si>
    <t>bushel to ton</t>
  </si>
  <si>
    <t>hectare to square meters</t>
  </si>
  <si>
    <t>kg</t>
  </si>
  <si>
    <t>Energy, gross calorific value, in biomass</t>
  </si>
  <si>
    <t>natural resource::biotic</t>
  </si>
  <si>
    <t>cubic meter</t>
  </si>
  <si>
    <t>from "wood chips from softwood forestry, spruce, sustainable forest management, DE" from ecoinvent 3.7.1</t>
  </si>
  <si>
    <t>Wood, soft, standing</t>
  </si>
  <si>
    <t>specific gravity of ethanol</t>
  </si>
  <si>
    <t>acre to square meter</t>
  </si>
  <si>
    <t>Units conversion</t>
  </si>
  <si>
    <t>Fermentation</t>
  </si>
  <si>
    <t>Willow</t>
  </si>
  <si>
    <t>Poplar</t>
  </si>
  <si>
    <t>Switchgrass</t>
  </si>
  <si>
    <t>Miscanthus</t>
  </si>
  <si>
    <t>Corn Stover</t>
  </si>
  <si>
    <t>Forest Residue</t>
  </si>
  <si>
    <t>Electricity credit: kWh per gallon of ethanol</t>
  </si>
  <si>
    <t>Ethanol yield: gallons per dry ton</t>
  </si>
  <si>
    <t>ecoinvent 3.7.1</t>
  </si>
  <si>
    <t>Market price for ethanol [USD/gallon]</t>
  </si>
  <si>
    <t>Market price for electricity [€2005/kWh]</t>
  </si>
  <si>
    <t>USD to € conversion in 2015</t>
  </si>
  <si>
    <t>Input</t>
  </si>
  <si>
    <t>Ouptuts</t>
  </si>
  <si>
    <t>Electricity</t>
  </si>
  <si>
    <t>kWh</t>
  </si>
  <si>
    <t>Turnover</t>
  </si>
  <si>
    <t>EUR_2005</t>
  </si>
  <si>
    <t>% of turnover (allocation key)</t>
  </si>
  <si>
    <t>Ethanol</t>
  </si>
  <si>
    <t>GREET inventories</t>
  </si>
  <si>
    <t>Economic allocation</t>
  </si>
  <si>
    <t>Energy allocation</t>
  </si>
  <si>
    <t>% of energy output (allocation key)</t>
  </si>
  <si>
    <t>Pereira et al. 2019 inventories</t>
  </si>
  <si>
    <t>Sugarcane</t>
  </si>
  <si>
    <t>Ethanol yield: L</t>
  </si>
  <si>
    <t>per t Sugarcane</t>
  </si>
  <si>
    <t>per t Sugarcane straw</t>
  </si>
  <si>
    <t>Electricity credit: kWh per L ethanol</t>
  </si>
  <si>
    <t>Sugarcane ethanol production</t>
  </si>
  <si>
    <t>Outputs</t>
  </si>
  <si>
    <t>Sugarcane [kg]</t>
  </si>
  <si>
    <t>Ethanol [L]</t>
  </si>
  <si>
    <t>Electricity [kWh]</t>
  </si>
  <si>
    <t>Sugarcane straw ethanol production</t>
  </si>
  <si>
    <t>Sugarcane straw [kg]</t>
  </si>
  <si>
    <t>market for transport, freight, lorry, unspecified</t>
  </si>
  <si>
    <t>transport, freight, lorry, unspecified</t>
  </si>
  <si>
    <t>Willow/Poplar/Switchgrass/Miscanthus/Corn stover/Forest residues ethanol production</t>
  </si>
  <si>
    <t>Dry willow/poplar/switchgrass/miscanthus/corn stover/forest residues</t>
  </si>
  <si>
    <t>Ethanol yield: gallons per wet ton</t>
  </si>
  <si>
    <t>Sugarcane, wet</t>
  </si>
  <si>
    <t>Corn</t>
  </si>
  <si>
    <t>Grain sorghum</t>
  </si>
  <si>
    <t>Sweet sorghum</t>
  </si>
  <si>
    <t>Forage sorghum</t>
  </si>
  <si>
    <t>Biogenic CO2 from fermentation: kg per gallon</t>
  </si>
  <si>
    <t>ethanol carbon content (% by wt)</t>
  </si>
  <si>
    <t>ethanol CO2 emission factor [kg CO2/kg]</t>
  </si>
  <si>
    <t>Economic allocation [as given by GREET]</t>
  </si>
  <si>
    <t>Energy allocation [as given by GREET]</t>
  </si>
  <si>
    <t>Dried Distiller Grain with Solubles (DDGS): kg per gallon of ethanol</t>
  </si>
  <si>
    <t>Vinasse: gallon per gallon of ethanol</t>
  </si>
  <si>
    <t>Vinasse composition [g per gallon]</t>
  </si>
  <si>
    <t>N</t>
  </si>
  <si>
    <t>P</t>
  </si>
  <si>
    <t>K</t>
  </si>
  <si>
    <t>Corn oil: lbs per bushel of corn</t>
  </si>
  <si>
    <t>RER</t>
  </si>
  <si>
    <t>CH</t>
  </si>
  <si>
    <t>To account for primary energy in oil</t>
  </si>
  <si>
    <t>LHV [MJ/kg dry]</t>
  </si>
  <si>
    <t>Moisture content [% wt]</t>
  </si>
  <si>
    <t>Carbon uptake during biomass growth, based on 49.6% carbon content, dry, minus moisture content</t>
  </si>
  <si>
    <t>biodiesel CO2 emission factor [kg CO2/kg]</t>
  </si>
  <si>
    <t>Carbon dioxide, in air</t>
  </si>
  <si>
    <t>natural resource::in air</t>
  </si>
  <si>
    <t>LHV biodiesel [MJ/kg]</t>
  </si>
  <si>
    <t>LHV bio-kerosene [MJ/kg]</t>
  </si>
  <si>
    <t>kerosene CO2 emission factor [kg CO2/kg]</t>
  </si>
  <si>
    <t>US ton to metric ton</t>
  </si>
  <si>
    <t>database</t>
  </si>
  <si>
    <t>biomass</t>
  </si>
  <si>
    <t>market for forest residue</t>
  </si>
  <si>
    <t>forest residue</t>
  </si>
  <si>
    <t>Life Cycle Assessment of Biofuels in EU/CH, F. Cozzolini 2018, PSI. Adapted to Switzerland.</t>
  </si>
  <si>
    <t>Max. 100 km by truck.</t>
  </si>
  <si>
    <t>ecoinvent 3.9.1 cutoff</t>
  </si>
  <si>
    <t>heat production, from incineration of plastic waste mixture, energy allocation</t>
  </si>
  <si>
    <t>heat, from incineration of plastic waste mixture, energy allocation</t>
  </si>
  <si>
    <t>electricity production, from incineration of plastic waste mixture, energy allocation</t>
  </si>
  <si>
    <t>kilowatt hour</t>
  </si>
  <si>
    <t>electricity, from incineration of plastic waste mixture, energy allocation</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</si>
  <si>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heat production: 7.66 / (7.66 + 3.93) = 66%. Hence, to deliver 1 MJ of heat: 1/7.66 * 66%.</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</si>
  <si>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electricity production: 3.93 / (7.66 + 3.93) = 33%. Hence, to deliver 1 kWh of heat: 3.6/3.93 * 33%.</t>
  </si>
  <si>
    <t>heat production, from biowaste, municipal incineration, energy allocation</t>
  </si>
  <si>
    <t>electricity production, from biowaste, municipal incineration, energy allocation</t>
  </si>
  <si>
    <t>electricity, from biowaste, municipal incineration, energy allocation</t>
  </si>
  <si>
    <t>Grossly adapted from Volkart et al. 2013 to ecoinvent CHP datasets. 90% CO2 capture efficiency. Added 10% energy penalty based on Volkart et al. 2013.</t>
  </si>
  <si>
    <t>carbon dioxide, captured at wood burning power plant 20 MW post, pipeline 200km, storage 1000m</t>
  </si>
  <si>
    <t>Carbon dioxide, non-fossil</t>
  </si>
  <si>
    <t>air</t>
  </si>
  <si>
    <t>electricity production, at co-generation biowaste-fired power plant, post, pipeline 200km, storage 1000m</t>
  </si>
  <si>
    <t>heat production, at co-generation biowaste-fired power plant, post, pipeline 200km, storage 1000m</t>
  </si>
  <si>
    <t>heat, from biowaste, municipal incineration, energy allocation</t>
  </si>
  <si>
    <t>electricity production, at co-generation plastic waste-fired power plant, post, pipeline 200km, storage 1000m</t>
  </si>
  <si>
    <t>heat production, at co-generation plastic waste-fired power plant, post, pipeline 200km, storage 1000m</t>
  </si>
  <si>
    <t>electricity, from plastic waste mixture, municipal incineration, energy allocation</t>
  </si>
  <si>
    <t>heat, from plastic waste mixture, municipal incineration, energy allocation</t>
  </si>
  <si>
    <t>Carbon dioxide, fossil</t>
  </si>
  <si>
    <t>electricity import, from neighboring countries</t>
  </si>
  <si>
    <t>electricity, high voltage</t>
  </si>
  <si>
    <t>market group for electricity, high voltage</t>
  </si>
  <si>
    <t>Link to European electricity.</t>
  </si>
  <si>
    <t>market for ammonia, anhydrous, liquid</t>
  </si>
  <si>
    <t>market for cationic resin</t>
  </si>
  <si>
    <t>market for chemical, inorganic</t>
  </si>
  <si>
    <t>market for chemical, organic</t>
  </si>
  <si>
    <t>market for hydrochloric acid, without water, in 30% solution state</t>
  </si>
  <si>
    <t>market for hydrogen peroxide, without water, in 50% solution state</t>
  </si>
  <si>
    <t>market for iron(III) chloride, without water, in 40% solution state</t>
  </si>
  <si>
    <t>metalliferous hydroxide sludge, Recycled Content cut-off</t>
  </si>
  <si>
    <t>municipal waste incineration facility construction</t>
  </si>
  <si>
    <t>process-specific burdens, residual material landfill</t>
  </si>
  <si>
    <t>process-specific burdens, slag landfill</t>
  </si>
  <si>
    <t>market for quicklime, milled, packed</t>
  </si>
  <si>
    <t>residual material landfill construction</t>
  </si>
  <si>
    <t>slag landfill construction</t>
  </si>
  <si>
    <t>market for sodium hydroxide, without water, in 50% solution state</t>
  </si>
  <si>
    <t>market for spent activated carbon with mercury</t>
  </si>
  <si>
    <t>market for titanium dioxide</t>
  </si>
  <si>
    <t>market for waste cement, hydrated</t>
  </si>
  <si>
    <t>market for water, decarbonised</t>
  </si>
  <si>
    <t>market for cement, unspecified</t>
  </si>
  <si>
    <t>market for heat, district or industrial, natural gas</t>
  </si>
  <si>
    <t>ammonia, anhydrous, liquid</t>
  </si>
  <si>
    <t>cationic resin</t>
  </si>
  <si>
    <t>chemical, inorganic</t>
  </si>
  <si>
    <t>chemical, organic</t>
  </si>
  <si>
    <t>hydrochloric acid, without water, in 30% solution state</t>
  </si>
  <si>
    <t>hydrogen peroxide, without water, in 50% solution state</t>
  </si>
  <si>
    <t>metalliferous hydroxide sludge</t>
  </si>
  <si>
    <t>municipal waste incineration facility</t>
  </si>
  <si>
    <t>quicklime, milled, packed</t>
  </si>
  <si>
    <t>residual material landfill</t>
  </si>
  <si>
    <t>slag landfill</t>
  </si>
  <si>
    <t>sodium hydroxide, without water, in 50% solution state</t>
  </si>
  <si>
    <t>spent activated carbon with mercury</t>
  </si>
  <si>
    <t>titanium dioxide</t>
  </si>
  <si>
    <t>waste cement, hydrated</t>
  </si>
  <si>
    <t>water, decarbonised</t>
  </si>
  <si>
    <t>cement, unspecified</t>
  </si>
  <si>
    <t>heat, district or industrial, natural gas</t>
  </si>
  <si>
    <t>Aluminium III</t>
  </si>
  <si>
    <t>Ammonia</t>
  </si>
  <si>
    <t>Antimony ion</t>
  </si>
  <si>
    <t>Arsenic ion</t>
  </si>
  <si>
    <t>Barium II</t>
  </si>
  <si>
    <t>Benzene</t>
  </si>
  <si>
    <t>Benzene, hexachloro-</t>
  </si>
  <si>
    <t>Benzo(a)pyrene</t>
  </si>
  <si>
    <t>Bromine</t>
  </si>
  <si>
    <t>Cadmium II</t>
  </si>
  <si>
    <t>Carbon monoxide, fossil</t>
  </si>
  <si>
    <t>Chromium III</t>
  </si>
  <si>
    <t>Cobalt II</t>
  </si>
  <si>
    <t>Copper ion</t>
  </si>
  <si>
    <t>Cyanide</t>
  </si>
  <si>
    <t>Dinitrogen monoxide</t>
  </si>
  <si>
    <t>Dioxins, measured as 2,3,7,8-tetrachlorodibenzo-p-dioxin</t>
  </si>
  <si>
    <t>Heat, waste</t>
  </si>
  <si>
    <t>Hydrochloric acid</t>
  </si>
  <si>
    <t>Hydrogen fluoride</t>
  </si>
  <si>
    <t>Iron ion</t>
  </si>
  <si>
    <t>Lead II</t>
  </si>
  <si>
    <t>Manganese II</t>
  </si>
  <si>
    <t>Mercury II</t>
  </si>
  <si>
    <t>Methane, fossil</t>
  </si>
  <si>
    <t>NMVOC, non-methane volatile organic compounds</t>
  </si>
  <si>
    <t>Nickel II</t>
  </si>
  <si>
    <t>Nitrogen oxides</t>
  </si>
  <si>
    <t>Particulate Matter, &lt; 2.5 um</t>
  </si>
  <si>
    <t>Particulate Matter, &gt; 2.5 um and &lt; 10um</t>
  </si>
  <si>
    <t>Phenol, pentachloro-</t>
  </si>
  <si>
    <t>Selenium IV</t>
  </si>
  <si>
    <t>Sodium</t>
  </si>
  <si>
    <t>Strontium</t>
  </si>
  <si>
    <t>Sulfur dioxide</t>
  </si>
  <si>
    <t>Thallium I</t>
  </si>
  <si>
    <t>Tin ion</t>
  </si>
  <si>
    <t>Titanium ion</t>
  </si>
  <si>
    <t>Toluene</t>
  </si>
  <si>
    <t>Vanadium V</t>
  </si>
  <si>
    <t>Water</t>
  </si>
  <si>
    <t>Zinc II</t>
  </si>
  <si>
    <t>BOD5, Biological Oxygen Demand</t>
  </si>
  <si>
    <t>Beryllium II</t>
  </si>
  <si>
    <t>COD, Chemical Oxygen Demand</t>
  </si>
  <si>
    <t>Calcium II</t>
  </si>
  <si>
    <t>Chloride</t>
  </si>
  <si>
    <t>Chromium VI</t>
  </si>
  <si>
    <t>DOC, Dissolved Organic Carbon</t>
  </si>
  <si>
    <t>Fluoride</t>
  </si>
  <si>
    <t>Nitrate</t>
  </si>
  <si>
    <t>Silicon</t>
  </si>
  <si>
    <t>Sodium I</t>
  </si>
  <si>
    <t>Sulfate</t>
  </si>
  <si>
    <t>TOC, Total Organic Carbon</t>
  </si>
  <si>
    <t>Oxygen</t>
  </si>
  <si>
    <t>air::urban air close to ground</t>
  </si>
  <si>
    <t>water::ground-, long-term</t>
  </si>
  <si>
    <t>water::surface water</t>
  </si>
  <si>
    <t>This amount is here is not captured (90% efficiency).</t>
  </si>
  <si>
    <t>Calcium</t>
  </si>
  <si>
    <t>Carbon monoxide, non-fossil</t>
  </si>
  <si>
    <t>Iodine</t>
  </si>
  <si>
    <t>Magnesium</t>
  </si>
  <si>
    <t>Methane, non-fossil</t>
  </si>
  <si>
    <t>Molybdenum VI</t>
  </si>
  <si>
    <t>Phosphorus</t>
  </si>
  <si>
    <t>Potassium I</t>
  </si>
  <si>
    <t>Boron</t>
  </si>
  <si>
    <t>Iodide</t>
  </si>
  <si>
    <t>Phosphate</t>
  </si>
  <si>
    <t>This amount is here to partially cancel the non-fossil CO2 emissions (biomass uptake).</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</si>
  <si>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electricity production: 0.42 / (1.01 + 0.42) = 29%. Hence, to deliver 1 kWh of electricity: 1/0.42 * 29% * 3.6.</t>
  </si>
  <si>
    <t>current efficiency</t>
  </si>
  <si>
    <t>Dataset created based on ecoinvent's "treatment of biowaste,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heat production: 1.01 / (1.01 + 0.42) = 71%. Hence, to deliver 1 MJ of heat: 1/1.01 * 71%. Also added a flow of CO2 uptake to compensate for non-fossil CO2 emissions.</t>
  </si>
  <si>
    <t>biomethane import, from neighboring countries</t>
  </si>
  <si>
    <t>biomethane, high pressure</t>
  </si>
  <si>
    <t>Link to European market.</t>
  </si>
  <si>
    <t>market for biomethane, high pressure</t>
  </si>
  <si>
    <t>RoW</t>
  </si>
  <si>
    <t>kerosene import, from neighboring countries</t>
  </si>
  <si>
    <t>kerosene</t>
  </si>
  <si>
    <t>market for kerosene</t>
  </si>
  <si>
    <t>Europe without Switzerland</t>
  </si>
  <si>
    <t>diesel import, from neighboring countries</t>
  </si>
  <si>
    <t>diesel</t>
  </si>
  <si>
    <t>synthetic kerosene import, from neighboring countries</t>
  </si>
  <si>
    <t>kerosene production, synthetic, Fischer Tropsch process, hydrogen from electrolysis, energy allocation</t>
  </si>
  <si>
    <t>kerosene, synthetic</t>
  </si>
  <si>
    <t>synthetic diesel import, from neighboring countries</t>
  </si>
  <si>
    <t>diesel production, synthetic, Fischer Tropsch process, hydrogen from electrolysis, energy allocation</t>
  </si>
  <si>
    <t>diesel, synthetic</t>
  </si>
  <si>
    <t>synthetic natural gas import, from neighboring countries</t>
  </si>
  <si>
    <t>natural gas, synthetic</t>
  </si>
  <si>
    <t>methane, from electrochemical methanation, with carbon from atmosphere</t>
  </si>
  <si>
    <t>methane, from electrochemical methanation</t>
  </si>
  <si>
    <t>heat, from nuclear power plant</t>
  </si>
  <si>
    <t>heat</t>
  </si>
  <si>
    <t>Free of environmental burden</t>
  </si>
  <si>
    <t>electricity, low voltage</t>
  </si>
  <si>
    <t>market for electricity, low voltage</t>
  </si>
  <si>
    <t>electricity, used in industrial electric boiler</t>
  </si>
  <si>
    <t>electricity, used in industrial heat pump</t>
  </si>
  <si>
    <t>heat production, air-water heat pump 10kW</t>
  </si>
  <si>
    <t>heat, air-water heat pump 10kW</t>
  </si>
  <si>
    <t>light fuel oil, burned in industrial furnace 1MW</t>
  </si>
  <si>
    <t>heat production, light fuel oil, at industrial furnace 1MW</t>
  </si>
  <si>
    <t>heat, district or industrial, other than natural gas</t>
  </si>
  <si>
    <t>heavy fuel oil, burned in industrial furnace 1MW</t>
  </si>
  <si>
    <t>heat production, heavy fuel oil, at industrial furnace 1MW</t>
  </si>
  <si>
    <t>natural gas, burned in industrial furnace &gt;100kW</t>
  </si>
  <si>
    <t>heat production, natural gas, at boiler condensing modulating &gt;100kW</t>
  </si>
  <si>
    <t>hard coal, burned in hard coal industrial furnace 1-10MW</t>
  </si>
  <si>
    <t>heat production, at hard coal industrial furnace 1-10MW</t>
  </si>
  <si>
    <t>heat, from on-site industrial oil-fired CHP</t>
  </si>
  <si>
    <t>heat and power co-generation, oil</t>
  </si>
  <si>
    <t>heat, from on-site industrial gas-fired CHP</t>
  </si>
  <si>
    <t>heat and power co-generation, natural gas, 1MW electrical, lean burn</t>
  </si>
  <si>
    <t>heat, from on-site industrial gas-fired CHP with CCS</t>
  </si>
  <si>
    <t>heat production, at co-generation natural gas-fired power plant, post, pipeline 200km, storage 1000m</t>
  </si>
  <si>
    <t>heat, from on-site industrial fuel cell CHP</t>
  </si>
  <si>
    <t>heat, from on-site industrial non-renewable waste-fired CHP</t>
  </si>
  <si>
    <t>heat, from on-site industrial non-renewable waste-fired CHP with CCS</t>
  </si>
  <si>
    <t>heat production, at co-generation wood-fired power plant, post, pipeline 200km, storage 1000m</t>
  </si>
  <si>
    <t>heat, residential, by combustion of hydrogen using CHP, allocated by exergy, distributed by pipeline, produced by Electrolysis, PEM using electricity from grid</t>
  </si>
  <si>
    <t>heat, from residential heating system</t>
  </si>
  <si>
    <t>wood, burned in wood industrial furnace 1-10MW</t>
  </si>
  <si>
    <t>heat production, wood chips from industry, at furnace 1000kW</t>
  </si>
  <si>
    <t>heat production, wood pellet, at furnace 300kW</t>
  </si>
  <si>
    <t>pellet, burned in pellet industrial furnace 300kW</t>
  </si>
  <si>
    <t>heat, central or small-scale, other than natural gas</t>
  </si>
  <si>
    <t>heat, from on-site industrial wood-fired CHP</t>
  </si>
  <si>
    <t>non-renewable waste, burned in industrial furnace</t>
  </si>
  <si>
    <t>heat, from on-site industrial wood-fired CHP with CCS</t>
  </si>
  <si>
    <t>heat, from on-site industrial hydrogen-fired CHP</t>
  </si>
  <si>
    <t>renewable waste, burned in industrial furnace</t>
  </si>
  <si>
    <t>solar energy, from industrial hot water tank</t>
  </si>
  <si>
    <t>heat production, at hot water tank, solar+electric, flat plate, multiple dwelling</t>
  </si>
  <si>
    <t>heat, solar+electric, multiple-dwelling, for hot water</t>
  </si>
  <si>
    <t>heat and power co-generation, wood chips, 6667 kW</t>
  </si>
  <si>
    <t>electricity, used in industrial electric processes</t>
  </si>
  <si>
    <t>DE</t>
  </si>
  <si>
    <t>gas boiler</t>
  </si>
  <si>
    <t>market for gas boiler</t>
  </si>
  <si>
    <t>meter</t>
  </si>
  <si>
    <t>chimney</t>
  </si>
  <si>
    <t>market for chimney</t>
  </si>
  <si>
    <t>Hydrogen</t>
  </si>
  <si>
    <t>hydrogen burned, in hydrogen boiler</t>
  </si>
  <si>
    <t>heat, from on-site industrial biogas-fired CHP</t>
  </si>
  <si>
    <t>heat and power co-generation, biogas, gas engine</t>
  </si>
  <si>
    <t>electricity, used in residential electric boiler</t>
  </si>
  <si>
    <t>electricity, used in residential heat pump</t>
  </si>
  <si>
    <t>heat, from on-site residential gas-fired CHP</t>
  </si>
  <si>
    <t>heat, from on-site residential fuel cell CHP</t>
  </si>
  <si>
    <t>heat, from on-site residential wood-fired CHP</t>
  </si>
  <si>
    <t>solar energy, from residential hot water tank</t>
  </si>
  <si>
    <t>heat production, light fuel oil, at boiler 10kW condensing, non-modulating</t>
  </si>
  <si>
    <t>light fuel oil, burned in residential 10kW boiler</t>
  </si>
  <si>
    <t>heat production, natural gas, at boiler condensing modulating &lt;100kW</t>
  </si>
  <si>
    <t>heat, central or small-scale, natural gas</t>
  </si>
  <si>
    <t>natural gas, burned in residential natural gas boiler &lt;100kW</t>
  </si>
  <si>
    <t>heat production, hard coal briquette, stove 5-15kW</t>
  </si>
  <si>
    <t>hard coal, burned in hard coal residential boiler 5-15kW</t>
  </si>
  <si>
    <t>heat production, mixed logs, at wood heater 6kW</t>
  </si>
  <si>
    <t>wood, burned in residential wood stove 5-15kW</t>
  </si>
  <si>
    <t>pellet, burned in residential pellet stove 5-15kW</t>
  </si>
  <si>
    <t>heat production, wood pellet, at furnace 9kW</t>
  </si>
  <si>
    <t>electricity, used in residential electric appliances</t>
  </si>
  <si>
    <t>diesel, low-sulfur</t>
  </si>
  <si>
    <t>market for internal combustion engine, passenger car</t>
  </si>
  <si>
    <t>internal combustion engine, passenger car</t>
  </si>
  <si>
    <t>Acetaldehyde</t>
  </si>
  <si>
    <t>Acetone</t>
  </si>
  <si>
    <t>Acrolein</t>
  </si>
  <si>
    <t>Benzaldehyde</t>
  </si>
  <si>
    <t>Butane</t>
  </si>
  <si>
    <t>Ethane</t>
  </si>
  <si>
    <t>Ethylene oxide</t>
  </si>
  <si>
    <t>Formaldehyde</t>
  </si>
  <si>
    <t>Heptane</t>
  </si>
  <si>
    <t>Methyl ethyl ketone</t>
  </si>
  <si>
    <t>PAH, polycyclic aromatic hydrocarbons</t>
  </si>
  <si>
    <t>Pentane</t>
  </si>
  <si>
    <t>Propane</t>
  </si>
  <si>
    <t>Propylene oxide</t>
  </si>
  <si>
    <t>Styrene</t>
  </si>
  <si>
    <t>m-Xylene</t>
  </si>
  <si>
    <t>o-Xylene</t>
  </si>
  <si>
    <t>market for diesel, low-sulfur</t>
  </si>
  <si>
    <t>petrol, low-sulfur</t>
  </si>
  <si>
    <t>1-Pentene</t>
  </si>
  <si>
    <t>Ethylene</t>
  </si>
  <si>
    <t>Hexane</t>
  </si>
  <si>
    <t>Propene</t>
  </si>
  <si>
    <t>market for petrol, low-sulfur</t>
  </si>
  <si>
    <t>natural gas, high pressure</t>
  </si>
  <si>
    <t>market for natural gas, high pressure</t>
  </si>
  <si>
    <t>market for electric motor, electric passenger car</t>
  </si>
  <si>
    <t>electric motor, electric passenger car</t>
  </si>
  <si>
    <t>fuel cell system assembly, 1 kWe, proton exchange membrane (PEM)</t>
  </si>
  <si>
    <t>fuel cell system, 1 kWe, proton exchange membrane (PEM)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</si>
  <si>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</si>
  <si>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</si>
  <si>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</si>
  <si>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</si>
  <si>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</si>
  <si>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</si>
  <si>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description</t>
  </si>
  <si>
    <t>special remark</t>
  </si>
  <si>
    <t>Assumed vehicle's lifetime: 200'000 km. Assumed vehicle energy consumption: 1.8 MJ/vkm.</t>
  </si>
  <si>
    <t>fuel tank, compressed hydrogen gas, 700bar</t>
  </si>
  <si>
    <t>fuel tank assembly, compressed hydrogen gas, 700bar</t>
  </si>
  <si>
    <t>fuel tank assembly, compressed natural gas, 200 bar</t>
  </si>
  <si>
    <t>fuel tank, compressed natural gas, 200 bar</t>
  </si>
  <si>
    <t>Assumed vehicle's lifetime: 200'000 km. Assumed vehicle energy consumption: 3.7 MJ/vkm.</t>
  </si>
  <si>
    <t>market for charger, electric passenger car</t>
  </si>
  <si>
    <t>charger, electric passenger car</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</si>
  <si>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</si>
  <si>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</si>
  <si>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Sacchi, R., Bauer, C., and Cox, B. Does size matter? The influence of size, load factor, range autonomy and application type on the Life Cycle Assessment of current and future trucks. 2021. Environmental Science and Technology.</t>
  </si>
  <si>
    <t>tag</t>
  </si>
  <si>
    <t>lci-buses</t>
  </si>
  <si>
    <t>other</t>
  </si>
  <si>
    <t>fuel tank, for diesel vehicle</t>
  </si>
  <si>
    <t>fuel tank</t>
  </si>
  <si>
    <t>internal combustion engine, for lorry</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</si>
  <si>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</si>
  <si>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</si>
  <si>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</si>
  <si>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Passenger bus, fuel cell electric, 13m single deck coach bus, 2020</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</si>
  <si>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</si>
  <si>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diesel, burned in single deck coach or urban bus</t>
  </si>
  <si>
    <t>compressed gas, burned in single deck coach or urban bus</t>
  </si>
  <si>
    <t>electricity, used in single deck coach or urban bus</t>
  </si>
  <si>
    <t>hydrogen, used in single deck coach or urban 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</si>
  <si>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</si>
  <si>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electricity, used in single deck trolleybus</t>
  </si>
  <si>
    <t>electricity, used in tram</t>
  </si>
  <si>
    <t>transport, tram</t>
  </si>
  <si>
    <t>person kilometer</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</si>
  <si>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</si>
  <si>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</si>
  <si>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</si>
  <si>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Charging station per vehicle [unit]</t>
  </si>
  <si>
    <t>transport, freight, sea, container ship</t>
  </si>
  <si>
    <t>electricity, used in battery electric motorcycle</t>
  </si>
  <si>
    <t>hydrogen, used in hydrogen motorcycle</t>
  </si>
  <si>
    <t>Assumed 10 times smaller than that of a car</t>
  </si>
  <si>
    <t>petrol, burned in motorcycle</t>
  </si>
  <si>
    <t>Cyclohexane</t>
  </si>
  <si>
    <t>Ethene</t>
  </si>
  <si>
    <t>Arsenic</t>
  </si>
  <si>
    <t>Selenium</t>
  </si>
  <si>
    <t>Zinc</t>
  </si>
  <si>
    <t>Copper</t>
  </si>
  <si>
    <t>Nickel</t>
  </si>
  <si>
    <t>Chromium</t>
  </si>
  <si>
    <t>Mercury</t>
  </si>
  <si>
    <t>Cadmium</t>
  </si>
  <si>
    <t>Carbon dioxide, from soil or biomass stock</t>
  </si>
  <si>
    <t>Particulates, &lt; 2.5 um</t>
  </si>
  <si>
    <t>NMVOC, non-methane volatile organic compounds, unspecified origin</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</si>
  <si>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</si>
  <si>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</si>
  <si>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diesel, burned in heavy duty vehicle</t>
  </si>
  <si>
    <t>Ethane, 1,1,1,2-tetrafluoro-, HFC-134a</t>
  </si>
  <si>
    <t>Hydrocarbons, chlorinated</t>
  </si>
  <si>
    <t>electricity, used in heavy duty vehicle</t>
  </si>
  <si>
    <t>hydrogen, used in heavy duty vehicle</t>
  </si>
  <si>
    <t>compressed gas, burned in heavy duty vehicle</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</si>
  <si>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</si>
  <si>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</si>
  <si>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</si>
  <si>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</si>
  <si>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</si>
  <si>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Charger</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</si>
  <si>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</si>
  <si>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</si>
  <si>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Charging stand</t>
  </si>
  <si>
    <t>Storage battery</t>
  </si>
  <si>
    <t>electricity, used in passenger car vehicle</t>
  </si>
  <si>
    <t>hydrogen, used in passenger car vehicle</t>
  </si>
  <si>
    <t>diesel, burned in passenger car vehicle</t>
  </si>
  <si>
    <t>petrol, burned in passenger car vehicle</t>
  </si>
  <si>
    <t>compressed gas, burned in passenger car vehicle</t>
  </si>
  <si>
    <t>iron(III) chloride, without water, in 40% solution state</t>
  </si>
  <si>
    <t>Isohexane</t>
  </si>
  <si>
    <t>Hydrocarbons, aliphatic, alkanes, cyclic</t>
  </si>
  <si>
    <t>Pentachlorobenzene</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</si>
  <si>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</si>
  <si>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</si>
  <si>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minimum</t>
  </si>
  <si>
    <t>maximum</t>
  </si>
  <si>
    <t>Energy, geothermal, converted</t>
  </si>
  <si>
    <t>This amount here is not captured (90% efficiency).</t>
  </si>
  <si>
    <t>Oil, crude</t>
  </si>
  <si>
    <t>natural resource::in ground</t>
  </si>
  <si>
    <t>Plastic waste energy input</t>
  </si>
  <si>
    <t>Uranium</t>
  </si>
  <si>
    <t>Plastic waste energy input: 6.1 MJ waste/MJ heat</t>
  </si>
  <si>
    <t>Plastic waste energy input. 9.3 MJ waste/MJ</t>
  </si>
  <si>
    <t>Plastic waste energy input: 6.7 MJ/MJ</t>
  </si>
  <si>
    <t>market for hydrogen, gaseous, low pressure</t>
  </si>
  <si>
    <t>hydrogen, gaseous, low pressure</t>
  </si>
  <si>
    <t>market for chromium trioxide, flakes</t>
  </si>
  <si>
    <t>chromium trioxide, flakes</t>
  </si>
  <si>
    <t>market for battery capacity (MIX scenario)</t>
  </si>
  <si>
    <t>market for battery capacity, Li-ion, LTO</t>
  </si>
  <si>
    <t>loc</t>
  </si>
  <si>
    <t>electricity storage capacity</t>
  </si>
  <si>
    <t>Photovoltaic electricity production.</t>
  </si>
  <si>
    <t>electricity production, photovoltaic, photovoltaic slanted-roof installation, 3 kWp, multi-Si, laminated, integrated</t>
  </si>
  <si>
    <t>electricity production, wind</t>
  </si>
  <si>
    <t>electricity production, wind, 1-3MW turbine, onshore</t>
  </si>
  <si>
    <t>electricity production, from hydrogen fuel cell</t>
  </si>
  <si>
    <t>Wind turbine electricity production.</t>
  </si>
  <si>
    <t>Electricity from hydrogen fuel cell.</t>
  </si>
  <si>
    <t>electricity, residential, by conversion of hydrogen using fuel cell, PEM, allocated by exergy, distributed by pipeline, produced by Electrolysis, PEM using electricity from grid</t>
  </si>
  <si>
    <t>electricity, from residential heating system</t>
  </si>
  <si>
    <t>electricity production, from photovoltaic panels</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</si>
  <si>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</si>
  <si>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</si>
  <si>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</si>
  <si>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diesel, low-sulfur, import from Europe without Switzerland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</si>
</sst>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
    <numFmt numFmtId="165" formatCode="#,##0.0"/>
    <numFmt numFmtId="166" formatCode="[$€-2]\ #,##0;[Red]\-[$€-2]\ #,##0"/>
    <numFmt numFmtId="167" formatCode="0.0"/>
    <numFmt numFmtId="168" formatCode="0.0000"/>
    <numFmt numFmtId="169" formatCode="0.0E+00"/>
    <numFmt numFmtId="170" formatCode="0.000"/>
  </numFmts>
  <fonts count="12"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b/>
      <u/>
      <sz val="11"/>
      <color theme="1"/>
      <name val="Calibri"/>
      <family val="2"/>
      <scheme val="minor"/>
    </font>
    <font>
      <sz val="10"/>
      <name val="Arial"/>
      <family val="2"/>
    </font>
    <font>
      <sz val="11"/>
      <color theme="1"/>
      <name val="Calibri"/>
      <family val="2"/>
    </font>
    <font>
      <b/>
      <sz val="12"/>
      <color rgb="FF000000"/>
      <name val="Calibri"/>
      <family val="2"/>
    </font>
    <font>
      <sz val="12"/>
      <color theme="1"/>
      <name val="Calibri"/>
      <family val="2"/>
    </font>
    <font>
      <b/>
      <sz val="11"/>
      <color theme="1"/>
      <name val="Calibri"/>
      <family val="2"/>
      <scheme val="minor"/>
    </font>
    <font>
      <sz val="12"/>
      <name val="Calibri (Body)"/>
    </font>
    <font>
      <sz val="10"/>
      <color rgb="FF000000"/>
      <name val="Calibri"/>
      <family val="2"/>
      <scheme val="minor"/>
    </font>
  </fonts>
  <fills count="2">
    <fill>
      <patternFill patternType="none"/>
    </fill>
    <fill>
      <patternFill patternType="gray125"/>
    </fill>
  </fills>
  <borders count="12">
    <border>
      <left/>
      <right/>
      <top/>
      <bottom/>
      <diagonal/>
    </border>
    <border>
      <left style="thin">
        <color auto="1"/>
      </left>
      <right/>
      <top style="thin">
        <color auto="1"/>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auto="1"/>
      </left>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s>
  <cellStyleXfs count="2">
    <xf numFmtId="0" fontId="0" fillId="0" borderId="0"/>
    <xf numFmtId="9" fontId="2" fillId="0" borderId="0" applyFont="0" applyFill="0" applyBorder="0" applyAlignment="0" applyProtection="0"/>
  </cellStyleXfs>
  <cellXfs count="70">
    <xf numFmtId="0" fontId="0" fillId="0" borderId="0" xfId="0"/>
    <xf numFmtId="0" fontId="3" fillId="0" borderId="0" xfId="0" applyFont="1"/>
    <xf numFmtId="2" fontId="0" fillId="0" borderId="0" xfId="0" applyNumberFormat="1"/>
    <xf numFmtId="11" fontId="0" fillId="0" borderId="0" xfId="0" applyNumberFormat="1"/>
    <xf numFmtId="0" fontId="4" fillId="0" borderId="0" xfId="0" applyFont="1"/>
    <xf numFmtId="0" fontId="0" fillId="0" borderId="1" xfId="0" applyBorder="1"/>
    <xf numFmtId="0" fontId="0" fillId="0" borderId="1" xfId="0" applyBorder="1" applyAlignment="1">
      <alignment horizontal="right"/>
    </xf>
    <xf numFmtId="0" fontId="0" fillId="0" borderId="2" xfId="0" applyBorder="1"/>
    <xf numFmtId="0" fontId="0" fillId="0" borderId="2" xfId="0" applyBorder="1" applyAlignment="1">
      <alignment horizontal="right"/>
    </xf>
    <xf numFmtId="0" fontId="0" fillId="0" borderId="3" xfId="0" applyBorder="1"/>
    <xf numFmtId="0" fontId="0" fillId="0" borderId="3" xfId="0" applyBorder="1" applyAlignment="1">
      <alignment horizontal="right"/>
    </xf>
    <xf numFmtId="0" fontId="0" fillId="0" borderId="4" xfId="0" applyBorder="1" applyAlignment="1">
      <alignment horizontal="right"/>
    </xf>
    <xf numFmtId="0" fontId="0" fillId="0" borderId="5" xfId="0" applyBorder="1"/>
    <xf numFmtId="164" fontId="5" fillId="0" borderId="5" xfId="1" applyNumberFormat="1" applyFont="1" applyFill="1" applyBorder="1" applyAlignment="1"/>
    <xf numFmtId="164" fontId="5" fillId="0" borderId="0" xfId="1" applyNumberFormat="1" applyFont="1" applyFill="1" applyBorder="1" applyAlignment="1"/>
    <xf numFmtId="164" fontId="0" fillId="0" borderId="0" xfId="0" applyNumberFormat="1"/>
    <xf numFmtId="165" fontId="5" fillId="0" borderId="3" xfId="1" applyNumberFormat="1" applyFont="1" applyFill="1" applyBorder="1" applyAlignment="1"/>
    <xf numFmtId="165" fontId="5" fillId="0" borderId="4" xfId="1" applyNumberFormat="1" applyFont="1" applyFill="1" applyBorder="1" applyAlignment="1"/>
    <xf numFmtId="165" fontId="0" fillId="0" borderId="4" xfId="0" applyNumberFormat="1" applyBorder="1"/>
    <xf numFmtId="0" fontId="0" fillId="0" borderId="6" xfId="0" applyBorder="1" applyAlignment="1">
      <alignment horizontal="right"/>
    </xf>
    <xf numFmtId="0" fontId="0" fillId="0" borderId="7" xfId="0" applyBorder="1" applyAlignment="1">
      <alignment horizontal="right"/>
    </xf>
    <xf numFmtId="165" fontId="0" fillId="0" borderId="7" xfId="0" applyNumberFormat="1" applyBorder="1"/>
    <xf numFmtId="166" fontId="0" fillId="0" borderId="0" xfId="0" applyNumberFormat="1"/>
    <xf numFmtId="9" fontId="0" fillId="0" borderId="0" xfId="1" applyFont="1"/>
    <xf numFmtId="165" fontId="5" fillId="0" borderId="5" xfId="1" applyNumberFormat="1" applyFont="1" applyFill="1" applyBorder="1" applyAlignment="1"/>
    <xf numFmtId="3" fontId="5" fillId="0" borderId="5" xfId="1" applyNumberFormat="1" applyFont="1" applyFill="1" applyBorder="1" applyAlignment="1"/>
    <xf numFmtId="165" fontId="5" fillId="0" borderId="0" xfId="1" applyNumberFormat="1" applyFont="1" applyFill="1" applyBorder="1" applyAlignment="1"/>
    <xf numFmtId="165" fontId="0" fillId="0" borderId="0" xfId="0" applyNumberFormat="1"/>
    <xf numFmtId="0" fontId="0" fillId="0" borderId="0" xfId="0" applyAlignment="1">
      <alignment horizontal="right"/>
    </xf>
    <xf numFmtId="0" fontId="0" fillId="0" borderId="5" xfId="0" applyBorder="1" applyAlignment="1">
      <alignment horizontal="right"/>
    </xf>
    <xf numFmtId="1" fontId="0" fillId="0" borderId="0" xfId="0" applyNumberFormat="1"/>
    <xf numFmtId="0" fontId="0" fillId="0" borderId="4" xfId="0" applyBorder="1"/>
    <xf numFmtId="0" fontId="0" fillId="0" borderId="6" xfId="0" applyBorder="1"/>
    <xf numFmtId="0" fontId="0" fillId="0" borderId="8" xfId="0" applyBorder="1"/>
    <xf numFmtId="0" fontId="0" fillId="0" borderId="9" xfId="0" applyBorder="1"/>
    <xf numFmtId="165" fontId="5" fillId="0" borderId="9" xfId="1" applyNumberFormat="1" applyFont="1" applyFill="1" applyBorder="1" applyAlignment="1"/>
    <xf numFmtId="2" fontId="0" fillId="0" borderId="5" xfId="0" applyNumberFormat="1" applyBorder="1"/>
    <xf numFmtId="167" fontId="0" fillId="0" borderId="4" xfId="0" applyNumberFormat="1" applyBorder="1"/>
    <xf numFmtId="167" fontId="0" fillId="0" borderId="7" xfId="0" applyNumberFormat="1" applyBorder="1"/>
    <xf numFmtId="0" fontId="0" fillId="0" borderId="10" xfId="0" applyBorder="1"/>
    <xf numFmtId="9" fontId="0" fillId="0" borderId="2" xfId="1" applyFont="1" applyBorder="1"/>
    <xf numFmtId="9" fontId="0" fillId="0" borderId="2" xfId="1" applyFont="1" applyFill="1" applyBorder="1"/>
    <xf numFmtId="9" fontId="0" fillId="0" borderId="6" xfId="1" applyFont="1" applyFill="1" applyBorder="1"/>
    <xf numFmtId="9" fontId="0" fillId="0" borderId="4" xfId="1" applyFont="1" applyBorder="1"/>
    <xf numFmtId="9" fontId="0" fillId="0" borderId="4" xfId="1" applyFont="1" applyFill="1" applyBorder="1"/>
    <xf numFmtId="9" fontId="0" fillId="0" borderId="7" xfId="1" applyFont="1" applyFill="1" applyBorder="1"/>
    <xf numFmtId="0" fontId="0" fillId="0" borderId="11" xfId="0" applyBorder="1"/>
    <xf numFmtId="11" fontId="3" fillId="0" borderId="0" xfId="0" applyNumberFormat="1" applyFont="1"/>
    <xf numFmtId="4" fontId="5" fillId="0" borderId="5" xfId="1" applyNumberFormat="1" applyFont="1" applyFill="1" applyBorder="1" applyAlignment="1"/>
    <xf numFmtId="0" fontId="7" fillId="0" borderId="0" xfId="0" applyFont="1"/>
    <xf numFmtId="0" fontId="6" fillId="0" borderId="0" xfId="0" applyFont="1"/>
    <xf numFmtId="11" fontId="6" fillId="0" borderId="0" xfId="0" applyNumberFormat="1" applyFont="1"/>
    <xf numFmtId="2" fontId="6" fillId="0" borderId="0" xfId="0" applyNumberFormat="1" applyFont="1"/>
    <xf numFmtId="0" fontId="2" fillId="0" borderId="0" xfId="0" applyFont="1"/>
    <xf numFmtId="11" fontId="2" fillId="0" borderId="0" xfId="0" applyNumberFormat="1" applyFont="1"/>
    <xf numFmtId="0" fontId="8" fillId="0" borderId="0" xfId="0" applyFont="1"/>
    <xf numFmtId="167" fontId="8" fillId="0" borderId="0" xfId="0" applyNumberFormat="1" applyFont="1"/>
    <xf numFmtId="11" fontId="8" fillId="0" borderId="0" xfId="0" applyNumberFormat="1" applyFont="1"/>
    <xf numFmtId="11" fontId="8" fillId="0" borderId="0" xfId="0" applyNumberFormat="1" applyFont="1" applyAlignment="1">
      <alignment horizontal="right"/>
    </xf>
    <xf numFmtId="168" fontId="8" fillId="0" borderId="0" xfId="0" applyNumberFormat="1" applyFont="1" applyAlignment="1">
      <alignment horizontal="right"/>
    </xf>
    <xf numFmtId="0" fontId="9" fillId="0" borderId="0" xfId="0" applyFont="1"/>
    <xf numFmtId="0" fontId="10" fillId="0" borderId="0" xfId="0" applyFont="1"/>
    <xf numFmtId="169" fontId="8" fillId="0" borderId="0" xfId="0" applyNumberFormat="1" applyFont="1" applyAlignment="1">
      <alignment horizontal="right"/>
    </xf>
    <xf numFmtId="169" fontId="0" fillId="0" borderId="0" xfId="0" applyNumberFormat="1" applyAlignment="1">
      <alignment horizontal="right"/>
    </xf>
    <xf numFmtId="0" fontId="1" fillId="0" borderId="0" xfId="0" applyFont="1"/>
    <xf numFmtId="0" fontId="11" fillId="0" borderId="0" xfId="0" applyFont="1"/>
    <xf numFmtId="170" fontId="0" fillId="0" borderId="0" xfId="0" applyNumberFormat="1"/>
    <xf numFmtId="11" fontId="0" fillId="0" borderId="0" xfId="0" applyNumberFormat="1" applyAlignment="1">
      <alignment horizontal="right"/>
    </xf>
    <xf numFmtId="169" fontId="8" fillId="0" borderId="0" xfId="0" applyNumberFormat="1" applyFont="1"/>
    <xf numFmtId="11" fontId="9" fillId="0" borderId="0" xfId="0" applyNumberFormat="1" applyFont="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400-000000000000}">
  <dimension ref="A1:Z4122"/>
  <sheetViews>
    <sheetView tabSelected="1" topLeftCell="A1300" workbookViewId="0">
      <selection activeCell="A1319" sqref="A1319"/>
    </sheetView>
  </sheetViews>
  <sheetFormatPr baseColWidth="10" defaultColWidth="8.83203125" defaultRowHeight="15" ns3:dyDescent="0.2"/>
  <cols>
    <col min="1" max="1" width="49.83203125" customWidth="1"/>
    <col min="2" max="2" width="9.83203125" style="3" customWidth="1"/>
    <col min="4" max="4" width="16.6640625" customWidth="1"/>
    <col min="5" max="5" width="13.33203125" customWidth="1"/>
    <col min="6" max="6" width="11.5" customWidth="1"/>
    <col min="7" max="7" width="35.6640625" customWidth="1"/>
    <col min="8" max="8" width="11.83203125" bestFit="1" customWidth="1"/>
    <col min="9" max="9" width="12.33203125" bestFit="1" customWidth="1"/>
    <col min="10" max="10" width="18.6640625" customWidth="1"/>
    <col min="11" max="11" width="11.83203125" bestFit="1" customWidth="1"/>
    <col min="13" max="13" width="9.6640625" bestFit="1" customWidth="1"/>
    <col min="14" max="14" width="10.6640625" bestFit="1" customWidth="1"/>
    <col min="18" max="18" width="9.6640625" bestFit="1" customWidth="1"/>
  </cols>
  <sheetData>
    <row r="1" spans="1:8" ns3:dyDescent="0.2">
      <c r="A1" t="s">
        <v>116</v>
      </c>
      <c r="B1" s="3" t="s">
        <v>117</v>
      </c>
    </row>
    <row r="2" spans="1:8" ht="16.25" customHeight="1" ns3:dyDescent="0.2">
      <c r="A2" s="1"/>
      <c r="B2" s="47"/>
    </row>
    <row r="3" spans="1:8" ht="16" ns3:dyDescent="0.2">
      <c r="A3" s="1" t="s">
        <v>0</v>
      </c>
      <c r="B3" s="47" t="s">
        <v>118</v>
      </c>
    </row>
    <row r="4" spans="1:8" ns3:dyDescent="0.2">
      <c r="A4" t="s">
        <v>1</v>
      </c>
      <c r="B4" s="3" t="s">
        <v>104</v>
      </c>
    </row>
    <row r="5" spans="1:8" ns3:dyDescent="0.2">
      <c r="A5" t="s">
        <v>2</v>
      </c>
      <c r="B5" s="3">
        <v>1</v>
      </c>
    </row>
    <row r="6" spans="1:8" ns3:dyDescent="0.2">
      <c r="A6" t="s">
        <v>3</v>
      </c>
      <c r="B6" s="3" t="s">
        <v>119</v>
      </c>
    </row>
    <row r="7" spans="1:8" ns3:dyDescent="0.2">
      <c r="A7" t="s">
        <v>4</v>
      </c>
      <c r="B7" s="3" t="s">
        <v>5</v>
      </c>
    </row>
    <row r="8" spans="1:8" ns3:dyDescent="0.2">
      <c r="A8" t="s">
        <v>6</v>
      </c>
      <c r="B8" s="3" t="s">
        <v>7</v>
      </c>
    </row>
    <row r="9" spans="1:8" ns3:dyDescent="0.2">
      <c r="A9" t="s">
        <v>8</v>
      </c>
      <c r="B9" s="3" t="s">
        <v>120</v>
      </c>
    </row>
    <row r="10" spans="1:8" ns3:dyDescent="0.2">
      <c r="A10" t="s">
        <v>106</v>
      </c>
      <c r="B10" s="3">
        <v>19</v>
      </c>
    </row>
    <row r="11" spans="1:8" ns3:dyDescent="0.2">
      <c r="A11" t="s">
        <v>107</v>
      </c>
      <c r="B11" s="3">
        <v>0</v>
      </c>
    </row>
    <row r="12" spans="1:8" ns3:dyDescent="0.2">
      <c r="A12" t="s">
        <v>9</v>
      </c>
      <c r="B12" s="3" t="s">
        <v>121</v>
      </c>
    </row>
    <row r="13" spans="1:8" ht="16" ns3:dyDescent="0.2">
      <c r="A13" s="1" t="s">
        <v>10</v>
      </c>
    </row>
    <row r="14" spans="1:8" ns3:dyDescent="0.2">
      <c r="A14" t="s">
        <v>11</v>
      </c>
      <c r="B14" s="3" t="s">
        <v>12</v>
      </c>
      <c r="C14" t="s">
        <v>1</v>
      </c>
      <c r="D14" t="s">
        <v>6</v>
      </c>
      <c r="E14" t="s">
        <v>13</v>
      </c>
      <c r="F14" t="s">
        <v>4</v>
      </c>
      <c r="G14" t="s">
        <v>9</v>
      </c>
      <c r="H14" t="s">
        <v>3</v>
      </c>
    </row>
    <row r="15" spans="1:8" ns3:dyDescent="0.2">
      <c r="A15" s="3" t="str">
        <f>B3</f>
        <v>market for forest residue</v>
      </c>
      <c r="B15" s="3">
        <v>1</v>
      </c>
      <c r="C15" s="3" t="str">
        <f>B4</f>
        <v>CH</v>
      </c>
      <c r="D15" t="s">
        <v>7</v>
      </c>
      <c r="F15" t="s">
        <v>15</v>
      </c>
      <c r="G15" t="s">
        <v>16</v>
      </c>
      <c r="H15" s="3" t="str">
        <f>B6</f>
        <v>forest residue</v>
      </c>
    </row>
    <row r="16" spans="1:8" ns3:dyDescent="0.2">
      <c r="A16" t="s">
        <v>20</v>
      </c>
      <c r="B16" s="3">
        <f>132180*Parameters!$B$3/1000</f>
        <v>0.13945728886199998</v>
      </c>
      <c r="C16" t="s">
        <v>24</v>
      </c>
      <c r="D16" t="s">
        <v>17</v>
      </c>
      <c r="F16" t="s">
        <v>18</v>
      </c>
      <c r="G16" t="s">
        <v>30</v>
      </c>
      <c r="H16" t="s">
        <v>21</v>
      </c>
    </row>
    <row r="17" spans="1:8" ns3:dyDescent="0.2">
      <c r="A17" t="s">
        <v>81</v>
      </c>
      <c r="B17" s="3">
        <f>0.001*100</f>
        <v>0.1</v>
      </c>
      <c r="C17" t="s">
        <v>103</v>
      </c>
      <c r="D17" t="s">
        <v>28</v>
      </c>
      <c r="F17" t="s">
        <v>18</v>
      </c>
      <c r="G17" t="s">
        <v>16</v>
      </c>
      <c r="H17" t="s">
        <v>82</v>
      </c>
    </row>
    <row r="18" spans="1:8" ns3:dyDescent="0.2">
      <c r="A18" t="s">
        <v>35</v>
      </c>
      <c r="B18" s="3">
        <f>B10*(1-B11)</f>
        <v>19</v>
      </c>
      <c r="D18" t="s">
        <v>17</v>
      </c>
      <c r="E18" t="s">
        <v>36</v>
      </c>
      <c r="F18" t="s">
        <v>27</v>
      </c>
      <c r="G18" t="s">
        <v>105</v>
      </c>
    </row>
    <row r="19" spans="1:8" ns3:dyDescent="0.2">
      <c r="A19" t="s">
        <v>110</v>
      </c>
      <c r="B19" s="3">
        <f>0.55*(44/12)*(1-B11)</f>
        <v>2.0166666666666666</v>
      </c>
      <c r="D19" t="s">
        <v>7</v>
      </c>
      <c r="E19" t="s">
        <v>111</v>
      </c>
      <c r="F19" t="s">
        <v>27</v>
      </c>
      <c r="G19" t="s">
        <v>108</v>
      </c>
    </row>
    <row r="20" spans="1:8" ns3:dyDescent="0.2">
      <c r="A20" t="s">
        <v>39</v>
      </c>
      <c r="B20" s="3">
        <v>2.3256000000000001E-3</v>
      </c>
      <c r="D20" t="s">
        <v>37</v>
      </c>
      <c r="E20" t="s">
        <v>36</v>
      </c>
      <c r="F20" t="s">
        <v>27</v>
      </c>
      <c r="G20" t="s">
        <v>38</v>
      </c>
    </row>
    <row r="21" spans="1:8" ns3:dyDescent="0.2">
      <c r="G21" s="3"/>
    </row>
    <row r="22" spans="1:8" ht="16" ns3:dyDescent="0.2">
      <c r="A22" s="1" t="s">
        <v>0</v>
      </c>
      <c r="B22" s="47" t="s">
        <v>123</v>
      </c>
    </row>
    <row r="23" spans="1:8" ns3:dyDescent="0.2">
      <c r="A23" t="s">
        <v>1</v>
      </c>
      <c r="B23" s="3" t="s">
        <v>104</v>
      </c>
    </row>
    <row r="24" spans="1:8" ns3:dyDescent="0.2">
      <c r="A24" t="s">
        <v>2</v>
      </c>
      <c r="B24" s="3">
        <v>1</v>
      </c>
    </row>
    <row r="25" spans="1:8" ns3:dyDescent="0.2">
      <c r="A25" t="s">
        <v>3</v>
      </c>
      <c r="B25" s="3" t="s">
        <v>124</v>
      </c>
    </row>
    <row r="26" spans="1:8" ns3:dyDescent="0.2">
      <c r="A26" t="s">
        <v>4</v>
      </c>
      <c r="B26" s="3" t="s">
        <v>5</v>
      </c>
    </row>
    <row r="27" spans="1:8" ns3:dyDescent="0.2">
      <c r="A27" t="s">
        <v>6</v>
      </c>
      <c r="B27" s="3" t="s">
        <v>17</v>
      </c>
    </row>
    <row r="28" spans="1:8" ns3:dyDescent="0.2">
      <c r="A28" t="s">
        <v>261</v>
      </c>
      <c r="B28" s="23">
        <f>0.37*66%</f>
        <v>0.2442</v>
      </c>
    </row>
    <row r="29" spans="1:8" ns3:dyDescent="0.2">
      <c r="A29" t="s">
        <v>8</v>
      </c>
      <c r="B29" s="3" t="s">
        <v>122</v>
      </c>
    </row>
    <row r="30" spans="1:8" ns3:dyDescent="0.2">
      <c r="A30" t="s">
        <v>9</v>
      </c>
      <c r="B30" s="3" t="s">
        <v>128</v>
      </c>
    </row>
    <row r="31" spans="1:8" ht="16" ns3:dyDescent="0.2">
      <c r="A31" s="1" t="s">
        <v>10</v>
      </c>
    </row>
    <row r="32" spans="1:8" ns3:dyDescent="0.2">
      <c r="A32" t="s">
        <v>11</v>
      </c>
      <c r="B32" s="3" t="s">
        <v>12</v>
      </c>
      <c r="C32" t="s">
        <v>1</v>
      </c>
      <c r="D32" t="s">
        <v>6</v>
      </c>
      <c r="E32" t="s">
        <v>13</v>
      </c>
      <c r="F32" t="s">
        <v>4</v>
      </c>
      <c r="G32" t="s">
        <v>9</v>
      </c>
      <c r="H32" t="s">
        <v>3</v>
      </c>
    </row>
    <row r="33" spans="1:8" ns3:dyDescent="0.2">
      <c r="A33" s="3" t="str">
        <f>B22</f>
        <v>heat production, from incineration of plastic waste mixture, energy allocation</v>
      </c>
      <c r="B33" s="3">
        <v>1</v>
      </c>
      <c r="C33" s="3" t="str">
        <f>B23</f>
        <v>CH</v>
      </c>
      <c r="D33" s="3" t="str">
        <f>B27</f>
        <v>megajoule</v>
      </c>
      <c r="F33" t="s">
        <v>15</v>
      </c>
      <c r="G33" t="s">
        <v>16</v>
      </c>
      <c r="H33" s="3" t="str">
        <f>B25</f>
        <v>heat, from incineration of plastic waste mixture, energy allocation</v>
      </c>
    </row>
    <row r="34" spans="1:8" ns3:dyDescent="0.2">
      <c r="A34" t="s">
        <v>149</v>
      </c>
      <c r="B34" s="3">
        <v>1.2699741156169109E-4</v>
      </c>
      <c r="C34" s="3" t="s">
        <v>103</v>
      </c>
      <c r="D34" t="s">
        <v>7</v>
      </c>
      <c r="F34" t="s">
        <v>18</v>
      </c>
      <c r="G34" s="2"/>
      <c r="H34" t="s">
        <v>170</v>
      </c>
    </row>
    <row r="35" spans="1:8" ns3:dyDescent="0.2">
      <c r="A35" t="s">
        <v>150</v>
      </c>
      <c r="B35" s="3">
        <v>3.4647972389991371E-7</v>
      </c>
      <c r="C35" s="3" t="s">
        <v>103</v>
      </c>
      <c r="D35" t="s">
        <v>7</v>
      </c>
      <c r="F35" t="s">
        <v>18</v>
      </c>
      <c r="G35" s="2"/>
      <c r="H35" t="s">
        <v>171</v>
      </c>
    </row>
    <row r="36" spans="1:8" ns3:dyDescent="0.2">
      <c r="A36" t="s">
        <v>168</v>
      </c>
      <c r="B36" s="3">
        <v>2.8979292493528904E-4</v>
      </c>
      <c r="C36" s="3" t="s">
        <v>104</v>
      </c>
      <c r="D36" t="s">
        <v>7</v>
      </c>
      <c r="F36" t="s">
        <v>18</v>
      </c>
      <c r="G36" s="2"/>
      <c r="H36" t="s">
        <v>186</v>
      </c>
    </row>
    <row r="37" spans="1:8" ns3:dyDescent="0.2">
      <c r="A37" t="s">
        <v>151</v>
      </c>
      <c r="B37" s="3">
        <v>2.6754961173425365E-5</v>
      </c>
      <c r="C37" s="3" t="s">
        <v>24</v>
      </c>
      <c r="D37" t="s">
        <v>7</v>
      </c>
      <c r="F37" t="s">
        <v>18</v>
      </c>
      <c r="G37" s="2"/>
      <c r="H37" t="s">
        <v>172</v>
      </c>
    </row>
    <row r="38" spans="1:8" ns3:dyDescent="0.2">
      <c r="A38" t="s">
        <v>152</v>
      </c>
      <c r="B38" s="3">
        <v>1.5343399482312336E-6</v>
      </c>
      <c r="C38" s="3" t="s">
        <v>24</v>
      </c>
      <c r="D38" t="s">
        <v>7</v>
      </c>
      <c r="F38" t="s">
        <v>18</v>
      </c>
      <c r="G38" s="2"/>
      <c r="H38" t="s">
        <v>173</v>
      </c>
    </row>
    <row r="39" spans="1:8" ns3:dyDescent="0.2">
      <c r="A39" t="s">
        <v>493</v>
      </c>
      <c r="B39" s="3">
        <v>1.623727351164797E-7</v>
      </c>
      <c r="C39" s="3" t="s">
        <v>24</v>
      </c>
      <c r="D39" t="s">
        <v>7</v>
      </c>
      <c r="F39" t="s">
        <v>18</v>
      </c>
      <c r="G39" s="2"/>
      <c r="H39" t="s">
        <v>494</v>
      </c>
    </row>
    <row r="40" spans="1:8" ns3:dyDescent="0.2">
      <c r="A40" t="s">
        <v>169</v>
      </c>
      <c r="B40" s="3">
        <v>2.3748058671268332E-2</v>
      </c>
      <c r="C40" s="3" t="s">
        <v>104</v>
      </c>
      <c r="D40" t="s">
        <v>17</v>
      </c>
      <c r="F40" t="s">
        <v>18</v>
      </c>
      <c r="G40" s="2"/>
      <c r="H40" t="s">
        <v>187</v>
      </c>
    </row>
    <row r="41" spans="1:8" ns3:dyDescent="0.2">
      <c r="A41" t="s">
        <v>153</v>
      </c>
      <c r="B41" s="3">
        <v>2.6030198446937014E-5</v>
      </c>
      <c r="C41" s="3" t="s">
        <v>103</v>
      </c>
      <c r="D41" t="s">
        <v>7</v>
      </c>
      <c r="F41" t="s">
        <v>18</v>
      </c>
      <c r="G41" s="2"/>
      <c r="H41" t="s">
        <v>174</v>
      </c>
    </row>
    <row r="42" spans="1:8" ns3:dyDescent="0.2">
      <c r="A42" t="s">
        <v>154</v>
      </c>
      <c r="B42" s="3">
        <v>4.8353753235547878E-5</v>
      </c>
      <c r="C42" s="3" t="s">
        <v>103</v>
      </c>
      <c r="D42" t="s">
        <v>7</v>
      </c>
      <c r="F42" t="s">
        <v>18</v>
      </c>
      <c r="G42" s="2"/>
      <c r="H42" t="s">
        <v>175</v>
      </c>
    </row>
    <row r="43" spans="1:8" ns3:dyDescent="0.2">
      <c r="A43" t="s">
        <v>155</v>
      </c>
      <c r="B43" s="3">
        <v>4.1976704055220016E-6</v>
      </c>
      <c r="C43" s="3" t="s">
        <v>24</v>
      </c>
      <c r="D43" t="s">
        <v>7</v>
      </c>
      <c r="F43" t="s">
        <v>18</v>
      </c>
      <c r="G43" s="2"/>
      <c r="H43" t="s">
        <v>474</v>
      </c>
    </row>
    <row r="44" spans="1:8" ns3:dyDescent="0.2">
      <c r="A44" t="s">
        <v>156</v>
      </c>
      <c r="B44" s="3">
        <v>-3.8813632441760132E-4</v>
      </c>
      <c r="C44" s="3" t="s">
        <v>24</v>
      </c>
      <c r="D44" t="s">
        <v>7</v>
      </c>
      <c r="F44" t="s">
        <v>18</v>
      </c>
      <c r="G44" s="2"/>
      <c r="H44" t="s">
        <v>176</v>
      </c>
    </row>
    <row r="45" spans="1:8" ns3:dyDescent="0.2">
      <c r="A45" t="s">
        <v>157</v>
      </c>
      <c r="B45" s="3">
        <v>2.157031924072476E-11</v>
      </c>
      <c r="C45" s="3" t="s">
        <v>104</v>
      </c>
      <c r="D45" t="s">
        <v>6</v>
      </c>
      <c r="F45" t="s">
        <v>18</v>
      </c>
      <c r="G45" s="2"/>
      <c r="H45" t="s">
        <v>177</v>
      </c>
    </row>
    <row r="46" spans="1:8" ns3:dyDescent="0.2">
      <c r="A46" t="s">
        <v>158</v>
      </c>
      <c r="B46" s="3">
        <v>1.4444348576358927E-3</v>
      </c>
      <c r="C46" s="3" t="s">
        <v>104</v>
      </c>
      <c r="D46" t="s">
        <v>7</v>
      </c>
      <c r="F46" t="s">
        <v>18</v>
      </c>
      <c r="G46" s="2"/>
      <c r="H46" t="s">
        <v>158</v>
      </c>
    </row>
    <row r="47" spans="1:8" ns3:dyDescent="0.2">
      <c r="A47" t="s">
        <v>159</v>
      </c>
      <c r="B47" s="3">
        <v>2.2925798101811907E-3</v>
      </c>
      <c r="C47" s="3" t="s">
        <v>104</v>
      </c>
      <c r="D47" t="s">
        <v>7</v>
      </c>
      <c r="F47" t="s">
        <v>18</v>
      </c>
      <c r="G47" s="2"/>
      <c r="H47" t="s">
        <v>159</v>
      </c>
    </row>
    <row r="48" spans="1:8" ns3:dyDescent="0.2">
      <c r="A48" t="s">
        <v>160</v>
      </c>
      <c r="B48" s="3">
        <v>8.0711820534943907E-4</v>
      </c>
      <c r="C48" s="3" t="s">
        <v>103</v>
      </c>
      <c r="D48" t="s">
        <v>7</v>
      </c>
      <c r="F48" t="s">
        <v>18</v>
      </c>
      <c r="G48" s="2"/>
      <c r="H48" t="s">
        <v>178</v>
      </c>
    </row>
    <row r="49" spans="1:8" ns3:dyDescent="0.2">
      <c r="A49" t="s">
        <v>161</v>
      </c>
      <c r="B49" s="3">
        <v>3.0092320966350298E-12</v>
      </c>
      <c r="C49" s="3" t="s">
        <v>104</v>
      </c>
      <c r="D49" t="s">
        <v>6</v>
      </c>
      <c r="F49" t="s">
        <v>18</v>
      </c>
      <c r="G49" s="2"/>
      <c r="H49" t="s">
        <v>179</v>
      </c>
    </row>
    <row r="50" spans="1:8" ns3:dyDescent="0.2">
      <c r="A50" t="s">
        <v>162</v>
      </c>
      <c r="B50" s="3">
        <v>4.0756686798964627E-12</v>
      </c>
      <c r="C50" s="3" t="s">
        <v>104</v>
      </c>
      <c r="D50" t="s">
        <v>6</v>
      </c>
      <c r="F50" t="s">
        <v>18</v>
      </c>
      <c r="G50" s="2"/>
      <c r="H50" t="s">
        <v>180</v>
      </c>
    </row>
    <row r="51" spans="1:8" ns3:dyDescent="0.2">
      <c r="A51" t="s">
        <v>163</v>
      </c>
      <c r="B51" s="3">
        <v>2.151768766177739E-4</v>
      </c>
      <c r="C51" s="3" t="s">
        <v>267</v>
      </c>
      <c r="D51" t="s">
        <v>7</v>
      </c>
      <c r="F51" t="s">
        <v>18</v>
      </c>
      <c r="G51" s="2"/>
      <c r="H51" t="s">
        <v>181</v>
      </c>
    </row>
    <row r="52" spans="1:8" ns3:dyDescent="0.2">
      <c r="A52" t="s">
        <v>164</v>
      </c>
      <c r="B52" s="3">
        <v>-3.6471958584987054E-7</v>
      </c>
      <c r="C52" s="3" t="s">
        <v>24</v>
      </c>
      <c r="D52" t="s">
        <v>7</v>
      </c>
      <c r="F52" t="s">
        <v>18</v>
      </c>
      <c r="G52" s="2"/>
      <c r="H52" t="s">
        <v>182</v>
      </c>
    </row>
    <row r="53" spans="1:8" ns3:dyDescent="0.2">
      <c r="A53" t="s">
        <v>165</v>
      </c>
      <c r="B53" s="3">
        <v>7.9564279551337343E-6</v>
      </c>
      <c r="C53" s="3" t="s">
        <v>103</v>
      </c>
      <c r="D53" t="s">
        <v>7</v>
      </c>
      <c r="F53" t="s">
        <v>18</v>
      </c>
      <c r="G53" s="2"/>
      <c r="H53" t="s">
        <v>183</v>
      </c>
    </row>
    <row r="54" spans="1:8" ns3:dyDescent="0.2">
      <c r="A54" t="s">
        <v>81</v>
      </c>
      <c r="B54" s="3">
        <v>1.3596203623813632E-4</v>
      </c>
      <c r="C54" s="3" t="s">
        <v>103</v>
      </c>
      <c r="D54" t="s">
        <v>28</v>
      </c>
      <c r="F54" t="s">
        <v>18</v>
      </c>
      <c r="G54" s="2"/>
      <c r="H54" t="s">
        <v>82</v>
      </c>
    </row>
    <row r="55" spans="1:8" ns3:dyDescent="0.2">
      <c r="A55" t="s">
        <v>166</v>
      </c>
      <c r="B55" s="3">
        <v>-7.2448662640207061E-4</v>
      </c>
      <c r="C55" s="3" t="s">
        <v>104</v>
      </c>
      <c r="D55" t="s">
        <v>7</v>
      </c>
      <c r="F55" t="s">
        <v>18</v>
      </c>
      <c r="G55" s="2"/>
      <c r="H55" t="s">
        <v>184</v>
      </c>
    </row>
    <row r="56" spans="1:8" ns3:dyDescent="0.2">
      <c r="A56" t="s">
        <v>167</v>
      </c>
      <c r="B56" s="3">
        <v>0.31717860224331318</v>
      </c>
      <c r="C56" s="3" t="s">
        <v>104</v>
      </c>
      <c r="D56" t="s">
        <v>7</v>
      </c>
      <c r="F56" t="s">
        <v>18</v>
      </c>
      <c r="G56" s="2"/>
      <c r="H56" t="s">
        <v>185</v>
      </c>
    </row>
    <row r="57" spans="1:8" ns3:dyDescent="0.2">
      <c r="A57" t="s">
        <v>188</v>
      </c>
      <c r="B57" s="3">
        <v>1.3128559102674717E-11</v>
      </c>
      <c r="C57" s="3"/>
      <c r="D57" t="s">
        <v>7</v>
      </c>
      <c r="E57" t="s">
        <v>244</v>
      </c>
      <c r="F57" t="s">
        <v>27</v>
      </c>
      <c r="G57" s="2"/>
    </row>
    <row r="58" spans="1:8" ns3:dyDescent="0.2">
      <c r="A58" t="s">
        <v>189</v>
      </c>
      <c r="B58" s="3">
        <v>1.4930974978429678E-7</v>
      </c>
      <c r="C58" s="3"/>
      <c r="D58" t="s">
        <v>7</v>
      </c>
      <c r="E58" t="s">
        <v>244</v>
      </c>
      <c r="F58" t="s">
        <v>27</v>
      </c>
      <c r="G58" s="2"/>
    </row>
    <row r="59" spans="1:8" ns3:dyDescent="0.2">
      <c r="A59" t="s">
        <v>190</v>
      </c>
      <c r="B59" s="3">
        <v>2.7710957722174288E-12</v>
      </c>
      <c r="C59" s="3"/>
      <c r="D59" t="s">
        <v>7</v>
      </c>
      <c r="E59" t="s">
        <v>244</v>
      </c>
      <c r="F59" t="s">
        <v>27</v>
      </c>
      <c r="G59" s="2"/>
    </row>
    <row r="60" spans="1:8" ns3:dyDescent="0.2">
      <c r="A60" t="s">
        <v>191</v>
      </c>
      <c r="B60" s="3">
        <v>1.1982743744607419E-9</v>
      </c>
      <c r="C60" s="3"/>
      <c r="D60" t="s">
        <v>7</v>
      </c>
      <c r="E60" t="s">
        <v>244</v>
      </c>
      <c r="F60" t="s">
        <v>27</v>
      </c>
      <c r="G60" s="2"/>
    </row>
    <row r="61" spans="1:8" ns3:dyDescent="0.2">
      <c r="A61" t="s">
        <v>192</v>
      </c>
      <c r="B61" s="3">
        <v>5.8936151855047445E-8</v>
      </c>
      <c r="C61" s="3"/>
      <c r="D61" t="s">
        <v>7</v>
      </c>
      <c r="E61" t="s">
        <v>244</v>
      </c>
      <c r="F61" t="s">
        <v>27</v>
      </c>
      <c r="G61" s="2"/>
    </row>
    <row r="62" spans="1:8" ns3:dyDescent="0.2">
      <c r="A62" t="s">
        <v>193</v>
      </c>
      <c r="B62" s="3">
        <v>1.2956859361518551E-9</v>
      </c>
      <c r="C62" s="3"/>
      <c r="D62" t="s">
        <v>7</v>
      </c>
      <c r="E62" t="s">
        <v>244</v>
      </c>
      <c r="F62" t="s">
        <v>27</v>
      </c>
      <c r="G62" s="2"/>
    </row>
    <row r="63" spans="1:8" ns3:dyDescent="0.2">
      <c r="A63" t="s">
        <v>194</v>
      </c>
      <c r="B63" s="3">
        <v>2.7093183779119927E-12</v>
      </c>
      <c r="C63" s="3"/>
      <c r="D63" t="s">
        <v>7</v>
      </c>
      <c r="E63" t="s">
        <v>244</v>
      </c>
      <c r="F63" t="s">
        <v>27</v>
      </c>
      <c r="G63" s="2"/>
    </row>
    <row r="64" spans="1:8" ns3:dyDescent="0.2">
      <c r="A64" t="s">
        <v>477</v>
      </c>
      <c r="B64" s="3">
        <v>6.8457290767903355E-12</v>
      </c>
      <c r="C64" s="3"/>
      <c r="D64" t="s">
        <v>7</v>
      </c>
      <c r="E64" t="s">
        <v>244</v>
      </c>
      <c r="F64" t="s">
        <v>27</v>
      </c>
      <c r="G64" s="2"/>
    </row>
    <row r="65" spans="1:7" ns3:dyDescent="0.2">
      <c r="A65" t="s">
        <v>195</v>
      </c>
      <c r="B65" s="3">
        <v>2.8834339948231233E-14</v>
      </c>
      <c r="C65" s="3"/>
      <c r="D65" t="s">
        <v>7</v>
      </c>
      <c r="E65" t="s">
        <v>244</v>
      </c>
      <c r="F65" t="s">
        <v>27</v>
      </c>
      <c r="G65" s="2"/>
    </row>
    <row r="66" spans="1:7" ns3:dyDescent="0.2">
      <c r="A66" t="s">
        <v>196</v>
      </c>
      <c r="B66" s="3">
        <v>2.815099223468507E-9</v>
      </c>
      <c r="C66" s="3"/>
      <c r="D66" t="s">
        <v>7</v>
      </c>
      <c r="E66" t="s">
        <v>244</v>
      </c>
      <c r="F66" t="s">
        <v>27</v>
      </c>
      <c r="G66" s="2"/>
    </row>
    <row r="67" spans="1:7" ns3:dyDescent="0.2">
      <c r="A67" t="s">
        <v>197</v>
      </c>
      <c r="B67" s="3">
        <v>3.3329594477998272E-9</v>
      </c>
      <c r="C67" s="3"/>
      <c r="D67" t="s">
        <v>7</v>
      </c>
      <c r="E67" t="s">
        <v>244</v>
      </c>
      <c r="F67" t="s">
        <v>27</v>
      </c>
      <c r="G67" s="2"/>
    </row>
    <row r="68" spans="1:7" ns3:dyDescent="0.2">
      <c r="A68" t="s">
        <v>144</v>
      </c>
      <c r="B68" s="3">
        <v>0.19924072476272647</v>
      </c>
      <c r="C68" s="3"/>
      <c r="D68" t="s">
        <v>7</v>
      </c>
      <c r="E68" t="s">
        <v>244</v>
      </c>
      <c r="F68" t="s">
        <v>27</v>
      </c>
      <c r="G68" s="2"/>
    </row>
    <row r="69" spans="1:7" ns3:dyDescent="0.2">
      <c r="A69" t="s">
        <v>198</v>
      </c>
      <c r="B69" s="3">
        <v>2.2025884383088867E-6</v>
      </c>
      <c r="C69" s="3"/>
      <c r="D69" t="s">
        <v>7</v>
      </c>
      <c r="E69" t="s">
        <v>244</v>
      </c>
      <c r="F69" t="s">
        <v>27</v>
      </c>
      <c r="G69" s="2"/>
    </row>
    <row r="70" spans="1:7" ns3:dyDescent="0.2">
      <c r="A70" t="s">
        <v>199</v>
      </c>
      <c r="B70" s="3">
        <v>2.872993960310612E-9</v>
      </c>
      <c r="C70" s="3"/>
      <c r="D70" t="s">
        <v>7</v>
      </c>
      <c r="E70" t="s">
        <v>244</v>
      </c>
      <c r="F70" t="s">
        <v>27</v>
      </c>
      <c r="G70" s="2"/>
    </row>
    <row r="71" spans="1:7" ns3:dyDescent="0.2">
      <c r="A71" t="s">
        <v>200</v>
      </c>
      <c r="B71" s="3">
        <v>4.6255392579810181E-9</v>
      </c>
      <c r="C71" s="3"/>
      <c r="D71" t="s">
        <v>7</v>
      </c>
      <c r="E71" t="s">
        <v>244</v>
      </c>
      <c r="F71" t="s">
        <v>27</v>
      </c>
      <c r="G71" s="2"/>
    </row>
    <row r="72" spans="1:7" ns3:dyDescent="0.2">
      <c r="A72" t="s">
        <v>201</v>
      </c>
      <c r="B72" s="3">
        <v>2.3423641069887831E-9</v>
      </c>
      <c r="C72" s="3"/>
      <c r="D72" t="s">
        <v>7</v>
      </c>
      <c r="E72" t="s">
        <v>244</v>
      </c>
      <c r="F72" t="s">
        <v>27</v>
      </c>
      <c r="G72" s="2"/>
    </row>
    <row r="73" spans="1:7" ns3:dyDescent="0.2">
      <c r="A73" t="s">
        <v>202</v>
      </c>
      <c r="B73" s="3">
        <v>1.6898188093183777E-6</v>
      </c>
      <c r="C73" s="3"/>
      <c r="D73" t="s">
        <v>7</v>
      </c>
      <c r="E73" t="s">
        <v>244</v>
      </c>
      <c r="F73" t="s">
        <v>27</v>
      </c>
      <c r="G73" s="2"/>
    </row>
    <row r="74" spans="1:7" ns3:dyDescent="0.2">
      <c r="A74" t="s">
        <v>203</v>
      </c>
      <c r="B74" s="3">
        <v>7.8652286453839509E-6</v>
      </c>
      <c r="C74" s="3"/>
      <c r="D74" t="s">
        <v>7</v>
      </c>
      <c r="E74" t="s">
        <v>244</v>
      </c>
      <c r="F74" t="s">
        <v>27</v>
      </c>
      <c r="G74" s="2"/>
    </row>
    <row r="75" spans="1:7" ns3:dyDescent="0.2">
      <c r="A75" t="s">
        <v>204</v>
      </c>
      <c r="B75" s="3">
        <v>2.591285591026747E-15</v>
      </c>
      <c r="C75" s="3"/>
      <c r="D75" t="s">
        <v>7</v>
      </c>
      <c r="E75" t="s">
        <v>244</v>
      </c>
      <c r="F75" t="s">
        <v>27</v>
      </c>
      <c r="G75" s="2"/>
    </row>
    <row r="76" spans="1:7" ns3:dyDescent="0.2">
      <c r="A76" t="s">
        <v>205</v>
      </c>
      <c r="B76" s="3">
        <v>2.1375323554788608</v>
      </c>
      <c r="C76" s="3"/>
      <c r="D76" t="s">
        <v>17</v>
      </c>
      <c r="E76" t="s">
        <v>244</v>
      </c>
      <c r="F76" t="s">
        <v>27</v>
      </c>
      <c r="G76" s="2"/>
    </row>
    <row r="77" spans="1:7" ns3:dyDescent="0.2">
      <c r="A77" t="s">
        <v>206</v>
      </c>
      <c r="B77" s="3">
        <v>8.9266609145815352E-7</v>
      </c>
      <c r="C77" s="3"/>
      <c r="D77" t="s">
        <v>7</v>
      </c>
      <c r="E77" t="s">
        <v>244</v>
      </c>
      <c r="F77" t="s">
        <v>27</v>
      </c>
      <c r="G77" s="2"/>
    </row>
    <row r="78" spans="1:7" ns3:dyDescent="0.2">
      <c r="A78" t="s">
        <v>207</v>
      </c>
      <c r="B78" s="3">
        <v>7.9848144952545281E-9</v>
      </c>
      <c r="C78" s="3"/>
      <c r="D78" t="s">
        <v>7</v>
      </c>
      <c r="E78" t="s">
        <v>244</v>
      </c>
      <c r="F78" t="s">
        <v>27</v>
      </c>
      <c r="G78" s="2"/>
    </row>
    <row r="79" spans="1:7" ns3:dyDescent="0.2">
      <c r="A79" t="s">
        <v>208</v>
      </c>
      <c r="B79" s="3">
        <v>5.3757549611734245E-10</v>
      </c>
      <c r="C79" s="3"/>
      <c r="D79" t="s">
        <v>7</v>
      </c>
      <c r="E79" t="s">
        <v>244</v>
      </c>
      <c r="F79" t="s">
        <v>27</v>
      </c>
      <c r="G79" s="2"/>
    </row>
    <row r="80" spans="1:7" ns3:dyDescent="0.2">
      <c r="A80" t="s">
        <v>209</v>
      </c>
      <c r="B80" s="3">
        <v>3.0978429680759274E-9</v>
      </c>
      <c r="C80" s="3"/>
      <c r="D80" t="s">
        <v>7</v>
      </c>
      <c r="E80" t="s">
        <v>244</v>
      </c>
      <c r="F80" t="s">
        <v>27</v>
      </c>
      <c r="G80" s="2"/>
    </row>
    <row r="81" spans="1:7" ns3:dyDescent="0.2">
      <c r="A81" t="s">
        <v>210</v>
      </c>
      <c r="B81" s="3">
        <v>1.228817946505608E-9</v>
      </c>
      <c r="C81" s="3"/>
      <c r="D81" t="s">
        <v>7</v>
      </c>
      <c r="E81" t="s">
        <v>244</v>
      </c>
      <c r="F81" t="s">
        <v>27</v>
      </c>
      <c r="G81" s="2"/>
    </row>
    <row r="82" spans="1:7" ns3:dyDescent="0.2">
      <c r="A82" t="s">
        <v>211</v>
      </c>
      <c r="B82" s="3">
        <v>1.9383951682484898E-9</v>
      </c>
      <c r="C82" s="3"/>
      <c r="D82" t="s">
        <v>7</v>
      </c>
      <c r="E82" t="s">
        <v>244</v>
      </c>
      <c r="F82" t="s">
        <v>27</v>
      </c>
      <c r="G82" s="2"/>
    </row>
    <row r="83" spans="1:7" ns3:dyDescent="0.2">
      <c r="A83" t="s">
        <v>212</v>
      </c>
      <c r="B83" s="3">
        <v>1.9435720448662638E-8</v>
      </c>
      <c r="C83" s="3"/>
      <c r="D83" t="s">
        <v>7</v>
      </c>
      <c r="E83" t="s">
        <v>244</v>
      </c>
      <c r="F83" t="s">
        <v>27</v>
      </c>
      <c r="G83" s="2"/>
    </row>
    <row r="84" spans="1:7" ns3:dyDescent="0.2">
      <c r="A84" t="s">
        <v>213</v>
      </c>
      <c r="B84" s="3">
        <v>5.8968075927523725E-8</v>
      </c>
      <c r="C84" s="3"/>
      <c r="D84" t="s">
        <v>7</v>
      </c>
      <c r="E84" t="s">
        <v>244</v>
      </c>
      <c r="F84" t="s">
        <v>27</v>
      </c>
      <c r="G84" s="2"/>
    </row>
    <row r="85" spans="1:7" ns3:dyDescent="0.2">
      <c r="A85" t="s">
        <v>214</v>
      </c>
      <c r="B85" s="3">
        <v>2.0834339948231234E-9</v>
      </c>
      <c r="C85" s="3"/>
      <c r="D85" t="s">
        <v>7</v>
      </c>
      <c r="E85" t="s">
        <v>244</v>
      </c>
      <c r="F85" t="s">
        <v>27</v>
      </c>
      <c r="G85" s="2"/>
    </row>
    <row r="86" spans="1:7" ns3:dyDescent="0.2">
      <c r="A86" t="s">
        <v>215</v>
      </c>
      <c r="B86" s="3">
        <v>4.7282139775668672E-5</v>
      </c>
      <c r="C86" s="3"/>
      <c r="D86" t="s">
        <v>7</v>
      </c>
      <c r="E86" t="s">
        <v>244</v>
      </c>
      <c r="F86" t="s">
        <v>27</v>
      </c>
      <c r="G86" s="2"/>
    </row>
    <row r="87" spans="1:7" ns3:dyDescent="0.2">
      <c r="A87" t="s">
        <v>216</v>
      </c>
      <c r="B87" s="3">
        <v>1.5470232959447798E-7</v>
      </c>
      <c r="C87" s="3"/>
      <c r="D87" t="s">
        <v>7</v>
      </c>
      <c r="E87" t="s">
        <v>244</v>
      </c>
      <c r="F87" t="s">
        <v>27</v>
      </c>
      <c r="G87" s="2"/>
    </row>
    <row r="88" spans="1:7" ns3:dyDescent="0.2">
      <c r="A88" t="s">
        <v>217</v>
      </c>
      <c r="B88" s="3">
        <v>7.7737704918032776E-10</v>
      </c>
      <c r="C88" s="3"/>
      <c r="D88" t="s">
        <v>7</v>
      </c>
      <c r="E88" t="s">
        <v>244</v>
      </c>
      <c r="F88" t="s">
        <v>27</v>
      </c>
      <c r="G88" s="2"/>
    </row>
    <row r="89" spans="1:7" ns3:dyDescent="0.2">
      <c r="A89" t="s">
        <v>218</v>
      </c>
      <c r="B89" s="3">
        <v>5.642709232096634E-13</v>
      </c>
      <c r="C89" s="3"/>
      <c r="D89" t="s">
        <v>7</v>
      </c>
      <c r="E89" t="s">
        <v>244</v>
      </c>
      <c r="F89" t="s">
        <v>27</v>
      </c>
      <c r="G89" s="2"/>
    </row>
    <row r="90" spans="1:7" ns3:dyDescent="0.2">
      <c r="A90" t="s">
        <v>219</v>
      </c>
      <c r="B90" s="3">
        <v>2.0169974115616912E-9</v>
      </c>
      <c r="C90" s="3"/>
      <c r="D90" t="s">
        <v>7</v>
      </c>
      <c r="E90" t="s">
        <v>244</v>
      </c>
      <c r="F90" t="s">
        <v>27</v>
      </c>
      <c r="G90" s="2"/>
    </row>
    <row r="91" spans="1:7" ns3:dyDescent="0.2">
      <c r="A91" t="s">
        <v>220</v>
      </c>
      <c r="B91" s="3">
        <v>9.6867989646246756E-7</v>
      </c>
      <c r="C91" s="3"/>
      <c r="D91" t="s">
        <v>7</v>
      </c>
      <c r="E91" t="s">
        <v>244</v>
      </c>
      <c r="F91" t="s">
        <v>27</v>
      </c>
      <c r="G91" s="2"/>
    </row>
    <row r="92" spans="1:7" ns3:dyDescent="0.2">
      <c r="A92" t="s">
        <v>221</v>
      </c>
      <c r="B92" s="3">
        <v>7.1252804141501287E-10</v>
      </c>
      <c r="C92" s="3"/>
      <c r="D92" t="s">
        <v>7</v>
      </c>
      <c r="E92" t="s">
        <v>244</v>
      </c>
      <c r="F92" t="s">
        <v>27</v>
      </c>
      <c r="G92" s="2"/>
    </row>
    <row r="93" spans="1:7" ns3:dyDescent="0.2">
      <c r="A93" t="s">
        <v>222</v>
      </c>
      <c r="B93" s="3">
        <v>1.2907679033649697E-6</v>
      </c>
      <c r="C93" s="3"/>
      <c r="D93" t="s">
        <v>7</v>
      </c>
      <c r="E93" t="s">
        <v>244</v>
      </c>
      <c r="F93" t="s">
        <v>27</v>
      </c>
      <c r="G93" s="2"/>
    </row>
    <row r="94" spans="1:7" ns3:dyDescent="0.2">
      <c r="A94" t="s">
        <v>223</v>
      </c>
      <c r="B94" s="3">
        <v>3.2204486626402068E-11</v>
      </c>
      <c r="C94" s="3"/>
      <c r="D94" t="s">
        <v>7</v>
      </c>
      <c r="E94" t="s">
        <v>244</v>
      </c>
      <c r="F94" t="s">
        <v>27</v>
      </c>
      <c r="G94" s="2"/>
    </row>
    <row r="95" spans="1:7" ns3:dyDescent="0.2">
      <c r="A95" t="s">
        <v>224</v>
      </c>
      <c r="B95" s="3">
        <v>1.3781708369283865E-12</v>
      </c>
      <c r="C95" s="3"/>
      <c r="D95" t="s">
        <v>7</v>
      </c>
      <c r="E95" t="s">
        <v>244</v>
      </c>
      <c r="F95" t="s">
        <v>27</v>
      </c>
      <c r="G95" s="2"/>
    </row>
    <row r="96" spans="1:7" ns3:dyDescent="0.2">
      <c r="A96" t="s">
        <v>225</v>
      </c>
      <c r="B96" s="3">
        <v>6.679637618636755E-8</v>
      </c>
      <c r="C96" s="3"/>
      <c r="D96" t="s">
        <v>7</v>
      </c>
      <c r="E96" t="s">
        <v>244</v>
      </c>
      <c r="F96" t="s">
        <v>27</v>
      </c>
      <c r="G96" s="2"/>
    </row>
    <row r="97" spans="1:7" ns3:dyDescent="0.2">
      <c r="A97" t="s">
        <v>226</v>
      </c>
      <c r="B97" s="3">
        <v>2.5914581535806724E-9</v>
      </c>
      <c r="C97" s="3"/>
      <c r="D97" t="s">
        <v>7</v>
      </c>
      <c r="E97" t="s">
        <v>244</v>
      </c>
      <c r="F97" t="s">
        <v>27</v>
      </c>
      <c r="G97" s="2"/>
    </row>
    <row r="98" spans="1:7" ns3:dyDescent="0.2">
      <c r="A98" t="s">
        <v>227</v>
      </c>
      <c r="B98" s="3">
        <v>4.920362381363243E-7</v>
      </c>
      <c r="C98" s="3"/>
      <c r="D98" t="s">
        <v>7</v>
      </c>
      <c r="E98" t="s">
        <v>244</v>
      </c>
      <c r="F98" t="s">
        <v>27</v>
      </c>
      <c r="G98" s="2"/>
    </row>
    <row r="99" spans="1:7" ns3:dyDescent="0.2">
      <c r="A99" t="s">
        <v>228</v>
      </c>
      <c r="B99" s="3">
        <v>2.9460681622088005E-4</v>
      </c>
      <c r="C99" s="3"/>
      <c r="D99" t="s">
        <v>37</v>
      </c>
      <c r="E99" t="s">
        <v>244</v>
      </c>
      <c r="F99" t="s">
        <v>27</v>
      </c>
      <c r="G99" s="2"/>
    </row>
    <row r="100" spans="1:7" ns3:dyDescent="0.2">
      <c r="A100" t="s">
        <v>229</v>
      </c>
      <c r="B100" s="3">
        <v>3.0169974115616903E-8</v>
      </c>
      <c r="C100" s="3"/>
      <c r="D100" t="s">
        <v>7</v>
      </c>
      <c r="E100" t="s">
        <v>244</v>
      </c>
      <c r="F100" t="s">
        <v>27</v>
      </c>
      <c r="G100" s="2"/>
    </row>
    <row r="101" spans="1:7" ns3:dyDescent="0.2">
      <c r="A101" t="s">
        <v>188</v>
      </c>
      <c r="B101" s="3">
        <v>1.500776531492666E-5</v>
      </c>
      <c r="C101" s="3"/>
      <c r="D101" t="s">
        <v>7</v>
      </c>
      <c r="E101" t="s">
        <v>245</v>
      </c>
      <c r="F101" t="s">
        <v>27</v>
      </c>
      <c r="G101" s="2"/>
    </row>
    <row r="102" spans="1:7" ns3:dyDescent="0.2">
      <c r="A102" t="s">
        <v>188</v>
      </c>
      <c r="B102" s="3">
        <v>5.4982743744607411E-9</v>
      </c>
      <c r="C102" s="3"/>
      <c r="D102" t="s">
        <v>7</v>
      </c>
      <c r="E102" t="s">
        <v>246</v>
      </c>
      <c r="F102" t="s">
        <v>27</v>
      </c>
      <c r="G102" s="2"/>
    </row>
    <row r="103" spans="1:7" ns3:dyDescent="0.2">
      <c r="A103" t="s">
        <v>190</v>
      </c>
      <c r="B103" s="3">
        <v>1.4037100949094044E-6</v>
      </c>
      <c r="C103" s="3"/>
      <c r="D103" t="s">
        <v>7</v>
      </c>
      <c r="E103" t="s">
        <v>245</v>
      </c>
      <c r="F103" t="s">
        <v>27</v>
      </c>
      <c r="G103" s="2"/>
    </row>
    <row r="104" spans="1:7" ns3:dyDescent="0.2">
      <c r="A104" t="s">
        <v>190</v>
      </c>
      <c r="B104" s="3">
        <v>6.7987057808455564E-7</v>
      </c>
      <c r="C104" s="3"/>
      <c r="D104" t="s">
        <v>7</v>
      </c>
      <c r="E104" t="s">
        <v>246</v>
      </c>
      <c r="F104" t="s">
        <v>27</v>
      </c>
      <c r="G104" s="2"/>
    </row>
    <row r="105" spans="1:7" ns3:dyDescent="0.2">
      <c r="A105" t="s">
        <v>191</v>
      </c>
      <c r="B105" s="3">
        <v>9.3261432269197588E-8</v>
      </c>
      <c r="C105" s="3"/>
      <c r="D105" t="s">
        <v>7</v>
      </c>
      <c r="E105" t="s">
        <v>245</v>
      </c>
      <c r="F105" t="s">
        <v>27</v>
      </c>
      <c r="G105" s="2"/>
    </row>
    <row r="106" spans="1:7" ns3:dyDescent="0.2">
      <c r="A106" t="s">
        <v>191</v>
      </c>
      <c r="B106" s="3">
        <v>5.9814495254529765E-8</v>
      </c>
      <c r="C106" s="3"/>
      <c r="D106" t="s">
        <v>7</v>
      </c>
      <c r="E106" t="s">
        <v>246</v>
      </c>
      <c r="F106" t="s">
        <v>27</v>
      </c>
      <c r="G106" s="2"/>
    </row>
    <row r="107" spans="1:7" ns3:dyDescent="0.2">
      <c r="A107" t="s">
        <v>230</v>
      </c>
      <c r="B107" s="3">
        <v>1.3251078515962033E-4</v>
      </c>
      <c r="C107" s="3"/>
      <c r="D107" t="s">
        <v>7</v>
      </c>
      <c r="E107" t="s">
        <v>245</v>
      </c>
      <c r="F107" t="s">
        <v>27</v>
      </c>
      <c r="G107" s="2"/>
    </row>
    <row r="108" spans="1:7" ns3:dyDescent="0.2">
      <c r="A108" t="s">
        <v>230</v>
      </c>
      <c r="B108" s="3">
        <v>4.0669542709232094E-5</v>
      </c>
      <c r="C108" s="3"/>
      <c r="D108" t="s">
        <v>7</v>
      </c>
      <c r="E108" t="s">
        <v>246</v>
      </c>
      <c r="F108" t="s">
        <v>27</v>
      </c>
      <c r="G108" s="2"/>
    </row>
    <row r="109" spans="1:7" ns3:dyDescent="0.2">
      <c r="A109" t="s">
        <v>192</v>
      </c>
      <c r="B109" s="3">
        <v>1.0969801553062984E-5</v>
      </c>
      <c r="C109" s="3"/>
      <c r="D109" t="s">
        <v>7</v>
      </c>
      <c r="E109" t="s">
        <v>245</v>
      </c>
      <c r="F109" t="s">
        <v>27</v>
      </c>
      <c r="G109" s="2"/>
    </row>
    <row r="110" spans="1:7" ns3:dyDescent="0.2">
      <c r="A110" t="s">
        <v>192</v>
      </c>
      <c r="B110" s="3">
        <v>6.3710094909404658E-9</v>
      </c>
      <c r="C110" s="3"/>
      <c r="D110" t="s">
        <v>7</v>
      </c>
      <c r="E110" t="s">
        <v>246</v>
      </c>
      <c r="F110" t="s">
        <v>27</v>
      </c>
      <c r="G110" s="2"/>
    </row>
    <row r="111" spans="1:7" ns3:dyDescent="0.2">
      <c r="A111" t="s">
        <v>231</v>
      </c>
      <c r="B111" s="3">
        <v>3.777911993097497E-8</v>
      </c>
      <c r="C111" s="3"/>
      <c r="D111" t="s">
        <v>7</v>
      </c>
      <c r="E111" t="s">
        <v>245</v>
      </c>
      <c r="F111" t="s">
        <v>27</v>
      </c>
      <c r="G111" s="2"/>
    </row>
    <row r="112" spans="1:7" ns3:dyDescent="0.2">
      <c r="A112" t="s">
        <v>231</v>
      </c>
      <c r="B112" s="3">
        <v>2.5052631578947369E-11</v>
      </c>
      <c r="C112" s="3"/>
      <c r="D112" t="s">
        <v>7</v>
      </c>
      <c r="E112" t="s">
        <v>246</v>
      </c>
      <c r="F112" t="s">
        <v>27</v>
      </c>
      <c r="G112" s="2"/>
    </row>
    <row r="113" spans="1:7" ns3:dyDescent="0.2">
      <c r="A113" t="s">
        <v>196</v>
      </c>
      <c r="B113" s="3">
        <v>2.9215703192407247E-7</v>
      </c>
      <c r="C113" s="3"/>
      <c r="D113" t="s">
        <v>7</v>
      </c>
      <c r="E113" t="s">
        <v>245</v>
      </c>
      <c r="F113" t="s">
        <v>27</v>
      </c>
      <c r="G113" s="2"/>
    </row>
    <row r="114" spans="1:7" ns3:dyDescent="0.2">
      <c r="A114" t="s">
        <v>196</v>
      </c>
      <c r="B114" s="3">
        <v>5.2295081967213105E-6</v>
      </c>
      <c r="C114" s="3"/>
      <c r="D114" t="s">
        <v>7</v>
      </c>
      <c r="E114" t="s">
        <v>246</v>
      </c>
      <c r="F114" t="s">
        <v>27</v>
      </c>
      <c r="G114" s="2"/>
    </row>
    <row r="115" spans="1:7" ns3:dyDescent="0.2">
      <c r="A115" t="s">
        <v>232</v>
      </c>
      <c r="B115" s="3">
        <v>4.0510785159620358E-4</v>
      </c>
      <c r="C115" s="3"/>
      <c r="D115" t="s">
        <v>7</v>
      </c>
      <c r="E115" t="s">
        <v>245</v>
      </c>
      <c r="F115" t="s">
        <v>27</v>
      </c>
      <c r="G115" s="2"/>
    </row>
    <row r="116" spans="1:7" ns3:dyDescent="0.2">
      <c r="A116" t="s">
        <v>232</v>
      </c>
      <c r="B116" s="3">
        <v>4.1559102674719583E-5</v>
      </c>
      <c r="C116" s="3"/>
      <c r="D116" t="s">
        <v>7</v>
      </c>
      <c r="E116" t="s">
        <v>246</v>
      </c>
      <c r="F116" t="s">
        <v>27</v>
      </c>
      <c r="G116" s="2"/>
    </row>
    <row r="117" spans="1:7" ns3:dyDescent="0.2">
      <c r="A117" t="s">
        <v>197</v>
      </c>
      <c r="B117" s="3">
        <v>1.0484037963761862E-6</v>
      </c>
      <c r="C117" s="3"/>
      <c r="D117" t="s">
        <v>7</v>
      </c>
      <c r="E117" t="s">
        <v>245</v>
      </c>
      <c r="F117" t="s">
        <v>27</v>
      </c>
      <c r="G117" s="2"/>
    </row>
    <row r="118" spans="1:7" ns3:dyDescent="0.2">
      <c r="A118" t="s">
        <v>197</v>
      </c>
      <c r="B118" s="3">
        <v>1.1622088006902501E-9</v>
      </c>
      <c r="C118" s="3"/>
      <c r="D118" t="s">
        <v>7</v>
      </c>
      <c r="E118" t="s">
        <v>246</v>
      </c>
      <c r="F118" t="s">
        <v>27</v>
      </c>
      <c r="G118" s="2"/>
    </row>
    <row r="119" spans="1:7" ns3:dyDescent="0.2">
      <c r="A119" t="s">
        <v>233</v>
      </c>
      <c r="B119" s="3">
        <v>1.2359792924935289E-5</v>
      </c>
      <c r="C119" s="3"/>
      <c r="D119" t="s">
        <v>7</v>
      </c>
      <c r="E119" t="s">
        <v>245</v>
      </c>
      <c r="F119" t="s">
        <v>27</v>
      </c>
      <c r="G119" s="2"/>
    </row>
    <row r="120" spans="1:7" ns3:dyDescent="0.2">
      <c r="A120" t="s">
        <v>233</v>
      </c>
      <c r="B120" s="3">
        <v>2.0633304572907679E-8</v>
      </c>
      <c r="C120" s="3"/>
      <c r="D120" t="s">
        <v>7</v>
      </c>
      <c r="E120" t="s">
        <v>246</v>
      </c>
      <c r="F120" t="s">
        <v>27</v>
      </c>
      <c r="G120" s="2"/>
    </row>
    <row r="121" spans="1:7" ns3:dyDescent="0.2">
      <c r="A121" t="s">
        <v>234</v>
      </c>
      <c r="B121" s="3">
        <v>1.9704918032786882E-4</v>
      </c>
      <c r="C121" s="3"/>
      <c r="D121" t="s">
        <v>7</v>
      </c>
      <c r="E121" t="s">
        <v>245</v>
      </c>
      <c r="F121" t="s">
        <v>27</v>
      </c>
      <c r="G121" s="2"/>
    </row>
    <row r="122" spans="1:7" ns3:dyDescent="0.2">
      <c r="A122" t="s">
        <v>234</v>
      </c>
      <c r="B122" s="3">
        <v>1.3287316652286453E-3</v>
      </c>
      <c r="C122" s="3"/>
      <c r="D122" t="s">
        <v>7</v>
      </c>
      <c r="E122" t="s">
        <v>246</v>
      </c>
      <c r="F122" t="s">
        <v>27</v>
      </c>
      <c r="G122" s="2"/>
    </row>
    <row r="123" spans="1:7" ns3:dyDescent="0.2">
      <c r="A123" t="s">
        <v>199</v>
      </c>
      <c r="B123" s="3">
        <v>4.2713546160483174E-10</v>
      </c>
      <c r="C123" s="3"/>
      <c r="D123" t="s">
        <v>7</v>
      </c>
      <c r="E123" t="s">
        <v>246</v>
      </c>
      <c r="F123" t="s">
        <v>27</v>
      </c>
      <c r="G123" s="2"/>
    </row>
    <row r="124" spans="1:7" ns3:dyDescent="0.2">
      <c r="A124" t="s">
        <v>235</v>
      </c>
      <c r="B124" s="3">
        <v>1.7395168248490077E-7</v>
      </c>
      <c r="C124" s="3"/>
      <c r="D124" t="s">
        <v>7</v>
      </c>
      <c r="E124" t="s">
        <v>245</v>
      </c>
      <c r="F124" t="s">
        <v>27</v>
      </c>
      <c r="G124" s="2"/>
    </row>
    <row r="125" spans="1:7" ns3:dyDescent="0.2">
      <c r="A125" t="s">
        <v>235</v>
      </c>
      <c r="B125" s="3">
        <v>5.0064710957722166E-8</v>
      </c>
      <c r="C125" s="3"/>
      <c r="D125" t="s">
        <v>7</v>
      </c>
      <c r="E125" t="s">
        <v>246</v>
      </c>
      <c r="F125" t="s">
        <v>27</v>
      </c>
      <c r="G125" s="2"/>
    </row>
    <row r="126" spans="1:7" ns3:dyDescent="0.2">
      <c r="A126" t="s">
        <v>200</v>
      </c>
      <c r="B126" s="3">
        <v>2.2249352890422776E-6</v>
      </c>
      <c r="C126" s="3"/>
      <c r="D126" t="s">
        <v>7</v>
      </c>
      <c r="E126" t="s">
        <v>245</v>
      </c>
      <c r="F126" t="s">
        <v>27</v>
      </c>
      <c r="G126" s="2"/>
    </row>
    <row r="127" spans="1:7" ns3:dyDescent="0.2">
      <c r="A127" t="s">
        <v>200</v>
      </c>
      <c r="B127" s="3">
        <v>4.1891285591026745E-10</v>
      </c>
      <c r="C127" s="3"/>
      <c r="D127" t="s">
        <v>7</v>
      </c>
      <c r="E127" t="s">
        <v>246</v>
      </c>
      <c r="F127" t="s">
        <v>27</v>
      </c>
      <c r="G127" s="2"/>
    </row>
    <row r="128" spans="1:7" ns3:dyDescent="0.2">
      <c r="A128" t="s">
        <v>201</v>
      </c>
      <c r="B128" s="3">
        <v>2.4094046591889557E-5</v>
      </c>
      <c r="C128" s="3"/>
      <c r="D128" t="s">
        <v>7</v>
      </c>
      <c r="E128" t="s">
        <v>245</v>
      </c>
      <c r="F128" t="s">
        <v>27</v>
      </c>
      <c r="G128" s="2"/>
    </row>
    <row r="129" spans="1:7" ns3:dyDescent="0.2">
      <c r="A129" t="s">
        <v>201</v>
      </c>
      <c r="B129" s="3">
        <v>2.2126833477135459E-9</v>
      </c>
      <c r="C129" s="3"/>
      <c r="D129" t="s">
        <v>7</v>
      </c>
      <c r="E129" t="s">
        <v>246</v>
      </c>
      <c r="F129" t="s">
        <v>27</v>
      </c>
      <c r="G129" s="2"/>
    </row>
    <row r="130" spans="1:7" ns3:dyDescent="0.2">
      <c r="A130" t="s">
        <v>236</v>
      </c>
      <c r="B130" s="3">
        <v>1.6030198446937013E-4</v>
      </c>
      <c r="C130" s="3"/>
      <c r="D130" t="s">
        <v>7</v>
      </c>
      <c r="E130" t="s">
        <v>245</v>
      </c>
      <c r="F130" t="s">
        <v>27</v>
      </c>
      <c r="G130" s="2"/>
    </row>
    <row r="131" spans="1:7" ns3:dyDescent="0.2">
      <c r="A131" t="s">
        <v>236</v>
      </c>
      <c r="B131" s="3">
        <v>1.8126833477135459E-5</v>
      </c>
      <c r="C131" s="3"/>
      <c r="D131" t="s">
        <v>7</v>
      </c>
      <c r="E131" t="s">
        <v>246</v>
      </c>
      <c r="F131" t="s">
        <v>27</v>
      </c>
      <c r="G131" s="2"/>
    </row>
    <row r="132" spans="1:7" ns3:dyDescent="0.2">
      <c r="A132" t="s">
        <v>237</v>
      </c>
      <c r="B132" s="3">
        <v>7.896031061259706E-7</v>
      </c>
      <c r="C132" s="3"/>
      <c r="D132" t="s">
        <v>7</v>
      </c>
      <c r="E132" t="s">
        <v>245</v>
      </c>
      <c r="F132" t="s">
        <v>27</v>
      </c>
      <c r="G132" s="2"/>
    </row>
    <row r="133" spans="1:7" ns3:dyDescent="0.2">
      <c r="A133" t="s">
        <v>237</v>
      </c>
      <c r="B133" s="3">
        <v>3.4446074201898184E-7</v>
      </c>
      <c r="C133" s="3"/>
      <c r="D133" t="s">
        <v>7</v>
      </c>
      <c r="E133" t="s">
        <v>246</v>
      </c>
      <c r="F133" t="s">
        <v>27</v>
      </c>
      <c r="G133" s="2"/>
    </row>
    <row r="134" spans="1:7" ns3:dyDescent="0.2">
      <c r="A134" t="s">
        <v>205</v>
      </c>
      <c r="B134" s="3">
        <v>0.54251941328731657</v>
      </c>
      <c r="C134" s="3"/>
      <c r="D134" t="s">
        <v>17</v>
      </c>
      <c r="E134" t="s">
        <v>246</v>
      </c>
      <c r="F134" t="s">
        <v>27</v>
      </c>
      <c r="G134" s="2"/>
    </row>
    <row r="135" spans="1:7" ns3:dyDescent="0.2">
      <c r="A135" t="s">
        <v>208</v>
      </c>
      <c r="B135" s="3">
        <v>1.5352027610008627E-4</v>
      </c>
      <c r="C135" s="3"/>
      <c r="D135" t="s">
        <v>7</v>
      </c>
      <c r="E135" t="s">
        <v>245</v>
      </c>
      <c r="F135" t="s">
        <v>27</v>
      </c>
      <c r="G135" s="2"/>
    </row>
    <row r="136" spans="1:7" ns3:dyDescent="0.2">
      <c r="A136" t="s">
        <v>208</v>
      </c>
      <c r="B136" s="3">
        <v>5.7875754961173422E-9</v>
      </c>
      <c r="C136" s="3"/>
      <c r="D136" t="s">
        <v>7</v>
      </c>
      <c r="E136" t="s">
        <v>246</v>
      </c>
      <c r="F136" t="s">
        <v>27</v>
      </c>
      <c r="G136" s="2"/>
    </row>
    <row r="137" spans="1:7" ns3:dyDescent="0.2">
      <c r="A137" t="s">
        <v>209</v>
      </c>
      <c r="B137" s="3">
        <v>2.647540983606557E-5</v>
      </c>
      <c r="C137" s="3"/>
      <c r="D137" t="s">
        <v>7</v>
      </c>
      <c r="E137" t="s">
        <v>245</v>
      </c>
      <c r="F137" t="s">
        <v>27</v>
      </c>
      <c r="G137" s="2"/>
    </row>
    <row r="138" spans="1:7" ns3:dyDescent="0.2">
      <c r="A138" t="s">
        <v>209</v>
      </c>
      <c r="B138" s="3">
        <v>2.560569456427955E-9</v>
      </c>
      <c r="C138" s="3"/>
      <c r="D138" t="s">
        <v>7</v>
      </c>
      <c r="E138" t="s">
        <v>246</v>
      </c>
      <c r="F138" t="s">
        <v>27</v>
      </c>
      <c r="G138" s="2"/>
    </row>
    <row r="139" spans="1:7" ns3:dyDescent="0.2">
      <c r="A139" t="s">
        <v>210</v>
      </c>
      <c r="B139" s="3">
        <v>5.1015530629853312E-6</v>
      </c>
      <c r="C139" s="3"/>
      <c r="D139" t="s">
        <v>7</v>
      </c>
      <c r="E139" t="s">
        <v>245</v>
      </c>
      <c r="F139" t="s">
        <v>27</v>
      </c>
      <c r="G139" s="2"/>
    </row>
    <row r="140" spans="1:7" ns3:dyDescent="0.2">
      <c r="A140" t="s">
        <v>210</v>
      </c>
      <c r="B140" s="3">
        <v>7.8650560828300248E-10</v>
      </c>
      <c r="C140" s="3"/>
      <c r="D140" t="s">
        <v>7</v>
      </c>
      <c r="E140" t="s">
        <v>246</v>
      </c>
      <c r="F140" t="s">
        <v>27</v>
      </c>
      <c r="G140" s="2"/>
    </row>
    <row r="141" spans="1:7" ns3:dyDescent="0.2">
      <c r="A141" t="s">
        <v>211</v>
      </c>
      <c r="B141" s="3">
        <v>1.4357204486626402E-8</v>
      </c>
      <c r="C141" s="3"/>
      <c r="D141" t="s">
        <v>7</v>
      </c>
      <c r="E141" t="s">
        <v>245</v>
      </c>
      <c r="F141" t="s">
        <v>27</v>
      </c>
      <c r="G141" s="2"/>
    </row>
    <row r="142" spans="1:7" ns3:dyDescent="0.2">
      <c r="A142" t="s">
        <v>211</v>
      </c>
      <c r="B142" s="3">
        <v>3.6377049180327864E-10</v>
      </c>
      <c r="C142" s="3"/>
      <c r="D142" t="s">
        <v>7</v>
      </c>
      <c r="E142" t="s">
        <v>246</v>
      </c>
      <c r="F142" t="s">
        <v>27</v>
      </c>
      <c r="G142" s="2"/>
    </row>
    <row r="143" spans="1:7" ns3:dyDescent="0.2">
      <c r="A143" t="s">
        <v>214</v>
      </c>
      <c r="B143" s="3">
        <v>1.6223468507333906E-6</v>
      </c>
      <c r="C143" s="3"/>
      <c r="D143" t="s">
        <v>7</v>
      </c>
      <c r="E143" t="s">
        <v>245</v>
      </c>
      <c r="F143" t="s">
        <v>27</v>
      </c>
      <c r="G143" s="2"/>
    </row>
    <row r="144" spans="1:7" ns3:dyDescent="0.2">
      <c r="A144" t="s">
        <v>214</v>
      </c>
      <c r="B144" s="3">
        <v>1.0992234685073338E-9</v>
      </c>
      <c r="C144" s="3"/>
      <c r="D144" t="s">
        <v>7</v>
      </c>
      <c r="E144" t="s">
        <v>246</v>
      </c>
      <c r="F144" t="s">
        <v>27</v>
      </c>
      <c r="G144" s="2"/>
    </row>
    <row r="145" spans="1:7" ns3:dyDescent="0.2">
      <c r="A145" t="s">
        <v>238</v>
      </c>
      <c r="B145" s="3">
        <v>1.8914581535806728E-5</v>
      </c>
      <c r="C145" s="3"/>
      <c r="D145" t="s">
        <v>7</v>
      </c>
      <c r="E145" t="s">
        <v>245</v>
      </c>
      <c r="F145" t="s">
        <v>27</v>
      </c>
      <c r="G145" s="2"/>
    </row>
    <row r="146" spans="1:7" ns3:dyDescent="0.2">
      <c r="A146" t="s">
        <v>238</v>
      </c>
      <c r="B146" s="3">
        <v>6.7752372735116468E-6</v>
      </c>
      <c r="C146" s="3"/>
      <c r="D146" t="s">
        <v>7</v>
      </c>
      <c r="E146" t="s">
        <v>246</v>
      </c>
      <c r="F146" t="s">
        <v>27</v>
      </c>
      <c r="G146" s="2"/>
    </row>
    <row r="147" spans="1:7" ns3:dyDescent="0.2">
      <c r="A147" t="s">
        <v>219</v>
      </c>
      <c r="B147" s="3">
        <v>1.2974978429680756E-7</v>
      </c>
      <c r="C147" s="3"/>
      <c r="D147" t="s">
        <v>7</v>
      </c>
      <c r="E147" t="s">
        <v>245</v>
      </c>
      <c r="F147" t="s">
        <v>27</v>
      </c>
      <c r="G147" s="2"/>
    </row>
    <row r="148" spans="1:7" ns3:dyDescent="0.2">
      <c r="A148" t="s">
        <v>219</v>
      </c>
      <c r="B148" s="3">
        <v>3.3685936151855048E-8</v>
      </c>
      <c r="C148" s="3"/>
      <c r="D148" t="s">
        <v>7</v>
      </c>
      <c r="E148" t="s">
        <v>246</v>
      </c>
      <c r="F148" t="s">
        <v>27</v>
      </c>
      <c r="G148" s="2"/>
    </row>
    <row r="149" spans="1:7" ns3:dyDescent="0.2">
      <c r="A149" t="s">
        <v>239</v>
      </c>
      <c r="B149" s="3">
        <v>2.9781708369283863E-5</v>
      </c>
      <c r="C149" s="3"/>
      <c r="D149" t="s">
        <v>7</v>
      </c>
      <c r="E149" t="s">
        <v>245</v>
      </c>
      <c r="F149" t="s">
        <v>27</v>
      </c>
      <c r="G149" s="2"/>
    </row>
    <row r="150" spans="1:7" ns3:dyDescent="0.2">
      <c r="A150" t="s">
        <v>239</v>
      </c>
      <c r="B150" s="3">
        <v>6.712855910267472E-8</v>
      </c>
      <c r="C150" s="3"/>
      <c r="D150" t="s">
        <v>7</v>
      </c>
      <c r="E150" t="s">
        <v>246</v>
      </c>
      <c r="F150" t="s">
        <v>27</v>
      </c>
      <c r="G150" s="2"/>
    </row>
    <row r="151" spans="1:7" ns3:dyDescent="0.2">
      <c r="A151" t="s">
        <v>240</v>
      </c>
      <c r="B151" s="3">
        <v>7.7221742881794639E-5</v>
      </c>
      <c r="C151" s="3"/>
      <c r="D151" t="s">
        <v>7</v>
      </c>
      <c r="E151" t="s">
        <v>245</v>
      </c>
      <c r="F151" t="s">
        <v>27</v>
      </c>
      <c r="G151" s="2"/>
    </row>
    <row r="152" spans="1:7" ns3:dyDescent="0.2">
      <c r="A152" t="s">
        <v>240</v>
      </c>
      <c r="B152" s="3">
        <v>3.883002588438309E-5</v>
      </c>
      <c r="C152" s="3"/>
      <c r="D152" t="s">
        <v>7</v>
      </c>
      <c r="E152" t="s">
        <v>246</v>
      </c>
      <c r="F152" t="s">
        <v>27</v>
      </c>
      <c r="G152" s="2"/>
    </row>
    <row r="153" spans="1:7" ns3:dyDescent="0.2">
      <c r="A153" t="s">
        <v>221</v>
      </c>
      <c r="B153" s="3">
        <v>7.1176013805004302E-6</v>
      </c>
      <c r="C153" s="3"/>
      <c r="D153" t="s">
        <v>7</v>
      </c>
      <c r="E153" t="s">
        <v>245</v>
      </c>
      <c r="F153" t="s">
        <v>27</v>
      </c>
      <c r="G153" s="2"/>
    </row>
    <row r="154" spans="1:7" ns3:dyDescent="0.2">
      <c r="A154" t="s">
        <v>221</v>
      </c>
      <c r="B154" s="3">
        <v>4.6582398619499563E-9</v>
      </c>
      <c r="C154" s="3"/>
      <c r="D154" t="s">
        <v>7</v>
      </c>
      <c r="E154" t="s">
        <v>246</v>
      </c>
      <c r="F154" t="s">
        <v>27</v>
      </c>
      <c r="G154" s="2"/>
    </row>
    <row r="155" spans="1:7" ns3:dyDescent="0.2">
      <c r="A155" t="s">
        <v>241</v>
      </c>
      <c r="B155" s="3">
        <v>2.9019844693701461E-4</v>
      </c>
      <c r="C155" s="3"/>
      <c r="D155" t="s">
        <v>7</v>
      </c>
      <c r="E155" t="s">
        <v>245</v>
      </c>
      <c r="F155" t="s">
        <v>27</v>
      </c>
      <c r="G155" s="2"/>
    </row>
    <row r="156" spans="1:7" ns3:dyDescent="0.2">
      <c r="A156" t="s">
        <v>241</v>
      </c>
      <c r="B156" s="3">
        <v>4.9598792062122516E-5</v>
      </c>
      <c r="C156" s="3"/>
      <c r="D156" t="s">
        <v>7</v>
      </c>
      <c r="E156" t="s">
        <v>246</v>
      </c>
      <c r="F156" t="s">
        <v>27</v>
      </c>
      <c r="G156" s="2"/>
    </row>
    <row r="157" spans="1:7" ns3:dyDescent="0.2">
      <c r="A157" t="s">
        <v>242</v>
      </c>
      <c r="B157" s="3">
        <v>1.6030198446937013E-4</v>
      </c>
      <c r="C157" s="3"/>
      <c r="D157" t="s">
        <v>7</v>
      </c>
      <c r="E157" t="s">
        <v>245</v>
      </c>
      <c r="F157" t="s">
        <v>27</v>
      </c>
      <c r="G157" s="2"/>
    </row>
    <row r="158" spans="1:7" ns3:dyDescent="0.2">
      <c r="A158" t="s">
        <v>242</v>
      </c>
      <c r="B158" s="3">
        <v>1.8126833477135459E-5</v>
      </c>
      <c r="C158" s="3"/>
      <c r="D158" t="s">
        <v>7</v>
      </c>
      <c r="E158" t="s">
        <v>246</v>
      </c>
      <c r="F158" t="s">
        <v>27</v>
      </c>
      <c r="G158" s="2"/>
    </row>
    <row r="159" spans="1:7" ns3:dyDescent="0.2">
      <c r="A159" t="s">
        <v>223</v>
      </c>
      <c r="B159" s="3">
        <v>2.4691975841242447E-8</v>
      </c>
      <c r="C159" s="3"/>
      <c r="D159" t="s">
        <v>7</v>
      </c>
      <c r="E159" t="s">
        <v>245</v>
      </c>
      <c r="F159" t="s">
        <v>27</v>
      </c>
      <c r="G159" s="2"/>
    </row>
    <row r="160" spans="1:7" ns3:dyDescent="0.2">
      <c r="A160" t="s">
        <v>223</v>
      </c>
      <c r="B160" s="3">
        <v>2.2882657463330455E-11</v>
      </c>
      <c r="C160" s="3"/>
      <c r="D160" t="s">
        <v>7</v>
      </c>
      <c r="E160" t="s">
        <v>246</v>
      </c>
      <c r="F160" t="s">
        <v>27</v>
      </c>
      <c r="G160" s="2"/>
    </row>
    <row r="161" spans="1:10" ns3:dyDescent="0.2">
      <c r="A161" t="s">
        <v>224</v>
      </c>
      <c r="B161" s="3">
        <v>1.4002588438308886E-6</v>
      </c>
      <c r="C161" s="3"/>
      <c r="D161" t="s">
        <v>7</v>
      </c>
      <c r="E161" t="s">
        <v>245</v>
      </c>
      <c r="F161" t="s">
        <v>27</v>
      </c>
      <c r="G161" s="2"/>
    </row>
    <row r="162" spans="1:10" ns3:dyDescent="0.2">
      <c r="A162" t="s">
        <v>224</v>
      </c>
      <c r="B162" s="3">
        <v>1.9071613459879204E-9</v>
      </c>
      <c r="C162" s="3"/>
      <c r="D162" t="s">
        <v>7</v>
      </c>
      <c r="E162" t="s">
        <v>246</v>
      </c>
      <c r="F162" t="s">
        <v>27</v>
      </c>
      <c r="G162" s="2"/>
    </row>
    <row r="163" spans="1:10" ns3:dyDescent="0.2">
      <c r="A163" t="s">
        <v>225</v>
      </c>
      <c r="B163" s="3">
        <v>2.4094046591889557E-5</v>
      </c>
      <c r="C163" s="3"/>
      <c r="D163" t="s">
        <v>7</v>
      </c>
      <c r="E163" t="s">
        <v>245</v>
      </c>
      <c r="F163" t="s">
        <v>27</v>
      </c>
      <c r="G163" s="2"/>
    </row>
    <row r="164" spans="1:10" ns3:dyDescent="0.2">
      <c r="A164" t="s">
        <v>225</v>
      </c>
      <c r="B164" s="3">
        <v>1.639085418464193E-8</v>
      </c>
      <c r="C164" s="3"/>
      <c r="D164" t="s">
        <v>7</v>
      </c>
      <c r="E164" t="s">
        <v>246</v>
      </c>
      <c r="F164" t="s">
        <v>27</v>
      </c>
      <c r="G164" s="2"/>
    </row>
    <row r="165" spans="1:10" ns3:dyDescent="0.2">
      <c r="A165" t="s">
        <v>227</v>
      </c>
      <c r="B165" s="3">
        <v>6.8428817946505594E-6</v>
      </c>
      <c r="C165" s="3"/>
      <c r="D165" t="s">
        <v>7</v>
      </c>
      <c r="E165" t="s">
        <v>245</v>
      </c>
      <c r="F165" t="s">
        <v>27</v>
      </c>
      <c r="G165" s="2"/>
    </row>
    <row r="166" spans="1:10" ns3:dyDescent="0.2">
      <c r="A166" t="s">
        <v>227</v>
      </c>
      <c r="B166" s="3">
        <v>2.6989646246764449E-8</v>
      </c>
      <c r="C166" s="3"/>
      <c r="D166" t="s">
        <v>7</v>
      </c>
      <c r="E166" t="s">
        <v>246</v>
      </c>
      <c r="F166" t="s">
        <v>27</v>
      </c>
      <c r="G166" s="2"/>
    </row>
    <row r="167" spans="1:10" ns3:dyDescent="0.2">
      <c r="A167" t="s">
        <v>228</v>
      </c>
      <c r="B167" s="3">
        <v>1.0867894736842104E-4</v>
      </c>
      <c r="C167" s="3"/>
      <c r="D167" t="s">
        <v>37</v>
      </c>
      <c r="E167" t="s">
        <v>246</v>
      </c>
      <c r="F167" t="s">
        <v>27</v>
      </c>
      <c r="G167" s="2"/>
    </row>
    <row r="168" spans="1:10" ns3:dyDescent="0.2">
      <c r="A168" t="s">
        <v>229</v>
      </c>
      <c r="B168" s="3">
        <v>2.0211389128559101E-5</v>
      </c>
      <c r="C168" s="3"/>
      <c r="D168" t="s">
        <v>7</v>
      </c>
      <c r="E168" t="s">
        <v>245</v>
      </c>
      <c r="F168" t="s">
        <v>27</v>
      </c>
      <c r="G168" s="2"/>
    </row>
    <row r="169" spans="1:10" ns3:dyDescent="0.2">
      <c r="A169" t="s">
        <v>229</v>
      </c>
      <c r="B169" s="3">
        <v>2.7497842968075925E-9</v>
      </c>
      <c r="C169" s="3"/>
      <c r="D169" t="s">
        <v>7</v>
      </c>
      <c r="E169" t="s">
        <v>246</v>
      </c>
      <c r="F169" t="s">
        <v>27</v>
      </c>
      <c r="G169" s="2"/>
    </row>
    <row r="170" spans="1:10" ns3:dyDescent="0.2">
      <c r="A170" t="s">
        <v>243</v>
      </c>
      <c r="B170" s="3">
        <v>0.21389991371872299</v>
      </c>
      <c r="C170" s="3"/>
      <c r="D170" t="s">
        <v>7</v>
      </c>
      <c r="E170" t="s">
        <v>111</v>
      </c>
      <c r="F170" t="s">
        <v>27</v>
      </c>
      <c r="G170" s="2"/>
    </row>
    <row r="171" spans="1:10" s="50" customFormat="1" ns3:dyDescent="0.2">
      <c r="A171" s="50" t="s">
        <v>484</v>
      </c>
      <c r="B171" s="51">
        <f>6.1/43.4</f>
        <v>0.14055299539170507</v>
      </c>
      <c r="D171" s="50" t="s">
        <v>7</v>
      </c>
      <c r="E171" s="50" t="s">
        <v>485</v>
      </c>
      <c r="F171" s="50" t="s">
        <v>27</v>
      </c>
      <c r="G171" s="50" t="s">
        <v>488</v>
      </c>
      <c r="J171" s="51"/>
    </row>
    <row r="173" spans="1:10" ht="16" ns3:dyDescent="0.2">
      <c r="A173" s="1" t="s">
        <v>0</v>
      </c>
      <c r="B173" s="47" t="s">
        <v>125</v>
      </c>
    </row>
    <row r="174" spans="1:10" ns3:dyDescent="0.2">
      <c r="A174" t="s">
        <v>1</v>
      </c>
      <c r="B174" s="3" t="s">
        <v>104</v>
      </c>
    </row>
    <row r="175" spans="1:10" ns3:dyDescent="0.2">
      <c r="A175" t="s">
        <v>2</v>
      </c>
      <c r="B175" s="3">
        <v>1</v>
      </c>
    </row>
    <row r="176" spans="1:10" ns3:dyDescent="0.2">
      <c r="A176" t="s">
        <v>3</v>
      </c>
      <c r="B176" s="3" t="s">
        <v>127</v>
      </c>
    </row>
    <row r="177" spans="1:8" ns3:dyDescent="0.2">
      <c r="A177" t="s">
        <v>4</v>
      </c>
      <c r="B177" s="3" t="s">
        <v>5</v>
      </c>
    </row>
    <row r="178" spans="1:8" ns3:dyDescent="0.2">
      <c r="A178" t="s">
        <v>6</v>
      </c>
      <c r="B178" s="3" t="s">
        <v>126</v>
      </c>
    </row>
    <row r="179" spans="1:8" ns3:dyDescent="0.2">
      <c r="A179" t="s">
        <v>261</v>
      </c>
      <c r="B179" s="23">
        <f>0.37*33%</f>
        <v>0.1221</v>
      </c>
    </row>
    <row r="180" spans="1:8" ns3:dyDescent="0.2">
      <c r="A180" t="s">
        <v>8</v>
      </c>
      <c r="B180" s="3" t="s">
        <v>122</v>
      </c>
    </row>
    <row r="181" spans="1:8" ns3:dyDescent="0.2">
      <c r="A181" t="s">
        <v>9</v>
      </c>
      <c r="B181" s="3" t="s">
        <v>129</v>
      </c>
    </row>
    <row r="182" spans="1:8" ht="16" ns3:dyDescent="0.2">
      <c r="A182" s="1" t="s">
        <v>10</v>
      </c>
    </row>
    <row r="183" spans="1:8" ns3:dyDescent="0.2">
      <c r="A183" t="s">
        <v>11</v>
      </c>
      <c r="B183" s="3" t="s">
        <v>12</v>
      </c>
      <c r="C183" t="s">
        <v>1</v>
      </c>
      <c r="D183" t="s">
        <v>6</v>
      </c>
      <c r="E183" t="s">
        <v>13</v>
      </c>
      <c r="F183" t="s">
        <v>4</v>
      </c>
      <c r="G183" t="s">
        <v>9</v>
      </c>
      <c r="H183" t="s">
        <v>3</v>
      </c>
    </row>
    <row r="184" spans="1:8" ns3:dyDescent="0.2">
      <c r="A184" s="3" t="str">
        <f>B173</f>
        <v>electricity production, from incineration of plastic waste mixture, energy allocation</v>
      </c>
      <c r="B184" s="3">
        <v>1</v>
      </c>
      <c r="C184" s="3" t="str">
        <f>B174</f>
        <v>CH</v>
      </c>
      <c r="D184" s="3" t="str">
        <f>B178</f>
        <v>kilowatt hour</v>
      </c>
      <c r="F184" t="s">
        <v>15</v>
      </c>
      <c r="G184" t="s">
        <v>16</v>
      </c>
      <c r="H184" s="3" t="str">
        <f>B176</f>
        <v>electricity, from incineration of plastic waste mixture, energy allocation</v>
      </c>
    </row>
    <row r="185" spans="1:8" ns3:dyDescent="0.2">
      <c r="A185" t="s">
        <v>149</v>
      </c>
      <c r="B185" s="3">
        <v>4.5719068162208799E-4</v>
      </c>
      <c r="C185" s="3" t="s">
        <v>103</v>
      </c>
      <c r="D185" t="s">
        <v>7</v>
      </c>
      <c r="F185" t="s">
        <v>18</v>
      </c>
      <c r="G185" s="2"/>
      <c r="H185" t="s">
        <v>170</v>
      </c>
    </row>
    <row r="186" spans="1:8" ns3:dyDescent="0.2">
      <c r="A186" t="s">
        <v>150</v>
      </c>
      <c r="B186" s="3">
        <v>1.2473270060396895E-6</v>
      </c>
      <c r="C186" s="3" t="s">
        <v>103</v>
      </c>
      <c r="D186" t="s">
        <v>7</v>
      </c>
      <c r="F186" t="s">
        <v>18</v>
      </c>
      <c r="G186" s="2"/>
      <c r="H186" t="s">
        <v>171</v>
      </c>
    </row>
    <row r="187" spans="1:8" ns3:dyDescent="0.2">
      <c r="A187" t="s">
        <v>168</v>
      </c>
      <c r="B187" s="3">
        <v>1.0432545297670405E-3</v>
      </c>
      <c r="C187" s="3" t="s">
        <v>104</v>
      </c>
      <c r="D187" t="s">
        <v>7</v>
      </c>
      <c r="F187" t="s">
        <v>18</v>
      </c>
      <c r="G187" s="2"/>
      <c r="H187" t="s">
        <v>186</v>
      </c>
    </row>
    <row r="188" spans="1:8" ns3:dyDescent="0.2">
      <c r="A188" t="s">
        <v>151</v>
      </c>
      <c r="B188" s="3">
        <v>9.6317860224331322E-5</v>
      </c>
      <c r="C188" s="3" t="s">
        <v>24</v>
      </c>
      <c r="D188" t="s">
        <v>7</v>
      </c>
      <c r="F188" t="s">
        <v>18</v>
      </c>
      <c r="G188" s="2"/>
      <c r="H188" t="s">
        <v>172</v>
      </c>
    </row>
    <row r="189" spans="1:8" ns3:dyDescent="0.2">
      <c r="A189" t="s">
        <v>152</v>
      </c>
      <c r="B189" s="3">
        <v>5.5236238136324412E-6</v>
      </c>
      <c r="C189" s="3" t="s">
        <v>24</v>
      </c>
      <c r="D189" t="s">
        <v>7</v>
      </c>
      <c r="F189" t="s">
        <v>18</v>
      </c>
      <c r="G189" s="2"/>
      <c r="H189" t="s">
        <v>173</v>
      </c>
    </row>
    <row r="190" spans="1:8" ns3:dyDescent="0.2">
      <c r="A190" t="s">
        <v>493</v>
      </c>
      <c r="B190" s="3">
        <v>5.8454184641932699E-7</v>
      </c>
      <c r="C190" s="3" t="s">
        <v>24</v>
      </c>
      <c r="D190" t="s">
        <v>7</v>
      </c>
      <c r="F190" t="s">
        <v>18</v>
      </c>
      <c r="G190" s="2"/>
      <c r="H190" t="s">
        <v>494</v>
      </c>
    </row>
    <row r="191" spans="1:8" ns3:dyDescent="0.2">
      <c r="A191" t="s">
        <v>169</v>
      </c>
      <c r="B191" s="3">
        <v>8.5493011216565995E-2</v>
      </c>
      <c r="C191" s="3" t="s">
        <v>104</v>
      </c>
      <c r="D191" t="s">
        <v>17</v>
      </c>
      <c r="F191" t="s">
        <v>18</v>
      </c>
      <c r="G191" s="2"/>
      <c r="H191" t="s">
        <v>187</v>
      </c>
    </row>
    <row r="192" spans="1:8" ns3:dyDescent="0.2">
      <c r="A192" t="s">
        <v>153</v>
      </c>
      <c r="B192" s="3">
        <v>9.3708714408973254E-5</v>
      </c>
      <c r="C192" s="3" t="s">
        <v>103</v>
      </c>
      <c r="D192" t="s">
        <v>7</v>
      </c>
      <c r="F192" t="s">
        <v>18</v>
      </c>
      <c r="G192" s="2"/>
      <c r="H192" t="s">
        <v>174</v>
      </c>
    </row>
    <row r="193" spans="1:8" ns3:dyDescent="0.2">
      <c r="A193" t="s">
        <v>154</v>
      </c>
      <c r="B193" s="3">
        <v>1.7407351164797237E-4</v>
      </c>
      <c r="C193" s="3" t="s">
        <v>103</v>
      </c>
      <c r="D193" t="s">
        <v>7</v>
      </c>
      <c r="F193" t="s">
        <v>18</v>
      </c>
      <c r="G193" s="2"/>
      <c r="H193" t="s">
        <v>175</v>
      </c>
    </row>
    <row r="194" spans="1:8" ns3:dyDescent="0.2">
      <c r="A194" t="s">
        <v>155</v>
      </c>
      <c r="B194" s="3">
        <v>1.5111613459879205E-5</v>
      </c>
      <c r="C194" s="3" t="s">
        <v>24</v>
      </c>
      <c r="D194" t="s">
        <v>7</v>
      </c>
      <c r="F194" t="s">
        <v>18</v>
      </c>
      <c r="G194" s="2"/>
      <c r="H194" t="s">
        <v>474</v>
      </c>
    </row>
    <row r="195" spans="1:8" ns3:dyDescent="0.2">
      <c r="A195" t="s">
        <v>156</v>
      </c>
      <c r="B195" s="3">
        <v>-1.3972907679033648E-3</v>
      </c>
      <c r="C195" s="3" t="s">
        <v>24</v>
      </c>
      <c r="D195" t="s">
        <v>7</v>
      </c>
      <c r="F195" t="s">
        <v>18</v>
      </c>
      <c r="G195" s="2"/>
      <c r="H195" t="s">
        <v>176</v>
      </c>
    </row>
    <row r="196" spans="1:8" ns3:dyDescent="0.2">
      <c r="A196" t="s">
        <v>157</v>
      </c>
      <c r="B196" s="3">
        <v>7.7653149266609152E-11</v>
      </c>
      <c r="C196" s="3" t="s">
        <v>104</v>
      </c>
      <c r="D196" t="s">
        <v>6</v>
      </c>
      <c r="F196" t="s">
        <v>18</v>
      </c>
      <c r="G196" s="2"/>
      <c r="H196" t="s">
        <v>177</v>
      </c>
    </row>
    <row r="197" spans="1:8" ns3:dyDescent="0.2">
      <c r="A197" t="s">
        <v>158</v>
      </c>
      <c r="B197" s="3">
        <v>5.1999654874892139E-3</v>
      </c>
      <c r="C197" s="3" t="s">
        <v>104</v>
      </c>
      <c r="D197" t="s">
        <v>7</v>
      </c>
      <c r="F197" t="s">
        <v>18</v>
      </c>
      <c r="G197" s="2"/>
      <c r="H197" t="s">
        <v>158</v>
      </c>
    </row>
    <row r="198" spans="1:8" ns3:dyDescent="0.2">
      <c r="A198" t="s">
        <v>159</v>
      </c>
      <c r="B198" s="3">
        <v>8.2532873166522858E-3</v>
      </c>
      <c r="C198" s="3" t="s">
        <v>104</v>
      </c>
      <c r="D198" t="s">
        <v>7</v>
      </c>
      <c r="F198" t="s">
        <v>18</v>
      </c>
      <c r="G198" s="2"/>
      <c r="H198" t="s">
        <v>159</v>
      </c>
    </row>
    <row r="199" spans="1:8" ns3:dyDescent="0.2">
      <c r="A199" t="s">
        <v>160</v>
      </c>
      <c r="B199" s="3">
        <v>2.9056255392579809E-3</v>
      </c>
      <c r="C199" s="3" t="s">
        <v>103</v>
      </c>
      <c r="D199" t="s">
        <v>7</v>
      </c>
      <c r="F199" t="s">
        <v>18</v>
      </c>
      <c r="G199" s="2"/>
      <c r="H199" t="s">
        <v>178</v>
      </c>
    </row>
    <row r="200" spans="1:8" ns3:dyDescent="0.2">
      <c r="A200" t="s">
        <v>161</v>
      </c>
      <c r="B200" s="3">
        <v>1.0833235547886107E-11</v>
      </c>
      <c r="C200" s="3" t="s">
        <v>104</v>
      </c>
      <c r="D200" t="s">
        <v>6</v>
      </c>
      <c r="F200" t="s">
        <v>18</v>
      </c>
      <c r="G200" s="2"/>
      <c r="H200" t="s">
        <v>179</v>
      </c>
    </row>
    <row r="201" spans="1:8" ns3:dyDescent="0.2">
      <c r="A201" t="s">
        <v>162</v>
      </c>
      <c r="B201" s="3">
        <v>1.4672407247627266E-11</v>
      </c>
      <c r="C201" s="3" t="s">
        <v>104</v>
      </c>
      <c r="D201" t="s">
        <v>6</v>
      </c>
      <c r="F201" t="s">
        <v>18</v>
      </c>
      <c r="G201" s="2"/>
      <c r="H201" t="s">
        <v>180</v>
      </c>
    </row>
    <row r="202" spans="1:8" ns3:dyDescent="0.2">
      <c r="A202" t="s">
        <v>163</v>
      </c>
      <c r="B202" s="3">
        <v>7.7463675582398607E-4</v>
      </c>
      <c r="C202" s="3" t="s">
        <v>267</v>
      </c>
      <c r="D202" t="s">
        <v>7</v>
      </c>
      <c r="F202" t="s">
        <v>18</v>
      </c>
      <c r="G202" s="2"/>
      <c r="H202" t="s">
        <v>181</v>
      </c>
    </row>
    <row r="203" spans="1:8" ns3:dyDescent="0.2">
      <c r="A203" t="s">
        <v>164</v>
      </c>
      <c r="B203" s="3">
        <v>-1.3129905090595339E-6</v>
      </c>
      <c r="C203" s="3" t="s">
        <v>24</v>
      </c>
      <c r="D203" t="s">
        <v>7</v>
      </c>
      <c r="F203" t="s">
        <v>18</v>
      </c>
      <c r="G203" s="2"/>
      <c r="H203" t="s">
        <v>182</v>
      </c>
    </row>
    <row r="204" spans="1:8" ns3:dyDescent="0.2">
      <c r="A204" t="s">
        <v>165</v>
      </c>
      <c r="B204" s="3">
        <v>2.8643140638481448E-5</v>
      </c>
      <c r="C204" s="3" t="s">
        <v>103</v>
      </c>
      <c r="D204" t="s">
        <v>7</v>
      </c>
      <c r="F204" t="s">
        <v>18</v>
      </c>
      <c r="G204" s="2"/>
      <c r="H204" t="s">
        <v>183</v>
      </c>
    </row>
    <row r="205" spans="1:8" ns3:dyDescent="0.2">
      <c r="A205" t="s">
        <v>81</v>
      </c>
      <c r="B205" s="3">
        <v>4.8946333045729075E-4</v>
      </c>
      <c r="C205" s="3" t="s">
        <v>103</v>
      </c>
      <c r="D205" t="s">
        <v>28</v>
      </c>
      <c r="F205" t="s">
        <v>18</v>
      </c>
      <c r="G205" s="2"/>
      <c r="H205" t="s">
        <v>82</v>
      </c>
    </row>
    <row r="206" spans="1:8" ns3:dyDescent="0.2">
      <c r="A206" t="s">
        <v>166</v>
      </c>
      <c r="B206" s="3">
        <v>-2.6081518550474542E-3</v>
      </c>
      <c r="C206" s="3" t="s">
        <v>104</v>
      </c>
      <c r="D206" t="s">
        <v>7</v>
      </c>
      <c r="F206" t="s">
        <v>18</v>
      </c>
      <c r="G206" s="2"/>
      <c r="H206" t="s">
        <v>184</v>
      </c>
    </row>
    <row r="207" spans="1:8" ns3:dyDescent="0.2">
      <c r="A207" t="s">
        <v>167</v>
      </c>
      <c r="B207" s="3">
        <v>1.1418429680759274</v>
      </c>
      <c r="C207" s="3" t="s">
        <v>104</v>
      </c>
      <c r="D207" t="s">
        <v>7</v>
      </c>
      <c r="F207" t="s">
        <v>18</v>
      </c>
      <c r="G207" s="2"/>
      <c r="H207" t="s">
        <v>185</v>
      </c>
    </row>
    <row r="208" spans="1:8" ns3:dyDescent="0.2">
      <c r="A208" t="s">
        <v>188</v>
      </c>
      <c r="B208" s="3">
        <v>4.7262812769628986E-11</v>
      </c>
      <c r="C208" s="3"/>
      <c r="D208" t="s">
        <v>7</v>
      </c>
      <c r="E208" t="s">
        <v>244</v>
      </c>
      <c r="F208" t="s">
        <v>27</v>
      </c>
      <c r="G208" s="2"/>
    </row>
    <row r="209" spans="1:7" ns3:dyDescent="0.2">
      <c r="A209" t="s">
        <v>189</v>
      </c>
      <c r="B209" s="3">
        <v>5.3751509922346844E-7</v>
      </c>
      <c r="C209" s="3"/>
      <c r="D209" t="s">
        <v>7</v>
      </c>
      <c r="E209" t="s">
        <v>244</v>
      </c>
      <c r="F209" t="s">
        <v>27</v>
      </c>
      <c r="G209" s="2"/>
    </row>
    <row r="210" spans="1:7" ns3:dyDescent="0.2">
      <c r="A210" t="s">
        <v>190</v>
      </c>
      <c r="B210" s="3">
        <v>9.9759447799827437E-12</v>
      </c>
      <c r="C210" s="3"/>
      <c r="D210" t="s">
        <v>7</v>
      </c>
      <c r="E210" t="s">
        <v>244</v>
      </c>
      <c r="F210" t="s">
        <v>27</v>
      </c>
      <c r="G210" s="2"/>
    </row>
    <row r="211" spans="1:7" ns3:dyDescent="0.2">
      <c r="A211" t="s">
        <v>191</v>
      </c>
      <c r="B211" s="3">
        <v>4.3137877480586708E-9</v>
      </c>
      <c r="C211" s="3"/>
      <c r="D211" t="s">
        <v>7</v>
      </c>
      <c r="E211" t="s">
        <v>244</v>
      </c>
      <c r="F211" t="s">
        <v>27</v>
      </c>
      <c r="G211" s="2"/>
    </row>
    <row r="212" spans="1:7" ns3:dyDescent="0.2">
      <c r="A212" t="s">
        <v>192</v>
      </c>
      <c r="B212" s="3">
        <v>2.1217014667817081E-7</v>
      </c>
      <c r="C212" s="3"/>
      <c r="D212" t="s">
        <v>7</v>
      </c>
      <c r="E212" t="s">
        <v>244</v>
      </c>
      <c r="F212" t="s">
        <v>27</v>
      </c>
      <c r="G212" s="2"/>
    </row>
    <row r="213" spans="1:7" ns3:dyDescent="0.2">
      <c r="A213" t="s">
        <v>193</v>
      </c>
      <c r="B213" s="3">
        <v>4.6644693701466782E-9</v>
      </c>
      <c r="C213" s="3"/>
      <c r="D213" t="s">
        <v>7</v>
      </c>
      <c r="E213" t="s">
        <v>244</v>
      </c>
      <c r="F213" t="s">
        <v>27</v>
      </c>
      <c r="G213" s="2"/>
    </row>
    <row r="214" spans="1:7" ns3:dyDescent="0.2">
      <c r="A214" t="s">
        <v>194</v>
      </c>
      <c r="B214" s="3">
        <v>9.7535461604831737E-12</v>
      </c>
      <c r="C214" s="3"/>
      <c r="D214" t="s">
        <v>7</v>
      </c>
      <c r="E214" t="s">
        <v>244</v>
      </c>
      <c r="F214" t="s">
        <v>27</v>
      </c>
      <c r="G214" s="2"/>
    </row>
    <row r="215" spans="1:7" ns3:dyDescent="0.2">
      <c r="A215" t="s">
        <v>477</v>
      </c>
      <c r="B215" s="3">
        <v>2.464462467644521E-11</v>
      </c>
      <c r="C215" s="3"/>
      <c r="D215" t="s">
        <v>7</v>
      </c>
      <c r="E215" t="s">
        <v>244</v>
      </c>
      <c r="F215" t="s">
        <v>27</v>
      </c>
      <c r="G215" s="2"/>
    </row>
    <row r="216" spans="1:7" ns3:dyDescent="0.2">
      <c r="A216" t="s">
        <v>195</v>
      </c>
      <c r="B216" s="3">
        <v>1.0380362381363244E-13</v>
      </c>
      <c r="C216" s="3"/>
      <c r="D216" t="s">
        <v>7</v>
      </c>
      <c r="E216" t="s">
        <v>244</v>
      </c>
      <c r="F216" t="s">
        <v>27</v>
      </c>
      <c r="G216" s="2"/>
    </row>
    <row r="217" spans="1:7" ns3:dyDescent="0.2">
      <c r="A217" t="s">
        <v>196</v>
      </c>
      <c r="B217" s="3">
        <v>1.0134357204486626E-8</v>
      </c>
      <c r="C217" s="3"/>
      <c r="D217" t="s">
        <v>7</v>
      </c>
      <c r="E217" t="s">
        <v>244</v>
      </c>
      <c r="F217" t="s">
        <v>27</v>
      </c>
      <c r="G217" s="2"/>
    </row>
    <row r="218" spans="1:7" ns3:dyDescent="0.2">
      <c r="A218" t="s">
        <v>197</v>
      </c>
      <c r="B218" s="3">
        <v>1.1998654012079379E-8</v>
      </c>
      <c r="C218" s="3"/>
      <c r="D218" t="s">
        <v>7</v>
      </c>
      <c r="E218" t="s">
        <v>244</v>
      </c>
      <c r="F218" t="s">
        <v>27</v>
      </c>
      <c r="G218" s="2"/>
    </row>
    <row r="219" spans="1:7" ns3:dyDescent="0.2">
      <c r="A219" t="s">
        <v>144</v>
      </c>
      <c r="B219" s="3">
        <v>0.71726660914581541</v>
      </c>
      <c r="C219" s="3"/>
      <c r="D219" t="s">
        <v>7</v>
      </c>
      <c r="E219" t="s">
        <v>244</v>
      </c>
      <c r="F219" t="s">
        <v>27</v>
      </c>
      <c r="G219" s="2"/>
    </row>
    <row r="220" spans="1:7" ns3:dyDescent="0.2">
      <c r="A220" t="s">
        <v>198</v>
      </c>
      <c r="B220" s="3">
        <v>7.9293183779119924E-6</v>
      </c>
      <c r="C220" s="3"/>
      <c r="D220" t="s">
        <v>7</v>
      </c>
      <c r="E220" t="s">
        <v>244</v>
      </c>
      <c r="F220" t="s">
        <v>27</v>
      </c>
      <c r="G220" s="2"/>
    </row>
    <row r="221" spans="1:7" ns3:dyDescent="0.2">
      <c r="A221" t="s">
        <v>199</v>
      </c>
      <c r="B221" s="3">
        <v>1.0342778257118203E-8</v>
      </c>
      <c r="C221" s="3"/>
      <c r="D221" t="s">
        <v>7</v>
      </c>
      <c r="E221" t="s">
        <v>244</v>
      </c>
      <c r="F221" t="s">
        <v>27</v>
      </c>
      <c r="G221" s="2"/>
    </row>
    <row r="222" spans="1:7" ns3:dyDescent="0.2">
      <c r="A222" t="s">
        <v>200</v>
      </c>
      <c r="B222" s="3">
        <v>1.6651941328731664E-8</v>
      </c>
      <c r="C222" s="3"/>
      <c r="D222" t="s">
        <v>7</v>
      </c>
      <c r="E222" t="s">
        <v>244</v>
      </c>
      <c r="F222" t="s">
        <v>27</v>
      </c>
      <c r="G222" s="2"/>
    </row>
    <row r="223" spans="1:7" ns3:dyDescent="0.2">
      <c r="A223" t="s">
        <v>201</v>
      </c>
      <c r="B223" s="3">
        <v>8.4325107851596202E-9</v>
      </c>
      <c r="C223" s="3"/>
      <c r="D223" t="s">
        <v>7</v>
      </c>
      <c r="E223" t="s">
        <v>244</v>
      </c>
      <c r="F223" t="s">
        <v>27</v>
      </c>
      <c r="G223" s="2"/>
    </row>
    <row r="224" spans="1:7" ns3:dyDescent="0.2">
      <c r="A224" t="s">
        <v>202</v>
      </c>
      <c r="B224" s="3">
        <v>6.0833477135461605E-6</v>
      </c>
      <c r="C224" s="3"/>
      <c r="D224" t="s">
        <v>7</v>
      </c>
      <c r="E224" t="s">
        <v>244</v>
      </c>
      <c r="F224" t="s">
        <v>27</v>
      </c>
      <c r="G224" s="2"/>
    </row>
    <row r="225" spans="1:7" ns3:dyDescent="0.2">
      <c r="A225" t="s">
        <v>203</v>
      </c>
      <c r="B225" s="3">
        <v>2.8314823123382222E-5</v>
      </c>
      <c r="C225" s="3"/>
      <c r="D225" t="s">
        <v>7</v>
      </c>
      <c r="E225" t="s">
        <v>244</v>
      </c>
      <c r="F225" t="s">
        <v>27</v>
      </c>
      <c r="G225" s="2"/>
    </row>
    <row r="226" spans="1:7" ns3:dyDescent="0.2">
      <c r="A226" t="s">
        <v>204</v>
      </c>
      <c r="B226" s="3">
        <v>9.3286281276962901E-15</v>
      </c>
      <c r="C226" s="3"/>
      <c r="D226" t="s">
        <v>7</v>
      </c>
      <c r="E226" t="s">
        <v>244</v>
      </c>
      <c r="F226" t="s">
        <v>27</v>
      </c>
      <c r="G226" s="2"/>
    </row>
    <row r="227" spans="1:7" ns3:dyDescent="0.2">
      <c r="A227" t="s">
        <v>205</v>
      </c>
      <c r="B227" s="3">
        <v>7.6951164797239002</v>
      </c>
      <c r="C227" s="3"/>
      <c r="D227" t="s">
        <v>17</v>
      </c>
      <c r="E227" t="s">
        <v>244</v>
      </c>
      <c r="F227" t="s">
        <v>27</v>
      </c>
      <c r="G227" s="2"/>
    </row>
    <row r="228" spans="1:7" ns3:dyDescent="0.2">
      <c r="A228" t="s">
        <v>206</v>
      </c>
      <c r="B228" s="3">
        <v>3.213597929249353E-6</v>
      </c>
      <c r="C228" s="3"/>
      <c r="D228" t="s">
        <v>7</v>
      </c>
      <c r="E228" t="s">
        <v>244</v>
      </c>
      <c r="F228" t="s">
        <v>27</v>
      </c>
      <c r="G228" s="2"/>
    </row>
    <row r="229" spans="1:7" ns3:dyDescent="0.2">
      <c r="A229" t="s">
        <v>207</v>
      </c>
      <c r="B229" s="3">
        <v>2.8745332182916305E-8</v>
      </c>
      <c r="C229" s="3"/>
      <c r="D229" t="s">
        <v>7</v>
      </c>
      <c r="E229" t="s">
        <v>244</v>
      </c>
      <c r="F229" t="s">
        <v>27</v>
      </c>
      <c r="G229" s="2"/>
    </row>
    <row r="230" spans="1:7" ns3:dyDescent="0.2">
      <c r="A230" t="s">
        <v>208</v>
      </c>
      <c r="B230" s="3">
        <v>1.9352717860224329E-9</v>
      </c>
      <c r="C230" s="3"/>
      <c r="D230" t="s">
        <v>7</v>
      </c>
      <c r="E230" t="s">
        <v>244</v>
      </c>
      <c r="F230" t="s">
        <v>27</v>
      </c>
      <c r="G230" s="2"/>
    </row>
    <row r="231" spans="1:7" ns3:dyDescent="0.2">
      <c r="A231" t="s">
        <v>209</v>
      </c>
      <c r="B231" s="3">
        <v>1.1152234685073339E-8</v>
      </c>
      <c r="C231" s="3"/>
      <c r="D231" t="s">
        <v>7</v>
      </c>
      <c r="E231" t="s">
        <v>244</v>
      </c>
      <c r="F231" t="s">
        <v>27</v>
      </c>
      <c r="G231" s="2"/>
    </row>
    <row r="232" spans="1:7" ns3:dyDescent="0.2">
      <c r="A232" t="s">
        <v>210</v>
      </c>
      <c r="B232" s="3">
        <v>4.423744607420189E-9</v>
      </c>
      <c r="C232" s="3"/>
      <c r="D232" t="s">
        <v>7</v>
      </c>
      <c r="E232" t="s">
        <v>244</v>
      </c>
      <c r="F232" t="s">
        <v>27</v>
      </c>
      <c r="G232" s="2"/>
    </row>
    <row r="233" spans="1:7" ns3:dyDescent="0.2">
      <c r="A233" t="s">
        <v>211</v>
      </c>
      <c r="B233" s="3">
        <v>6.978222605694564E-9</v>
      </c>
      <c r="C233" s="3"/>
      <c r="D233" t="s">
        <v>7</v>
      </c>
      <c r="E233" t="s">
        <v>244</v>
      </c>
      <c r="F233" t="s">
        <v>27</v>
      </c>
      <c r="G233" s="2"/>
    </row>
    <row r="234" spans="1:7" ns3:dyDescent="0.2">
      <c r="A234" t="s">
        <v>212</v>
      </c>
      <c r="B234" s="3">
        <v>6.99685936151855E-8</v>
      </c>
      <c r="C234" s="3"/>
      <c r="D234" t="s">
        <v>7</v>
      </c>
      <c r="E234" t="s">
        <v>244</v>
      </c>
      <c r="F234" t="s">
        <v>27</v>
      </c>
      <c r="G234" s="2"/>
    </row>
    <row r="235" spans="1:7" ns3:dyDescent="0.2">
      <c r="A235" t="s">
        <v>213</v>
      </c>
      <c r="B235" s="3">
        <v>2.1228507333908542E-7</v>
      </c>
      <c r="C235" s="3"/>
      <c r="D235" t="s">
        <v>7</v>
      </c>
      <c r="E235" t="s">
        <v>244</v>
      </c>
      <c r="F235" t="s">
        <v>27</v>
      </c>
      <c r="G235" s="2"/>
    </row>
    <row r="236" spans="1:7" ns3:dyDescent="0.2">
      <c r="A236" t="s">
        <v>214</v>
      </c>
      <c r="B236" s="3">
        <v>7.5003623813632443E-9</v>
      </c>
      <c r="C236" s="3"/>
      <c r="D236" t="s">
        <v>7</v>
      </c>
      <c r="E236" t="s">
        <v>244</v>
      </c>
      <c r="F236" t="s">
        <v>27</v>
      </c>
      <c r="G236" s="2"/>
    </row>
    <row r="237" spans="1:7" ns3:dyDescent="0.2">
      <c r="A237" t="s">
        <v>215</v>
      </c>
      <c r="B237" s="3">
        <v>1.7021570319240723E-4</v>
      </c>
      <c r="C237" s="3"/>
      <c r="D237" t="s">
        <v>7</v>
      </c>
      <c r="E237" t="s">
        <v>244</v>
      </c>
      <c r="F237" t="s">
        <v>27</v>
      </c>
      <c r="G237" s="2"/>
    </row>
    <row r="238" spans="1:7" ns3:dyDescent="0.2">
      <c r="A238" t="s">
        <v>216</v>
      </c>
      <c r="B238" s="3">
        <v>5.569283865401208E-7</v>
      </c>
      <c r="C238" s="3"/>
      <c r="D238" t="s">
        <v>7</v>
      </c>
      <c r="E238" t="s">
        <v>244</v>
      </c>
      <c r="F238" t="s">
        <v>27</v>
      </c>
      <c r="G238" s="2"/>
    </row>
    <row r="239" spans="1:7" ns3:dyDescent="0.2">
      <c r="A239" t="s">
        <v>217</v>
      </c>
      <c r="B239" s="3">
        <v>2.7985573770491802E-9</v>
      </c>
      <c r="C239" s="3"/>
      <c r="D239" t="s">
        <v>7</v>
      </c>
      <c r="E239" t="s">
        <v>244</v>
      </c>
      <c r="F239" t="s">
        <v>27</v>
      </c>
      <c r="G239" s="2"/>
    </row>
    <row r="240" spans="1:7" ns3:dyDescent="0.2">
      <c r="A240" t="s">
        <v>218</v>
      </c>
      <c r="B240" s="3">
        <v>2.0313753235547885E-12</v>
      </c>
      <c r="C240" s="3"/>
      <c r="D240" t="s">
        <v>7</v>
      </c>
      <c r="E240" t="s">
        <v>244</v>
      </c>
      <c r="F240" t="s">
        <v>27</v>
      </c>
      <c r="G240" s="2"/>
    </row>
    <row r="241" spans="1:7" ns3:dyDescent="0.2">
      <c r="A241" t="s">
        <v>219</v>
      </c>
      <c r="B241" s="3">
        <v>7.2611906816220883E-9</v>
      </c>
      <c r="C241" s="3"/>
      <c r="D241" t="s">
        <v>7</v>
      </c>
      <c r="E241" t="s">
        <v>244</v>
      </c>
      <c r="F241" t="s">
        <v>27</v>
      </c>
      <c r="G241" s="2"/>
    </row>
    <row r="242" spans="1:7" ns3:dyDescent="0.2">
      <c r="A242" t="s">
        <v>220</v>
      </c>
      <c r="B242" s="3">
        <v>3.4872476272648832E-6</v>
      </c>
      <c r="C242" s="3"/>
      <c r="D242" t="s">
        <v>7</v>
      </c>
      <c r="E242" t="s">
        <v>244</v>
      </c>
      <c r="F242" t="s">
        <v>27</v>
      </c>
      <c r="G242" s="2"/>
    </row>
    <row r="243" spans="1:7" ns3:dyDescent="0.2">
      <c r="A243" t="s">
        <v>221</v>
      </c>
      <c r="B243" s="3">
        <v>2.5651009490940462E-9</v>
      </c>
      <c r="C243" s="3"/>
      <c r="D243" t="s">
        <v>7</v>
      </c>
      <c r="E243" t="s">
        <v>244</v>
      </c>
      <c r="F243" t="s">
        <v>27</v>
      </c>
      <c r="G243" s="2"/>
    </row>
    <row r="244" spans="1:7" ns3:dyDescent="0.2">
      <c r="A244" t="s">
        <v>222</v>
      </c>
      <c r="B244" s="3">
        <v>4.6467644521138916E-6</v>
      </c>
      <c r="C244" s="3"/>
      <c r="D244" t="s">
        <v>7</v>
      </c>
      <c r="E244" t="s">
        <v>244</v>
      </c>
      <c r="F244" t="s">
        <v>27</v>
      </c>
      <c r="G244" s="2"/>
    </row>
    <row r="245" spans="1:7" ns3:dyDescent="0.2">
      <c r="A245" t="s">
        <v>223</v>
      </c>
      <c r="B245" s="3">
        <v>1.1593615185504745E-10</v>
      </c>
      <c r="C245" s="3"/>
      <c r="D245" t="s">
        <v>7</v>
      </c>
      <c r="E245" t="s">
        <v>244</v>
      </c>
      <c r="F245" t="s">
        <v>27</v>
      </c>
      <c r="G245" s="2"/>
    </row>
    <row r="246" spans="1:7" ns3:dyDescent="0.2">
      <c r="A246" t="s">
        <v>224</v>
      </c>
      <c r="B246" s="3">
        <v>4.9614150129421915E-12</v>
      </c>
      <c r="C246" s="3"/>
      <c r="D246" t="s">
        <v>7</v>
      </c>
      <c r="E246" t="s">
        <v>244</v>
      </c>
      <c r="F246" t="s">
        <v>27</v>
      </c>
      <c r="G246" s="2"/>
    </row>
    <row r="247" spans="1:7" ns3:dyDescent="0.2">
      <c r="A247" t="s">
        <v>225</v>
      </c>
      <c r="B247" s="3">
        <v>2.4046695427092317E-7</v>
      </c>
      <c r="C247" s="3"/>
      <c r="D247" t="s">
        <v>7</v>
      </c>
      <c r="E247" t="s">
        <v>244</v>
      </c>
      <c r="F247" t="s">
        <v>27</v>
      </c>
      <c r="G247" s="2"/>
    </row>
    <row r="248" spans="1:7" ns3:dyDescent="0.2">
      <c r="A248" t="s">
        <v>226</v>
      </c>
      <c r="B248" s="3">
        <v>9.3292493528904218E-9</v>
      </c>
      <c r="C248" s="3"/>
      <c r="D248" t="s">
        <v>7</v>
      </c>
      <c r="E248" t="s">
        <v>244</v>
      </c>
      <c r="F248" t="s">
        <v>27</v>
      </c>
      <c r="G248" s="2"/>
    </row>
    <row r="249" spans="1:7" ns3:dyDescent="0.2">
      <c r="A249" t="s">
        <v>227</v>
      </c>
      <c r="B249" s="3">
        <v>1.7713304572907677E-6</v>
      </c>
      <c r="C249" s="3"/>
      <c r="D249" t="s">
        <v>7</v>
      </c>
      <c r="E249" t="s">
        <v>244</v>
      </c>
      <c r="F249" t="s">
        <v>27</v>
      </c>
      <c r="G249" s="2"/>
    </row>
    <row r="250" spans="1:7" ns3:dyDescent="0.2">
      <c r="A250" t="s">
        <v>228</v>
      </c>
      <c r="B250" s="3">
        <v>1.0605845383951683E-3</v>
      </c>
      <c r="C250" s="3"/>
      <c r="D250" t="s">
        <v>37</v>
      </c>
      <c r="E250" t="s">
        <v>244</v>
      </c>
      <c r="F250" t="s">
        <v>27</v>
      </c>
      <c r="G250" s="2"/>
    </row>
    <row r="251" spans="1:7" ns3:dyDescent="0.2">
      <c r="A251" t="s">
        <v>229</v>
      </c>
      <c r="B251" s="3">
        <v>1.0861190681622086E-7</v>
      </c>
      <c r="C251" s="3"/>
      <c r="D251" t="s">
        <v>7</v>
      </c>
      <c r="E251" t="s">
        <v>244</v>
      </c>
      <c r="F251" t="s">
        <v>27</v>
      </c>
      <c r="G251" s="2"/>
    </row>
    <row r="252" spans="1:7" ns3:dyDescent="0.2">
      <c r="A252" t="s">
        <v>188</v>
      </c>
      <c r="B252" s="3">
        <v>5.4027955133735981E-5</v>
      </c>
      <c r="C252" s="3"/>
      <c r="D252" t="s">
        <v>7</v>
      </c>
      <c r="E252" t="s">
        <v>245</v>
      </c>
      <c r="F252" t="s">
        <v>27</v>
      </c>
      <c r="G252" s="2"/>
    </row>
    <row r="253" spans="1:7" ns3:dyDescent="0.2">
      <c r="A253" t="s">
        <v>188</v>
      </c>
      <c r="B253" s="3">
        <v>1.9793787748058669E-8</v>
      </c>
      <c r="C253" s="3"/>
      <c r="D253" t="s">
        <v>7</v>
      </c>
      <c r="E253" t="s">
        <v>246</v>
      </c>
      <c r="F253" t="s">
        <v>27</v>
      </c>
      <c r="G253" s="2"/>
    </row>
    <row r="254" spans="1:7" ns3:dyDescent="0.2">
      <c r="A254" t="s">
        <v>190</v>
      </c>
      <c r="B254" s="3">
        <v>5.0533563416738567E-6</v>
      </c>
      <c r="C254" s="3"/>
      <c r="D254" t="s">
        <v>7</v>
      </c>
      <c r="E254" t="s">
        <v>245</v>
      </c>
      <c r="F254" t="s">
        <v>27</v>
      </c>
      <c r="G254" s="2"/>
    </row>
    <row r="255" spans="1:7" ns3:dyDescent="0.2">
      <c r="A255" t="s">
        <v>190</v>
      </c>
      <c r="B255" s="3">
        <v>2.4475340811044003E-6</v>
      </c>
      <c r="C255" s="3"/>
      <c r="D255" t="s">
        <v>7</v>
      </c>
      <c r="E255" t="s">
        <v>246</v>
      </c>
      <c r="F255" t="s">
        <v>27</v>
      </c>
      <c r="G255" s="2"/>
    </row>
    <row r="256" spans="1:7" ns3:dyDescent="0.2">
      <c r="A256" t="s">
        <v>191</v>
      </c>
      <c r="B256" s="3">
        <v>3.3574115616911132E-7</v>
      </c>
      <c r="C256" s="3"/>
      <c r="D256" t="s">
        <v>7</v>
      </c>
      <c r="E256" t="s">
        <v>245</v>
      </c>
      <c r="F256" t="s">
        <v>27</v>
      </c>
      <c r="G256" s="2"/>
    </row>
    <row r="257" spans="1:7" ns3:dyDescent="0.2">
      <c r="A257" t="s">
        <v>191</v>
      </c>
      <c r="B257" s="3">
        <v>2.1533218291630715E-7</v>
      </c>
      <c r="C257" s="3"/>
      <c r="D257" t="s">
        <v>7</v>
      </c>
      <c r="E257" t="s">
        <v>246</v>
      </c>
      <c r="F257" t="s">
        <v>27</v>
      </c>
      <c r="G257" s="2"/>
    </row>
    <row r="258" spans="1:7" ns3:dyDescent="0.2">
      <c r="A258" t="s">
        <v>230</v>
      </c>
      <c r="B258" s="3">
        <v>4.7703882657463328E-4</v>
      </c>
      <c r="C258" s="3"/>
      <c r="D258" t="s">
        <v>7</v>
      </c>
      <c r="E258" t="s">
        <v>245</v>
      </c>
      <c r="F258" t="s">
        <v>27</v>
      </c>
      <c r="G258" s="2"/>
    </row>
    <row r="259" spans="1:7" ns3:dyDescent="0.2">
      <c r="A259" t="s">
        <v>230</v>
      </c>
      <c r="B259" s="3">
        <v>1.4641035375323553E-4</v>
      </c>
      <c r="C259" s="3"/>
      <c r="D259" t="s">
        <v>7</v>
      </c>
      <c r="E259" t="s">
        <v>246</v>
      </c>
      <c r="F259" t="s">
        <v>27</v>
      </c>
      <c r="G259" s="2"/>
    </row>
    <row r="260" spans="1:7" ns3:dyDescent="0.2">
      <c r="A260" t="s">
        <v>192</v>
      </c>
      <c r="B260" s="3">
        <v>3.9491285591026744E-5</v>
      </c>
      <c r="C260" s="3"/>
      <c r="D260" t="s">
        <v>7</v>
      </c>
      <c r="E260" t="s">
        <v>245</v>
      </c>
      <c r="F260" t="s">
        <v>27</v>
      </c>
      <c r="G260" s="2"/>
    </row>
    <row r="261" spans="1:7" ns3:dyDescent="0.2">
      <c r="A261" t="s">
        <v>192</v>
      </c>
      <c r="B261" s="3">
        <v>2.2935634167385678E-8</v>
      </c>
      <c r="C261" s="3"/>
      <c r="D261" t="s">
        <v>7</v>
      </c>
      <c r="E261" t="s">
        <v>246</v>
      </c>
      <c r="F261" t="s">
        <v>27</v>
      </c>
      <c r="G261" s="2"/>
    </row>
    <row r="262" spans="1:7" ns3:dyDescent="0.2">
      <c r="A262" t="s">
        <v>231</v>
      </c>
      <c r="B262" s="3">
        <v>1.3600483175150992E-7</v>
      </c>
      <c r="C262" s="3"/>
      <c r="D262" t="s">
        <v>7</v>
      </c>
      <c r="E262" t="s">
        <v>245</v>
      </c>
      <c r="F262" t="s">
        <v>27</v>
      </c>
      <c r="G262" s="2"/>
    </row>
    <row r="263" spans="1:7" ns3:dyDescent="0.2">
      <c r="A263" t="s">
        <v>231</v>
      </c>
      <c r="B263" s="3">
        <v>9.0189473684210522E-11</v>
      </c>
      <c r="C263" s="3"/>
      <c r="D263" t="s">
        <v>7</v>
      </c>
      <c r="E263" t="s">
        <v>246</v>
      </c>
      <c r="F263" t="s">
        <v>27</v>
      </c>
      <c r="G263" s="2"/>
    </row>
    <row r="264" spans="1:7" ns3:dyDescent="0.2">
      <c r="A264" t="s">
        <v>196</v>
      </c>
      <c r="B264" s="3">
        <v>1.0517653149266608E-6</v>
      </c>
      <c r="C264" s="3"/>
      <c r="D264" t="s">
        <v>7</v>
      </c>
      <c r="E264" t="s">
        <v>245</v>
      </c>
      <c r="F264" t="s">
        <v>27</v>
      </c>
      <c r="G264" s="2"/>
    </row>
    <row r="265" spans="1:7" ns3:dyDescent="0.2">
      <c r="A265" t="s">
        <v>196</v>
      </c>
      <c r="B265" s="3">
        <v>1.8826229508196721E-5</v>
      </c>
      <c r="C265" s="3"/>
      <c r="D265" t="s">
        <v>7</v>
      </c>
      <c r="E265" t="s">
        <v>246</v>
      </c>
      <c r="F265" t="s">
        <v>27</v>
      </c>
      <c r="G265" s="2"/>
    </row>
    <row r="266" spans="1:7" ns3:dyDescent="0.2">
      <c r="A266" t="s">
        <v>232</v>
      </c>
      <c r="B266" s="3">
        <v>1.4583882657463331E-3</v>
      </c>
      <c r="C266" s="3"/>
      <c r="D266" t="s">
        <v>7</v>
      </c>
      <c r="E266" t="s">
        <v>245</v>
      </c>
      <c r="F266" t="s">
        <v>27</v>
      </c>
      <c r="G266" s="2"/>
    </row>
    <row r="267" spans="1:7" ns3:dyDescent="0.2">
      <c r="A267" t="s">
        <v>232</v>
      </c>
      <c r="B267" s="3">
        <v>1.4961276962899051E-4</v>
      </c>
      <c r="C267" s="3"/>
      <c r="D267" t="s">
        <v>7</v>
      </c>
      <c r="E267" t="s">
        <v>246</v>
      </c>
      <c r="F267" t="s">
        <v>27</v>
      </c>
      <c r="G267" s="2"/>
    </row>
    <row r="268" spans="1:7" ns3:dyDescent="0.2">
      <c r="A268" t="s">
        <v>197</v>
      </c>
      <c r="B268" s="3">
        <v>3.7742536669542706E-6</v>
      </c>
      <c r="C268" s="3"/>
      <c r="D268" t="s">
        <v>7</v>
      </c>
      <c r="E268" t="s">
        <v>245</v>
      </c>
      <c r="F268" t="s">
        <v>27</v>
      </c>
      <c r="G268" s="2"/>
    </row>
    <row r="269" spans="1:7" ns3:dyDescent="0.2">
      <c r="A269" t="s">
        <v>197</v>
      </c>
      <c r="B269" s="3">
        <v>4.1839516824849004E-9</v>
      </c>
      <c r="C269" s="3"/>
      <c r="D269" t="s">
        <v>7</v>
      </c>
      <c r="E269" t="s">
        <v>246</v>
      </c>
      <c r="F269" t="s">
        <v>27</v>
      </c>
      <c r="G269" s="2"/>
    </row>
    <row r="270" spans="1:7" ns3:dyDescent="0.2">
      <c r="A270" t="s">
        <v>233</v>
      </c>
      <c r="B270" s="3">
        <v>4.4495254529767041E-5</v>
      </c>
      <c r="C270" s="3"/>
      <c r="D270" t="s">
        <v>7</v>
      </c>
      <c r="E270" t="s">
        <v>245</v>
      </c>
      <c r="F270" t="s">
        <v>27</v>
      </c>
      <c r="G270" s="2"/>
    </row>
    <row r="271" spans="1:7" ns3:dyDescent="0.2">
      <c r="A271" t="s">
        <v>233</v>
      </c>
      <c r="B271" s="3">
        <v>7.4279896462467648E-8</v>
      </c>
      <c r="C271" s="3"/>
      <c r="D271" t="s">
        <v>7</v>
      </c>
      <c r="E271" t="s">
        <v>246</v>
      </c>
      <c r="F271" t="s">
        <v>27</v>
      </c>
      <c r="G271" s="2"/>
    </row>
    <row r="272" spans="1:7" ns3:dyDescent="0.2">
      <c r="A272" t="s">
        <v>234</v>
      </c>
      <c r="B272" s="3">
        <v>7.0937704918032786E-4</v>
      </c>
      <c r="C272" s="3"/>
      <c r="D272" t="s">
        <v>7</v>
      </c>
      <c r="E272" t="s">
        <v>245</v>
      </c>
      <c r="F272" t="s">
        <v>27</v>
      </c>
      <c r="G272" s="2"/>
    </row>
    <row r="273" spans="1:7" ns3:dyDescent="0.2">
      <c r="A273" t="s">
        <v>234</v>
      </c>
      <c r="B273" s="3">
        <v>4.7834339948231233E-3</v>
      </c>
      <c r="C273" s="3"/>
      <c r="D273" t="s">
        <v>7</v>
      </c>
      <c r="E273" t="s">
        <v>246</v>
      </c>
      <c r="F273" t="s">
        <v>27</v>
      </c>
      <c r="G273" s="2"/>
    </row>
    <row r="274" spans="1:7" ns3:dyDescent="0.2">
      <c r="A274" t="s">
        <v>199</v>
      </c>
      <c r="B274" s="3">
        <v>1.5376876617773942E-9</v>
      </c>
      <c r="C274" s="3"/>
      <c r="D274" t="s">
        <v>7</v>
      </c>
      <c r="E274" t="s">
        <v>246</v>
      </c>
      <c r="F274" t="s">
        <v>27</v>
      </c>
      <c r="G274" s="2"/>
    </row>
    <row r="275" spans="1:7" ns3:dyDescent="0.2">
      <c r="A275" t="s">
        <v>235</v>
      </c>
      <c r="B275" s="3">
        <v>6.2622605694564283E-7</v>
      </c>
      <c r="C275" s="3"/>
      <c r="D275" t="s">
        <v>7</v>
      </c>
      <c r="E275" t="s">
        <v>245</v>
      </c>
      <c r="F275" t="s">
        <v>27</v>
      </c>
      <c r="G275" s="2"/>
    </row>
    <row r="276" spans="1:7" ns3:dyDescent="0.2">
      <c r="A276" t="s">
        <v>235</v>
      </c>
      <c r="B276" s="3">
        <v>1.802329594477998E-7</v>
      </c>
      <c r="C276" s="3"/>
      <c r="D276" t="s">
        <v>7</v>
      </c>
      <c r="E276" t="s">
        <v>246</v>
      </c>
      <c r="F276" t="s">
        <v>27</v>
      </c>
      <c r="G276" s="2"/>
    </row>
    <row r="277" spans="1:7" ns3:dyDescent="0.2">
      <c r="A277" t="s">
        <v>200</v>
      </c>
      <c r="B277" s="3">
        <v>8.0097670405521992E-6</v>
      </c>
      <c r="C277" s="3"/>
      <c r="D277" t="s">
        <v>7</v>
      </c>
      <c r="E277" t="s">
        <v>245</v>
      </c>
      <c r="F277" t="s">
        <v>27</v>
      </c>
      <c r="G277" s="2"/>
    </row>
    <row r="278" spans="1:7" ns3:dyDescent="0.2">
      <c r="A278" t="s">
        <v>200</v>
      </c>
      <c r="B278" s="3">
        <v>1.5080862812769628E-9</v>
      </c>
      <c r="C278" s="3"/>
      <c r="D278" t="s">
        <v>7</v>
      </c>
      <c r="E278" t="s">
        <v>246</v>
      </c>
      <c r="F278" t="s">
        <v>27</v>
      </c>
      <c r="G278" s="2"/>
    </row>
    <row r="279" spans="1:7" ns3:dyDescent="0.2">
      <c r="A279" t="s">
        <v>201</v>
      </c>
      <c r="B279" s="3">
        <v>8.6738567730802401E-5</v>
      </c>
      <c r="C279" s="3"/>
      <c r="D279" t="s">
        <v>7</v>
      </c>
      <c r="E279" t="s">
        <v>245</v>
      </c>
      <c r="F279" t="s">
        <v>27</v>
      </c>
      <c r="G279" s="2"/>
    </row>
    <row r="280" spans="1:7" ns3:dyDescent="0.2">
      <c r="A280" t="s">
        <v>201</v>
      </c>
      <c r="B280" s="3">
        <v>7.9656600517687653E-9</v>
      </c>
      <c r="C280" s="3"/>
      <c r="D280" t="s">
        <v>7</v>
      </c>
      <c r="E280" t="s">
        <v>246</v>
      </c>
      <c r="F280" t="s">
        <v>27</v>
      </c>
      <c r="G280" s="2"/>
    </row>
    <row r="281" spans="1:7" ns3:dyDescent="0.2">
      <c r="A281" t="s">
        <v>236</v>
      </c>
      <c r="B281" s="3">
        <v>5.7708714408973255E-4</v>
      </c>
      <c r="C281" s="3"/>
      <c r="D281" t="s">
        <v>7</v>
      </c>
      <c r="E281" t="s">
        <v>245</v>
      </c>
      <c r="F281" t="s">
        <v>27</v>
      </c>
      <c r="G281" s="2"/>
    </row>
    <row r="282" spans="1:7" ns3:dyDescent="0.2">
      <c r="A282" t="s">
        <v>236</v>
      </c>
      <c r="B282" s="3">
        <v>6.525660051768766E-5</v>
      </c>
      <c r="C282" s="3"/>
      <c r="D282" t="s">
        <v>7</v>
      </c>
      <c r="E282" t="s">
        <v>246</v>
      </c>
      <c r="F282" t="s">
        <v>27</v>
      </c>
      <c r="G282" s="2"/>
    </row>
    <row r="283" spans="1:7" ns3:dyDescent="0.2">
      <c r="A283" t="s">
        <v>237</v>
      </c>
      <c r="B283" s="3">
        <v>2.8425711820534943E-6</v>
      </c>
      <c r="C283" s="3"/>
      <c r="D283" t="s">
        <v>7</v>
      </c>
      <c r="E283" t="s">
        <v>245</v>
      </c>
      <c r="F283" t="s">
        <v>27</v>
      </c>
      <c r="G283" s="2"/>
    </row>
    <row r="284" spans="1:7" ns3:dyDescent="0.2">
      <c r="A284" t="s">
        <v>237</v>
      </c>
      <c r="B284" s="3">
        <v>1.2400586712683346E-6</v>
      </c>
      <c r="C284" s="3"/>
      <c r="D284" t="s">
        <v>7</v>
      </c>
      <c r="E284" t="s">
        <v>246</v>
      </c>
      <c r="F284" t="s">
        <v>27</v>
      </c>
      <c r="G284" s="2"/>
    </row>
    <row r="285" spans="1:7" ns3:dyDescent="0.2">
      <c r="A285" t="s">
        <v>205</v>
      </c>
      <c r="B285" s="3">
        <v>1.9530698878343398</v>
      </c>
      <c r="C285" s="3"/>
      <c r="D285" t="s">
        <v>17</v>
      </c>
      <c r="E285" t="s">
        <v>246</v>
      </c>
      <c r="F285" t="s">
        <v>27</v>
      </c>
      <c r="G285" s="2"/>
    </row>
    <row r="286" spans="1:7" ns3:dyDescent="0.2">
      <c r="A286" t="s">
        <v>208</v>
      </c>
      <c r="B286" s="3">
        <v>5.5267299396031058E-4</v>
      </c>
      <c r="C286" s="3"/>
      <c r="D286" t="s">
        <v>7</v>
      </c>
      <c r="E286" t="s">
        <v>245</v>
      </c>
      <c r="F286" t="s">
        <v>27</v>
      </c>
      <c r="G286" s="2"/>
    </row>
    <row r="287" spans="1:7" ns3:dyDescent="0.2">
      <c r="A287" t="s">
        <v>208</v>
      </c>
      <c r="B287" s="3">
        <v>2.0835271786022433E-8</v>
      </c>
      <c r="C287" s="3"/>
      <c r="D287" t="s">
        <v>7</v>
      </c>
      <c r="E287" t="s">
        <v>246</v>
      </c>
      <c r="F287" t="s">
        <v>27</v>
      </c>
      <c r="G287" s="2"/>
    </row>
    <row r="288" spans="1:7" ns3:dyDescent="0.2">
      <c r="A288" t="s">
        <v>209</v>
      </c>
      <c r="B288" s="3">
        <v>9.531147540983606E-5</v>
      </c>
      <c r="C288" s="3"/>
      <c r="D288" t="s">
        <v>7</v>
      </c>
      <c r="E288" t="s">
        <v>245</v>
      </c>
      <c r="F288" t="s">
        <v>27</v>
      </c>
      <c r="G288" s="2"/>
    </row>
    <row r="289" spans="1:7" ns3:dyDescent="0.2">
      <c r="A289" t="s">
        <v>209</v>
      </c>
      <c r="B289" s="3">
        <v>9.2180500431406383E-9</v>
      </c>
      <c r="C289" s="3"/>
      <c r="D289" t="s">
        <v>7</v>
      </c>
      <c r="E289" t="s">
        <v>246</v>
      </c>
      <c r="F289" t="s">
        <v>27</v>
      </c>
      <c r="G289" s="2"/>
    </row>
    <row r="290" spans="1:7" ns3:dyDescent="0.2">
      <c r="A290" t="s">
        <v>210</v>
      </c>
      <c r="B290" s="3">
        <v>1.8365591026747194E-5</v>
      </c>
      <c r="C290" s="3"/>
      <c r="D290" t="s">
        <v>7</v>
      </c>
      <c r="E290" t="s">
        <v>245</v>
      </c>
      <c r="F290" t="s">
        <v>27</v>
      </c>
      <c r="G290" s="2"/>
    </row>
    <row r="291" spans="1:7" ns3:dyDescent="0.2">
      <c r="A291" t="s">
        <v>210</v>
      </c>
      <c r="B291" s="3">
        <v>2.8314201898188093E-9</v>
      </c>
      <c r="C291" s="3"/>
      <c r="D291" t="s">
        <v>7</v>
      </c>
      <c r="E291" t="s">
        <v>246</v>
      </c>
      <c r="F291" t="s">
        <v>27</v>
      </c>
      <c r="G291" s="2"/>
    </row>
    <row r="292" spans="1:7" ns3:dyDescent="0.2">
      <c r="A292" t="s">
        <v>211</v>
      </c>
      <c r="B292" s="3">
        <v>5.1685936151855044E-8</v>
      </c>
      <c r="C292" s="3"/>
      <c r="D292" t="s">
        <v>7</v>
      </c>
      <c r="E292" t="s">
        <v>245</v>
      </c>
      <c r="F292" t="s">
        <v>27</v>
      </c>
      <c r="G292" s="2"/>
    </row>
    <row r="293" spans="1:7" ns3:dyDescent="0.2">
      <c r="A293" t="s">
        <v>211</v>
      </c>
      <c r="B293" s="3">
        <v>1.3095737704918032E-9</v>
      </c>
      <c r="C293" s="3"/>
      <c r="D293" t="s">
        <v>7</v>
      </c>
      <c r="E293" t="s">
        <v>246</v>
      </c>
      <c r="F293" t="s">
        <v>27</v>
      </c>
      <c r="G293" s="2"/>
    </row>
    <row r="294" spans="1:7" ns3:dyDescent="0.2">
      <c r="A294" t="s">
        <v>214</v>
      </c>
      <c r="B294" s="3">
        <v>5.8404486626402067E-6</v>
      </c>
      <c r="C294" s="3"/>
      <c r="D294" t="s">
        <v>7</v>
      </c>
      <c r="E294" t="s">
        <v>245</v>
      </c>
      <c r="F294" t="s">
        <v>27</v>
      </c>
      <c r="G294" s="2"/>
    </row>
    <row r="295" spans="1:7" ns3:dyDescent="0.2">
      <c r="A295" t="s">
        <v>214</v>
      </c>
      <c r="B295" s="3">
        <v>3.9572044866264021E-9</v>
      </c>
      <c r="C295" s="3"/>
      <c r="D295" t="s">
        <v>7</v>
      </c>
      <c r="E295" t="s">
        <v>246</v>
      </c>
      <c r="F295" t="s">
        <v>27</v>
      </c>
      <c r="G295" s="2"/>
    </row>
    <row r="296" spans="1:7" ns3:dyDescent="0.2">
      <c r="A296" t="s">
        <v>238</v>
      </c>
      <c r="B296" s="3">
        <v>6.8092493528904225E-5</v>
      </c>
      <c r="C296" s="3"/>
      <c r="D296" t="s">
        <v>7</v>
      </c>
      <c r="E296" t="s">
        <v>245</v>
      </c>
      <c r="F296" t="s">
        <v>27</v>
      </c>
      <c r="G296" s="2"/>
    </row>
    <row r="297" spans="1:7" ns3:dyDescent="0.2">
      <c r="A297" t="s">
        <v>238</v>
      </c>
      <c r="B297" s="3">
        <v>2.4390854184641932E-5</v>
      </c>
      <c r="C297" s="3"/>
      <c r="D297" t="s">
        <v>7</v>
      </c>
      <c r="E297" t="s">
        <v>246</v>
      </c>
      <c r="F297" t="s">
        <v>27</v>
      </c>
      <c r="G297" s="2"/>
    </row>
    <row r="298" spans="1:7" ns3:dyDescent="0.2">
      <c r="A298" t="s">
        <v>219</v>
      </c>
      <c r="B298" s="3">
        <v>4.670992234685073E-7</v>
      </c>
      <c r="C298" s="3"/>
      <c r="D298" t="s">
        <v>7</v>
      </c>
      <c r="E298" t="s">
        <v>245</v>
      </c>
      <c r="F298" t="s">
        <v>27</v>
      </c>
      <c r="G298" s="2"/>
    </row>
    <row r="299" spans="1:7" ns3:dyDescent="0.2">
      <c r="A299" t="s">
        <v>219</v>
      </c>
      <c r="B299" s="3">
        <v>1.2126937014667817E-7</v>
      </c>
      <c r="C299" s="3"/>
      <c r="D299" t="s">
        <v>7</v>
      </c>
      <c r="E299" t="s">
        <v>246</v>
      </c>
      <c r="F299" t="s">
        <v>27</v>
      </c>
      <c r="G299" s="2"/>
    </row>
    <row r="300" spans="1:7" ns3:dyDescent="0.2">
      <c r="A300" t="s">
        <v>239</v>
      </c>
      <c r="B300" s="3">
        <v>1.0721415012942191E-4</v>
      </c>
      <c r="C300" s="3"/>
      <c r="D300" t="s">
        <v>7</v>
      </c>
      <c r="E300" t="s">
        <v>245</v>
      </c>
      <c r="F300" t="s">
        <v>27</v>
      </c>
      <c r="G300" s="2"/>
    </row>
    <row r="301" spans="1:7" ns3:dyDescent="0.2">
      <c r="A301" t="s">
        <v>239</v>
      </c>
      <c r="B301" s="3">
        <v>2.41662812769629E-7</v>
      </c>
      <c r="C301" s="3"/>
      <c r="D301" t="s">
        <v>7</v>
      </c>
      <c r="E301" t="s">
        <v>246</v>
      </c>
      <c r="F301" t="s">
        <v>27</v>
      </c>
      <c r="G301" s="2"/>
    </row>
    <row r="302" spans="1:7" ns3:dyDescent="0.2">
      <c r="A302" t="s">
        <v>240</v>
      </c>
      <c r="B302" s="3">
        <v>2.7799827437446071E-4</v>
      </c>
      <c r="C302" s="3"/>
      <c r="D302" t="s">
        <v>7</v>
      </c>
      <c r="E302" t="s">
        <v>245</v>
      </c>
      <c r="F302" t="s">
        <v>27</v>
      </c>
      <c r="G302" s="2"/>
    </row>
    <row r="303" spans="1:7" ns3:dyDescent="0.2">
      <c r="A303" t="s">
        <v>240</v>
      </c>
      <c r="B303" s="3">
        <v>1.3978809318377912E-4</v>
      </c>
      <c r="C303" s="3"/>
      <c r="D303" t="s">
        <v>7</v>
      </c>
      <c r="E303" t="s">
        <v>246</v>
      </c>
      <c r="F303" t="s">
        <v>27</v>
      </c>
      <c r="G303" s="2"/>
    </row>
    <row r="304" spans="1:7" ns3:dyDescent="0.2">
      <c r="A304" t="s">
        <v>221</v>
      </c>
      <c r="B304" s="3">
        <v>2.5623364969801551E-5</v>
      </c>
      <c r="C304" s="3"/>
      <c r="D304" t="s">
        <v>7</v>
      </c>
      <c r="E304" t="s">
        <v>245</v>
      </c>
      <c r="F304" t="s">
        <v>27</v>
      </c>
      <c r="G304" s="2"/>
    </row>
    <row r="305" spans="1:7" ns3:dyDescent="0.2">
      <c r="A305" t="s">
        <v>221</v>
      </c>
      <c r="B305" s="3">
        <v>1.6769663503019845E-8</v>
      </c>
      <c r="C305" s="3"/>
      <c r="D305" t="s">
        <v>7</v>
      </c>
      <c r="E305" t="s">
        <v>246</v>
      </c>
      <c r="F305" t="s">
        <v>27</v>
      </c>
      <c r="G305" s="2"/>
    </row>
    <row r="306" spans="1:7" ns3:dyDescent="0.2">
      <c r="A306" t="s">
        <v>241</v>
      </c>
      <c r="B306" s="3">
        <v>1.0447144089732528E-3</v>
      </c>
      <c r="C306" s="3"/>
      <c r="D306" t="s">
        <v>7</v>
      </c>
      <c r="E306" t="s">
        <v>245</v>
      </c>
      <c r="F306" t="s">
        <v>27</v>
      </c>
      <c r="G306" s="2"/>
    </row>
    <row r="307" spans="1:7" ns3:dyDescent="0.2">
      <c r="A307" t="s">
        <v>241</v>
      </c>
      <c r="B307" s="3">
        <v>1.7855565142364108E-4</v>
      </c>
      <c r="C307" s="3"/>
      <c r="D307" t="s">
        <v>7</v>
      </c>
      <c r="E307" t="s">
        <v>246</v>
      </c>
      <c r="F307" t="s">
        <v>27</v>
      </c>
      <c r="G307" s="2"/>
    </row>
    <row r="308" spans="1:7" ns3:dyDescent="0.2">
      <c r="A308" t="s">
        <v>242</v>
      </c>
      <c r="B308" s="3">
        <v>5.7708714408973255E-4</v>
      </c>
      <c r="C308" s="3"/>
      <c r="D308" t="s">
        <v>7</v>
      </c>
      <c r="E308" t="s">
        <v>245</v>
      </c>
      <c r="F308" t="s">
        <v>27</v>
      </c>
      <c r="G308" s="2"/>
    </row>
    <row r="309" spans="1:7" ns3:dyDescent="0.2">
      <c r="A309" t="s">
        <v>242</v>
      </c>
      <c r="B309" s="3">
        <v>6.525660051768766E-5</v>
      </c>
      <c r="C309" s="3"/>
      <c r="D309" t="s">
        <v>7</v>
      </c>
      <c r="E309" t="s">
        <v>246</v>
      </c>
      <c r="F309" t="s">
        <v>27</v>
      </c>
      <c r="G309" s="2"/>
    </row>
    <row r="310" spans="1:7" ns3:dyDescent="0.2">
      <c r="A310" t="s">
        <v>223</v>
      </c>
      <c r="B310" s="3">
        <v>8.8891113028472812E-8</v>
      </c>
      <c r="C310" s="3"/>
      <c r="D310" t="s">
        <v>7</v>
      </c>
      <c r="E310" t="s">
        <v>245</v>
      </c>
      <c r="F310" t="s">
        <v>27</v>
      </c>
      <c r="G310" s="2"/>
    </row>
    <row r="311" spans="1:7" ns3:dyDescent="0.2">
      <c r="A311" t="s">
        <v>223</v>
      </c>
      <c r="B311" s="3">
        <v>8.237756686798964E-11</v>
      </c>
      <c r="C311" s="3"/>
      <c r="D311" t="s">
        <v>7</v>
      </c>
      <c r="E311" t="s">
        <v>246</v>
      </c>
      <c r="F311" t="s">
        <v>27</v>
      </c>
      <c r="G311" s="2"/>
    </row>
    <row r="312" spans="1:7" ns3:dyDescent="0.2">
      <c r="A312" t="s">
        <v>224</v>
      </c>
      <c r="B312" s="3">
        <v>5.0409318377911987E-6</v>
      </c>
      <c r="C312" s="3"/>
      <c r="D312" t="s">
        <v>7</v>
      </c>
      <c r="E312" t="s">
        <v>245</v>
      </c>
      <c r="F312" t="s">
        <v>27</v>
      </c>
      <c r="G312" s="2"/>
    </row>
    <row r="313" spans="1:7" ns3:dyDescent="0.2">
      <c r="A313" t="s">
        <v>224</v>
      </c>
      <c r="B313" s="3">
        <v>6.8657808455565145E-9</v>
      </c>
      <c r="C313" s="3"/>
      <c r="D313" t="s">
        <v>7</v>
      </c>
      <c r="E313" t="s">
        <v>246</v>
      </c>
      <c r="F313" t="s">
        <v>27</v>
      </c>
      <c r="G313" s="2"/>
    </row>
    <row r="314" spans="1:7" ns3:dyDescent="0.2">
      <c r="A314" t="s">
        <v>225</v>
      </c>
      <c r="B314" s="3">
        <v>8.6738567730802401E-5</v>
      </c>
      <c r="C314" s="3"/>
      <c r="D314" t="s">
        <v>7</v>
      </c>
      <c r="E314" t="s">
        <v>245</v>
      </c>
      <c r="F314" t="s">
        <v>27</v>
      </c>
      <c r="G314" s="2"/>
    </row>
    <row r="315" spans="1:7" ns3:dyDescent="0.2">
      <c r="A315" t="s">
        <v>225</v>
      </c>
      <c r="B315" s="3">
        <v>5.9007075064710956E-8</v>
      </c>
      <c r="C315" s="3"/>
      <c r="D315" t="s">
        <v>7</v>
      </c>
      <c r="E315" t="s">
        <v>246</v>
      </c>
      <c r="F315" t="s">
        <v>27</v>
      </c>
      <c r="G315" s="2"/>
    </row>
    <row r="316" spans="1:7" ns3:dyDescent="0.2">
      <c r="A316" t="s">
        <v>227</v>
      </c>
      <c r="B316" s="3">
        <v>2.4634374460742018E-5</v>
      </c>
      <c r="C316" s="3"/>
      <c r="D316" t="s">
        <v>7</v>
      </c>
      <c r="E316" t="s">
        <v>245</v>
      </c>
      <c r="F316" t="s">
        <v>27</v>
      </c>
      <c r="G316" s="2"/>
    </row>
    <row r="317" spans="1:7" ns3:dyDescent="0.2">
      <c r="A317" t="s">
        <v>227</v>
      </c>
      <c r="B317" s="3">
        <v>9.7162726488352022E-8</v>
      </c>
      <c r="C317" s="3"/>
      <c r="D317" t="s">
        <v>7</v>
      </c>
      <c r="E317" t="s">
        <v>246</v>
      </c>
      <c r="F317" t="s">
        <v>27</v>
      </c>
      <c r="G317" s="2"/>
    </row>
    <row r="318" spans="1:7" ns3:dyDescent="0.2">
      <c r="A318" t="s">
        <v>228</v>
      </c>
      <c r="B318" s="3">
        <v>3.9124421052631574E-4</v>
      </c>
      <c r="C318" s="3"/>
      <c r="D318" t="s">
        <v>37</v>
      </c>
      <c r="E318" t="s">
        <v>246</v>
      </c>
      <c r="F318" t="s">
        <v>27</v>
      </c>
      <c r="G318" s="2"/>
    </row>
    <row r="319" spans="1:7" ns3:dyDescent="0.2">
      <c r="A319" t="s">
        <v>229</v>
      </c>
      <c r="B319" s="3">
        <v>7.2761000862812768E-5</v>
      </c>
      <c r="C319" s="3"/>
      <c r="D319" t="s">
        <v>7</v>
      </c>
      <c r="E319" t="s">
        <v>245</v>
      </c>
      <c r="F319" t="s">
        <v>27</v>
      </c>
      <c r="G319" s="2"/>
    </row>
    <row r="320" spans="1:7" ns3:dyDescent="0.2">
      <c r="A320" t="s">
        <v>229</v>
      </c>
      <c r="B320" s="3">
        <v>9.8992234685073332E-9</v>
      </c>
      <c r="C320" s="3"/>
      <c r="D320" t="s">
        <v>7</v>
      </c>
      <c r="E320" t="s">
        <v>246</v>
      </c>
      <c r="F320" t="s">
        <v>27</v>
      </c>
      <c r="G320" s="2"/>
    </row>
    <row r="321" spans="1:8" ns3:dyDescent="0.2">
      <c r="A321" t="s">
        <v>243</v>
      </c>
      <c r="B321" s="3">
        <v>0.77003968938740286</v>
      </c>
      <c r="C321" s="3"/>
      <c r="D321" t="s">
        <v>7</v>
      </c>
      <c r="E321" t="s">
        <v>111</v>
      </c>
      <c r="F321" t="s">
        <v>27</v>
      </c>
      <c r="G321" s="2"/>
    </row>
    <row r="322" spans="1:8" s="50" customFormat="1" ns3:dyDescent="0.2">
      <c r="A322" s="50" t="s">
        <v>484</v>
      </c>
      <c r="B322" s="51">
        <f>9.3/43.4</f>
        <v>0.2142857142857143</v>
      </c>
      <c r="D322" s="50" t="s">
        <v>7</v>
      </c>
      <c r="E322" s="50" t="s">
        <v>485</v>
      </c>
      <c r="F322" s="50" t="s">
        <v>27</v>
      </c>
      <c r="G322" s="50" t="s">
        <v>489</v>
      </c>
    </row>
    <row r="324" spans="1:8" s="50" customFormat="1" ht="16" ns3:dyDescent="0.2">
      <c r="A324" s="49" t="s">
        <v>0</v>
      </c>
      <c r="B324" s="49" t="s">
        <v>140</v>
      </c>
    </row>
    <row r="325" spans="1:8" s="50" customFormat="1" ns3:dyDescent="0.2">
      <c r="A325" s="50" t="s">
        <v>1</v>
      </c>
      <c r="B325" s="50" t="s">
        <v>104</v>
      </c>
    </row>
    <row r="326" spans="1:8" s="50" customFormat="1" ns3:dyDescent="0.2">
      <c r="A326" s="50" t="s">
        <v>2</v>
      </c>
      <c r="B326" s="50">
        <v>1</v>
      </c>
    </row>
    <row r="327" spans="1:8" s="50" customFormat="1" ns3:dyDescent="0.2">
      <c r="A327" s="50" t="s">
        <v>9</v>
      </c>
      <c r="B327" s="50" t="s">
        <v>133</v>
      </c>
    </row>
    <row r="328" spans="1:8" s="50" customFormat="1" ns3:dyDescent="0.2">
      <c r="A328" s="50" t="s">
        <v>3</v>
      </c>
      <c r="B328" s="3" t="s">
        <v>142</v>
      </c>
    </row>
    <row r="329" spans="1:8" s="50" customFormat="1" ns3:dyDescent="0.2">
      <c r="A329" s="50" t="s">
        <v>4</v>
      </c>
      <c r="B329" s="50" t="s">
        <v>5</v>
      </c>
    </row>
    <row r="330" spans="1:8" ns3:dyDescent="0.2">
      <c r="A330" t="s">
        <v>261</v>
      </c>
      <c r="B330" s="23">
        <f>0.37*33%*90%</f>
        <v>0.10989</v>
      </c>
    </row>
    <row r="331" spans="1:8" s="50" customFormat="1" ns3:dyDescent="0.2">
      <c r="A331" s="50" t="s">
        <v>6</v>
      </c>
      <c r="B331" s="50" t="s">
        <v>126</v>
      </c>
    </row>
    <row r="332" spans="1:8" s="50" customFormat="1" ht="16" ns3:dyDescent="0.2">
      <c r="A332" s="49" t="s">
        <v>10</v>
      </c>
    </row>
    <row r="333" spans="1:8" s="50" customFormat="1" ns3:dyDescent="0.2">
      <c r="A333" s="50" t="s">
        <v>11</v>
      </c>
      <c r="B333" s="50" t="s">
        <v>12</v>
      </c>
      <c r="C333" s="50" t="s">
        <v>1</v>
      </c>
      <c r="D333" s="50" t="s">
        <v>6</v>
      </c>
      <c r="E333" s="50" t="s">
        <v>13</v>
      </c>
      <c r="F333" s="50" t="s">
        <v>4</v>
      </c>
      <c r="G333" s="50" t="s">
        <v>9</v>
      </c>
      <c r="H333" s="50" t="s">
        <v>3</v>
      </c>
    </row>
    <row r="334" spans="1:8" s="50" customFormat="1" ns3:dyDescent="0.2">
      <c r="A334" s="50" t="str">
        <f>B324</f>
        <v>electricity production, at co-generation plastic waste-fired power plant, post, pipeline 200km, storage 1000m</v>
      </c>
      <c r="B334" s="50">
        <v>1</v>
      </c>
      <c r="C334" s="50" t="str">
        <f>B325</f>
        <v>CH</v>
      </c>
      <c r="D334" s="50" t="s">
        <v>126</v>
      </c>
      <c r="F334" s="50" t="s">
        <v>15</v>
      </c>
      <c r="G334" s="50" t="s">
        <v>16</v>
      </c>
      <c r="H334" s="51" t="str">
        <f>B328</f>
        <v>electricity, from plastic waste mixture, municipal incineration, energy allocation</v>
      </c>
    </row>
    <row r="335" spans="1:8" ns3:dyDescent="0.2">
      <c r="A335" t="s">
        <v>149</v>
      </c>
      <c r="B335" s="3">
        <v>5.0290974978429678E-4</v>
      </c>
      <c r="C335" s="3" t="s">
        <v>103</v>
      </c>
      <c r="D335" t="s">
        <v>7</v>
      </c>
      <c r="F335" t="s">
        <v>18</v>
      </c>
      <c r="G335" s="2"/>
      <c r="H335" t="s">
        <v>170</v>
      </c>
    </row>
    <row r="336" spans="1:8" ns3:dyDescent="0.2">
      <c r="A336" t="s">
        <v>150</v>
      </c>
      <c r="B336" s="3">
        <v>1.3720597066436585E-6</v>
      </c>
      <c r="C336" s="3" t="s">
        <v>103</v>
      </c>
      <c r="D336" t="s">
        <v>7</v>
      </c>
      <c r="F336" t="s">
        <v>18</v>
      </c>
      <c r="G336" s="2"/>
      <c r="H336" t="s">
        <v>171</v>
      </c>
    </row>
    <row r="337" spans="1:8" ns3:dyDescent="0.2">
      <c r="A337" t="s">
        <v>168</v>
      </c>
      <c r="B337" s="3">
        <v>1.1475799827437446E-3</v>
      </c>
      <c r="C337" s="3" t="s">
        <v>104</v>
      </c>
      <c r="D337" t="s">
        <v>7</v>
      </c>
      <c r="F337" t="s">
        <v>18</v>
      </c>
      <c r="G337" s="2"/>
      <c r="H337" t="s">
        <v>186</v>
      </c>
    </row>
    <row r="338" spans="1:8" ns3:dyDescent="0.2">
      <c r="A338" t="s">
        <v>151</v>
      </c>
      <c r="B338" s="3">
        <v>1.0594964624676446E-4</v>
      </c>
      <c r="C338" s="3" t="s">
        <v>24</v>
      </c>
      <c r="D338" t="s">
        <v>7</v>
      </c>
      <c r="F338" t="s">
        <v>18</v>
      </c>
      <c r="G338" s="2"/>
      <c r="H338" t="s">
        <v>172</v>
      </c>
    </row>
    <row r="339" spans="1:8" ns3:dyDescent="0.2">
      <c r="A339" t="s">
        <v>152</v>
      </c>
      <c r="B339" s="3">
        <v>6.075986194995686E-6</v>
      </c>
      <c r="C339" s="3" t="s">
        <v>24</v>
      </c>
      <c r="D339" t="s">
        <v>7</v>
      </c>
      <c r="F339" t="s">
        <v>18</v>
      </c>
      <c r="G339" s="2"/>
      <c r="H339" t="s">
        <v>173</v>
      </c>
    </row>
    <row r="340" spans="1:8" ns3:dyDescent="0.2">
      <c r="A340" t="s">
        <v>493</v>
      </c>
      <c r="B340" s="3">
        <v>6.4299603106125978E-7</v>
      </c>
      <c r="C340" s="3" t="s">
        <v>24</v>
      </c>
      <c r="D340" t="s">
        <v>7</v>
      </c>
      <c r="F340" t="s">
        <v>18</v>
      </c>
      <c r="G340" s="2"/>
      <c r="H340" t="s">
        <v>494</v>
      </c>
    </row>
    <row r="341" spans="1:8" ns3:dyDescent="0.2">
      <c r="A341" t="s">
        <v>169</v>
      </c>
      <c r="B341" s="3">
        <v>9.4042312338222606E-2</v>
      </c>
      <c r="C341" s="3" t="s">
        <v>104</v>
      </c>
      <c r="D341" t="s">
        <v>17</v>
      </c>
      <c r="F341" t="s">
        <v>18</v>
      </c>
      <c r="G341" s="2"/>
      <c r="H341" t="s">
        <v>187</v>
      </c>
    </row>
    <row r="342" spans="1:8" ns3:dyDescent="0.2">
      <c r="A342" t="s">
        <v>153</v>
      </c>
      <c r="B342" s="3">
        <v>1.0307958584987059E-4</v>
      </c>
      <c r="C342" s="3" t="s">
        <v>103</v>
      </c>
      <c r="D342" t="s">
        <v>7</v>
      </c>
      <c r="F342" t="s">
        <v>18</v>
      </c>
      <c r="G342" s="2"/>
      <c r="H342" t="s">
        <v>174</v>
      </c>
    </row>
    <row r="343" spans="1:8" ns3:dyDescent="0.2">
      <c r="A343" t="s">
        <v>154</v>
      </c>
      <c r="B343" s="3">
        <v>1.9148086281276964E-4</v>
      </c>
      <c r="C343" s="3" t="s">
        <v>103</v>
      </c>
      <c r="D343" t="s">
        <v>7</v>
      </c>
      <c r="F343" t="s">
        <v>18</v>
      </c>
      <c r="G343" s="2"/>
      <c r="H343" t="s">
        <v>175</v>
      </c>
    </row>
    <row r="344" spans="1:8" ns3:dyDescent="0.2">
      <c r="A344" t="s">
        <v>155</v>
      </c>
      <c r="B344" s="3">
        <v>1.6622774805867127E-5</v>
      </c>
      <c r="C344" s="3" t="s">
        <v>24</v>
      </c>
      <c r="D344" t="s">
        <v>7</v>
      </c>
      <c r="F344" t="s">
        <v>18</v>
      </c>
      <c r="G344" s="2"/>
      <c r="H344" t="s">
        <v>474</v>
      </c>
    </row>
    <row r="345" spans="1:8" ns3:dyDescent="0.2">
      <c r="A345" t="s">
        <v>156</v>
      </c>
      <c r="B345" s="3">
        <v>-1.5370198446937014E-3</v>
      </c>
      <c r="C345" s="3" t="s">
        <v>24</v>
      </c>
      <c r="D345" t="s">
        <v>7</v>
      </c>
      <c r="F345" t="s">
        <v>18</v>
      </c>
      <c r="G345" s="2"/>
      <c r="H345" t="s">
        <v>176</v>
      </c>
    </row>
    <row r="346" spans="1:8" ns3:dyDescent="0.2">
      <c r="A346" t="s">
        <v>157</v>
      </c>
      <c r="B346" s="3">
        <v>8.5418464193270071E-11</v>
      </c>
      <c r="C346" s="3" t="s">
        <v>104</v>
      </c>
      <c r="D346" t="s">
        <v>6</v>
      </c>
      <c r="F346" t="s">
        <v>18</v>
      </c>
      <c r="G346" s="2"/>
      <c r="H346" t="s">
        <v>177</v>
      </c>
    </row>
    <row r="347" spans="1:8" ns3:dyDescent="0.2">
      <c r="A347" t="s">
        <v>158</v>
      </c>
      <c r="B347" s="3">
        <v>5.7199620362381361E-3</v>
      </c>
      <c r="C347" s="3" t="s">
        <v>104</v>
      </c>
      <c r="D347" t="s">
        <v>7</v>
      </c>
      <c r="F347" t="s">
        <v>18</v>
      </c>
      <c r="G347" s="2"/>
      <c r="H347" t="s">
        <v>158</v>
      </c>
    </row>
    <row r="348" spans="1:8" ns3:dyDescent="0.2">
      <c r="A348" t="s">
        <v>159</v>
      </c>
      <c r="B348" s="3">
        <v>9.0786160483175143E-3</v>
      </c>
      <c r="C348" s="3" t="s">
        <v>104</v>
      </c>
      <c r="D348" t="s">
        <v>7</v>
      </c>
      <c r="F348" t="s">
        <v>18</v>
      </c>
      <c r="G348" s="2"/>
      <c r="H348" t="s">
        <v>159</v>
      </c>
    </row>
    <row r="349" spans="1:8" ns3:dyDescent="0.2">
      <c r="A349" t="s">
        <v>160</v>
      </c>
      <c r="B349" s="3">
        <v>3.1961880931837792E-3</v>
      </c>
      <c r="C349" s="3" t="s">
        <v>103</v>
      </c>
      <c r="D349" t="s">
        <v>7</v>
      </c>
      <c r="F349" t="s">
        <v>18</v>
      </c>
      <c r="G349" s="2"/>
      <c r="H349" t="s">
        <v>178</v>
      </c>
    </row>
    <row r="350" spans="1:8" ns3:dyDescent="0.2">
      <c r="A350" t="s">
        <v>161</v>
      </c>
      <c r="B350" s="3">
        <v>1.1916559102674719E-11</v>
      </c>
      <c r="C350" s="3" t="s">
        <v>104</v>
      </c>
      <c r="D350" t="s">
        <v>6</v>
      </c>
      <c r="F350" t="s">
        <v>18</v>
      </c>
      <c r="G350" s="2"/>
      <c r="H350" t="s">
        <v>179</v>
      </c>
    </row>
    <row r="351" spans="1:8" ns3:dyDescent="0.2">
      <c r="A351" t="s">
        <v>162</v>
      </c>
      <c r="B351" s="3">
        <v>1.6139647972389993E-11</v>
      </c>
      <c r="C351" s="3" t="s">
        <v>104</v>
      </c>
      <c r="D351" t="s">
        <v>6</v>
      </c>
      <c r="F351" t="s">
        <v>18</v>
      </c>
      <c r="G351" s="2"/>
      <c r="H351" t="s">
        <v>180</v>
      </c>
    </row>
    <row r="352" spans="1:8" ns3:dyDescent="0.2">
      <c r="A352" t="s">
        <v>163</v>
      </c>
      <c r="B352" s="3">
        <v>8.5210043140638474E-4</v>
      </c>
      <c r="C352" s="3" t="s">
        <v>267</v>
      </c>
      <c r="D352" t="s">
        <v>7</v>
      </c>
      <c r="F352" t="s">
        <v>18</v>
      </c>
      <c r="G352" s="2"/>
      <c r="H352" t="s">
        <v>181</v>
      </c>
    </row>
    <row r="353" spans="1:8" ns3:dyDescent="0.2">
      <c r="A353" t="s">
        <v>164</v>
      </c>
      <c r="B353" s="3">
        <v>-1.4442895599654873E-6</v>
      </c>
      <c r="C353" s="3" t="s">
        <v>24</v>
      </c>
      <c r="D353" t="s">
        <v>7</v>
      </c>
      <c r="F353" t="s">
        <v>18</v>
      </c>
      <c r="G353" s="2"/>
      <c r="H353" t="s">
        <v>182</v>
      </c>
    </row>
    <row r="354" spans="1:8" ns3:dyDescent="0.2">
      <c r="A354" t="s">
        <v>165</v>
      </c>
      <c r="B354" s="3">
        <v>3.1507454702329596E-5</v>
      </c>
      <c r="C354" s="3" t="s">
        <v>103</v>
      </c>
      <c r="D354" t="s">
        <v>7</v>
      </c>
      <c r="F354" t="s">
        <v>18</v>
      </c>
      <c r="G354" s="2"/>
      <c r="H354" t="s">
        <v>183</v>
      </c>
    </row>
    <row r="355" spans="1:8" ns3:dyDescent="0.2">
      <c r="A355" t="s">
        <v>81</v>
      </c>
      <c r="B355" s="3">
        <v>5.3840966350301989E-4</v>
      </c>
      <c r="C355" s="3" t="s">
        <v>103</v>
      </c>
      <c r="D355" t="s">
        <v>28</v>
      </c>
      <c r="F355" t="s">
        <v>18</v>
      </c>
      <c r="G355" s="2"/>
      <c r="H355" t="s">
        <v>82</v>
      </c>
    </row>
    <row r="356" spans="1:8" ns3:dyDescent="0.2">
      <c r="A356" t="s">
        <v>166</v>
      </c>
      <c r="B356" s="3">
        <v>-2.8689670405522001E-3</v>
      </c>
      <c r="C356" s="3" t="s">
        <v>104</v>
      </c>
      <c r="D356" t="s">
        <v>7</v>
      </c>
      <c r="F356" t="s">
        <v>18</v>
      </c>
      <c r="G356" s="2"/>
      <c r="H356" t="s">
        <v>184</v>
      </c>
    </row>
    <row r="357" spans="1:8" ns3:dyDescent="0.2">
      <c r="A357" t="s">
        <v>167</v>
      </c>
      <c r="B357" s="3">
        <v>1.2560272648835202</v>
      </c>
      <c r="C357" s="3" t="s">
        <v>104</v>
      </c>
      <c r="D357" t="s">
        <v>7</v>
      </c>
      <c r="F357" t="s">
        <v>18</v>
      </c>
      <c r="G357" s="2"/>
      <c r="H357" t="s">
        <v>185</v>
      </c>
    </row>
    <row r="358" spans="1:8" ns3:dyDescent="0.2">
      <c r="A358" t="s">
        <v>188</v>
      </c>
      <c r="B358" s="3">
        <v>5.1989094046591892E-11</v>
      </c>
      <c r="C358" s="3"/>
      <c r="D358" t="s">
        <v>7</v>
      </c>
      <c r="E358" t="s">
        <v>244</v>
      </c>
      <c r="F358" t="s">
        <v>27</v>
      </c>
      <c r="G358" s="2"/>
    </row>
    <row r="359" spans="1:8" ns3:dyDescent="0.2">
      <c r="A359" t="s">
        <v>189</v>
      </c>
      <c r="B359" s="3">
        <v>5.912666091458153E-7</v>
      </c>
      <c r="C359" s="3"/>
      <c r="D359" t="s">
        <v>7</v>
      </c>
      <c r="E359" t="s">
        <v>244</v>
      </c>
      <c r="F359" t="s">
        <v>27</v>
      </c>
      <c r="G359" s="2"/>
    </row>
    <row r="360" spans="1:8" ns3:dyDescent="0.2">
      <c r="A360" t="s">
        <v>190</v>
      </c>
      <c r="B360" s="3">
        <v>1.097353925798102E-11</v>
      </c>
      <c r="C360" s="3"/>
      <c r="D360" t="s">
        <v>7</v>
      </c>
      <c r="E360" t="s">
        <v>244</v>
      </c>
      <c r="F360" t="s">
        <v>27</v>
      </c>
      <c r="G360" s="2"/>
    </row>
    <row r="361" spans="1:8" ns3:dyDescent="0.2">
      <c r="A361" t="s">
        <v>191</v>
      </c>
      <c r="B361" s="3">
        <v>4.7451665228645383E-9</v>
      </c>
      <c r="C361" s="3"/>
      <c r="D361" t="s">
        <v>7</v>
      </c>
      <c r="E361" t="s">
        <v>244</v>
      </c>
      <c r="F361" t="s">
        <v>27</v>
      </c>
      <c r="G361" s="2"/>
    </row>
    <row r="362" spans="1:8" ns3:dyDescent="0.2">
      <c r="A362" t="s">
        <v>192</v>
      </c>
      <c r="B362" s="3">
        <v>2.3338716134598792E-7</v>
      </c>
      <c r="C362" s="3"/>
      <c r="D362" t="s">
        <v>7</v>
      </c>
      <c r="E362" t="s">
        <v>244</v>
      </c>
      <c r="F362" t="s">
        <v>27</v>
      </c>
      <c r="G362" s="2"/>
    </row>
    <row r="363" spans="1:8" ns3:dyDescent="0.2">
      <c r="A363" t="s">
        <v>193</v>
      </c>
      <c r="B363" s="3">
        <v>5.1309163071613463E-9</v>
      </c>
      <c r="C363" s="3"/>
      <c r="D363" t="s">
        <v>7</v>
      </c>
      <c r="E363" t="s">
        <v>244</v>
      </c>
      <c r="F363" t="s">
        <v>27</v>
      </c>
      <c r="G363" s="2"/>
    </row>
    <row r="364" spans="1:8" ns3:dyDescent="0.2">
      <c r="A364" t="s">
        <v>194</v>
      </c>
      <c r="B364" s="3">
        <v>1.0728900776531492E-11</v>
      </c>
      <c r="C364" s="3"/>
      <c r="D364" t="s">
        <v>7</v>
      </c>
      <c r="E364" t="s">
        <v>244</v>
      </c>
      <c r="F364" t="s">
        <v>27</v>
      </c>
      <c r="G364" s="2"/>
    </row>
    <row r="365" spans="1:8" ns3:dyDescent="0.2">
      <c r="A365" t="s">
        <v>477</v>
      </c>
      <c r="B365" s="3">
        <v>2.7109087144089735E-11</v>
      </c>
      <c r="C365" s="3"/>
      <c r="D365" t="s">
        <v>7</v>
      </c>
      <c r="E365" t="s">
        <v>244</v>
      </c>
      <c r="F365" t="s">
        <v>27</v>
      </c>
      <c r="G365" s="2"/>
    </row>
    <row r="366" spans="1:8" ns3:dyDescent="0.2">
      <c r="A366" t="s">
        <v>195</v>
      </c>
      <c r="B366" s="3">
        <v>1.1418398619499569E-13</v>
      </c>
      <c r="C366" s="3"/>
      <c r="D366" t="s">
        <v>7</v>
      </c>
      <c r="E366" t="s">
        <v>244</v>
      </c>
      <c r="F366" t="s">
        <v>27</v>
      </c>
      <c r="G366" s="2"/>
    </row>
    <row r="367" spans="1:8" ns3:dyDescent="0.2">
      <c r="A367" t="s">
        <v>196</v>
      </c>
      <c r="B367" s="3">
        <v>1.1147792924935289E-8</v>
      </c>
      <c r="C367" s="3"/>
      <c r="D367" t="s">
        <v>7</v>
      </c>
      <c r="E367" t="s">
        <v>244</v>
      </c>
      <c r="F367" t="s">
        <v>27</v>
      </c>
      <c r="G367" s="2"/>
    </row>
    <row r="368" spans="1:8" ns3:dyDescent="0.2">
      <c r="A368" t="s">
        <v>197</v>
      </c>
      <c r="B368" s="3">
        <v>1.3198519413287318E-8</v>
      </c>
      <c r="C368" s="3"/>
      <c r="D368" t="s">
        <v>7</v>
      </c>
      <c r="E368" t="s">
        <v>244</v>
      </c>
      <c r="F368" t="s">
        <v>27</v>
      </c>
      <c r="G368" s="2"/>
    </row>
    <row r="369" spans="1:7" ns3:dyDescent="0.2">
      <c r="A369" t="s">
        <v>198</v>
      </c>
      <c r="B369" s="3">
        <v>8.7222502157031922E-6</v>
      </c>
      <c r="C369" s="3"/>
      <c r="D369" t="s">
        <v>7</v>
      </c>
      <c r="E369" t="s">
        <v>244</v>
      </c>
      <c r="F369" t="s">
        <v>27</v>
      </c>
      <c r="G369" s="2"/>
    </row>
    <row r="370" spans="1:7" ns3:dyDescent="0.2">
      <c r="A370" t="s">
        <v>199</v>
      </c>
      <c r="B370" s="3">
        <v>1.1377056082830025E-8</v>
      </c>
      <c r="C370" s="3"/>
      <c r="D370" t="s">
        <v>7</v>
      </c>
      <c r="E370" t="s">
        <v>244</v>
      </c>
      <c r="F370" t="s">
        <v>27</v>
      </c>
      <c r="G370" s="2"/>
    </row>
    <row r="371" spans="1:7" ns3:dyDescent="0.2">
      <c r="A371" t="s">
        <v>200</v>
      </c>
      <c r="B371" s="3">
        <v>1.8317135461604833E-8</v>
      </c>
      <c r="C371" s="3"/>
      <c r="D371" t="s">
        <v>7</v>
      </c>
      <c r="E371" t="s">
        <v>244</v>
      </c>
      <c r="F371" t="s">
        <v>27</v>
      </c>
      <c r="G371" s="2"/>
    </row>
    <row r="372" spans="1:7" ns3:dyDescent="0.2">
      <c r="A372" t="s">
        <v>201</v>
      </c>
      <c r="B372" s="3">
        <v>9.2757618636755827E-9</v>
      </c>
      <c r="C372" s="3"/>
      <c r="D372" t="s">
        <v>7</v>
      </c>
      <c r="E372" t="s">
        <v>244</v>
      </c>
      <c r="F372" t="s">
        <v>27</v>
      </c>
      <c r="G372" s="2"/>
    </row>
    <row r="373" spans="1:7" ns3:dyDescent="0.2">
      <c r="A373" t="s">
        <v>202</v>
      </c>
      <c r="B373" s="3">
        <v>6.6916824849007774E-6</v>
      </c>
      <c r="C373" s="3"/>
      <c r="D373" t="s">
        <v>7</v>
      </c>
      <c r="E373" t="s">
        <v>244</v>
      </c>
      <c r="F373" t="s">
        <v>27</v>
      </c>
      <c r="G373" s="2"/>
    </row>
    <row r="374" spans="1:7" ns3:dyDescent="0.2">
      <c r="A374" t="s">
        <v>203</v>
      </c>
      <c r="B374" s="3">
        <v>3.1146305435720447E-5</v>
      </c>
      <c r="C374" s="3"/>
      <c r="D374" t="s">
        <v>7</v>
      </c>
      <c r="E374" t="s">
        <v>244</v>
      </c>
      <c r="F374" t="s">
        <v>27</v>
      </c>
      <c r="G374" s="2"/>
    </row>
    <row r="375" spans="1:7" ns3:dyDescent="0.2">
      <c r="A375" t="s">
        <v>204</v>
      </c>
      <c r="B375" s="3">
        <v>1.026149094046592E-14</v>
      </c>
      <c r="C375" s="3"/>
      <c r="D375" t="s">
        <v>7</v>
      </c>
      <c r="E375" t="s">
        <v>244</v>
      </c>
      <c r="F375" t="s">
        <v>27</v>
      </c>
      <c r="G375" s="2"/>
    </row>
    <row r="376" spans="1:7" ns3:dyDescent="0.2">
      <c r="A376" t="s">
        <v>205</v>
      </c>
      <c r="B376" s="3">
        <v>8.4646281276962902</v>
      </c>
      <c r="C376" s="3"/>
      <c r="D376" t="s">
        <v>17</v>
      </c>
      <c r="E376" t="s">
        <v>244</v>
      </c>
      <c r="F376" t="s">
        <v>27</v>
      </c>
      <c r="G376" s="2"/>
    </row>
    <row r="377" spans="1:7" ns3:dyDescent="0.2">
      <c r="A377" t="s">
        <v>206</v>
      </c>
      <c r="B377" s="3">
        <v>3.5349577221742887E-6</v>
      </c>
      <c r="C377" s="3"/>
      <c r="D377" t="s">
        <v>7</v>
      </c>
      <c r="E377" t="s">
        <v>244</v>
      </c>
      <c r="F377" t="s">
        <v>27</v>
      </c>
      <c r="G377" s="2"/>
    </row>
    <row r="378" spans="1:7" ns3:dyDescent="0.2">
      <c r="A378" t="s">
        <v>207</v>
      </c>
      <c r="B378" s="3">
        <v>3.1619865401207937E-8</v>
      </c>
      <c r="C378" s="3"/>
      <c r="D378" t="s">
        <v>7</v>
      </c>
      <c r="E378" t="s">
        <v>244</v>
      </c>
      <c r="F378" t="s">
        <v>27</v>
      </c>
      <c r="G378" s="2"/>
    </row>
    <row r="379" spans="1:7" ns3:dyDescent="0.2">
      <c r="A379" t="s">
        <v>208</v>
      </c>
      <c r="B379" s="3">
        <v>2.1287989646246765E-9</v>
      </c>
      <c r="C379" s="3"/>
      <c r="D379" t="s">
        <v>7</v>
      </c>
      <c r="E379" t="s">
        <v>244</v>
      </c>
      <c r="F379" t="s">
        <v>27</v>
      </c>
      <c r="G379" s="2"/>
    </row>
    <row r="380" spans="1:7" ns3:dyDescent="0.2">
      <c r="A380" t="s">
        <v>209</v>
      </c>
      <c r="B380" s="3">
        <v>1.2267458153580674E-8</v>
      </c>
      <c r="C380" s="3"/>
      <c r="D380" t="s">
        <v>7</v>
      </c>
      <c r="E380" t="s">
        <v>244</v>
      </c>
      <c r="F380" t="s">
        <v>27</v>
      </c>
      <c r="G380" s="2"/>
    </row>
    <row r="381" spans="1:7" ns3:dyDescent="0.2">
      <c r="A381" t="s">
        <v>210</v>
      </c>
      <c r="B381" s="3">
        <v>4.8661190681622081E-9</v>
      </c>
      <c r="C381" s="3"/>
      <c r="D381" t="s">
        <v>7</v>
      </c>
      <c r="E381" t="s">
        <v>244</v>
      </c>
      <c r="F381" t="s">
        <v>27</v>
      </c>
      <c r="G381" s="2"/>
    </row>
    <row r="382" spans="1:7" ns3:dyDescent="0.2">
      <c r="A382" t="s">
        <v>211</v>
      </c>
      <c r="B382" s="3">
        <v>7.6760448662640209E-9</v>
      </c>
      <c r="C382" s="3"/>
      <c r="D382" t="s">
        <v>7</v>
      </c>
      <c r="E382" t="s">
        <v>244</v>
      </c>
      <c r="F382" t="s">
        <v>27</v>
      </c>
      <c r="G382" s="2"/>
    </row>
    <row r="383" spans="1:7" ns3:dyDescent="0.2">
      <c r="A383" t="s">
        <v>212</v>
      </c>
      <c r="B383" s="3">
        <v>7.6965452976704056E-8</v>
      </c>
      <c r="C383" s="3"/>
      <c r="D383" t="s">
        <v>7</v>
      </c>
      <c r="E383" t="s">
        <v>244</v>
      </c>
      <c r="F383" t="s">
        <v>27</v>
      </c>
      <c r="G383" s="2"/>
    </row>
    <row r="384" spans="1:7" ns3:dyDescent="0.2">
      <c r="A384" t="s">
        <v>213</v>
      </c>
      <c r="B384" s="3">
        <v>2.3351358067299398E-7</v>
      </c>
      <c r="C384" s="3"/>
      <c r="D384" t="s">
        <v>7</v>
      </c>
      <c r="E384" t="s">
        <v>244</v>
      </c>
      <c r="F384" t="s">
        <v>27</v>
      </c>
      <c r="G384" s="2"/>
    </row>
    <row r="385" spans="1:7" ns3:dyDescent="0.2">
      <c r="A385" t="s">
        <v>214</v>
      </c>
      <c r="B385" s="3">
        <v>8.2503986194995694E-9</v>
      </c>
      <c r="C385" s="3"/>
      <c r="D385" t="s">
        <v>7</v>
      </c>
      <c r="E385" t="s">
        <v>244</v>
      </c>
      <c r="F385" t="s">
        <v>27</v>
      </c>
      <c r="G385" s="2"/>
    </row>
    <row r="386" spans="1:7" ns3:dyDescent="0.2">
      <c r="A386" t="s">
        <v>215</v>
      </c>
      <c r="B386" s="3">
        <v>1.8723727351164796E-4</v>
      </c>
      <c r="C386" s="3"/>
      <c r="D386" t="s">
        <v>7</v>
      </c>
      <c r="E386" t="s">
        <v>244</v>
      </c>
      <c r="F386" t="s">
        <v>27</v>
      </c>
      <c r="G386" s="2"/>
    </row>
    <row r="387" spans="1:7" ns3:dyDescent="0.2">
      <c r="A387" t="s">
        <v>216</v>
      </c>
      <c r="B387" s="3">
        <v>6.1262122519413295E-7</v>
      </c>
      <c r="C387" s="3"/>
      <c r="D387" t="s">
        <v>7</v>
      </c>
      <c r="E387" t="s">
        <v>244</v>
      </c>
      <c r="F387" t="s">
        <v>27</v>
      </c>
      <c r="G387" s="2"/>
    </row>
    <row r="388" spans="1:7" ns3:dyDescent="0.2">
      <c r="A388" t="s">
        <v>217</v>
      </c>
      <c r="B388" s="3">
        <v>3.0784131147540985E-9</v>
      </c>
      <c r="C388" s="3"/>
      <c r="D388" t="s">
        <v>7</v>
      </c>
      <c r="E388" t="s">
        <v>244</v>
      </c>
      <c r="F388" t="s">
        <v>27</v>
      </c>
      <c r="G388" s="2"/>
    </row>
    <row r="389" spans="1:7" ns3:dyDescent="0.2">
      <c r="A389" t="s">
        <v>218</v>
      </c>
      <c r="B389" s="3">
        <v>2.2345128559102676E-12</v>
      </c>
      <c r="C389" s="3"/>
      <c r="D389" t="s">
        <v>7</v>
      </c>
      <c r="E389" t="s">
        <v>244</v>
      </c>
      <c r="F389" t="s">
        <v>27</v>
      </c>
      <c r="G389" s="2"/>
    </row>
    <row r="390" spans="1:7" ns3:dyDescent="0.2">
      <c r="A390" t="s">
        <v>219</v>
      </c>
      <c r="B390" s="3">
        <v>7.9873097497842971E-9</v>
      </c>
      <c r="C390" s="3"/>
      <c r="D390" t="s">
        <v>7</v>
      </c>
      <c r="E390" t="s">
        <v>244</v>
      </c>
      <c r="F390" t="s">
        <v>27</v>
      </c>
      <c r="G390" s="2"/>
    </row>
    <row r="391" spans="1:7" ns3:dyDescent="0.2">
      <c r="A391" t="s">
        <v>220</v>
      </c>
      <c r="B391" s="3">
        <v>3.8359723899913715E-6</v>
      </c>
      <c r="C391" s="3"/>
      <c r="D391" t="s">
        <v>7</v>
      </c>
      <c r="E391" t="s">
        <v>244</v>
      </c>
      <c r="F391" t="s">
        <v>27</v>
      </c>
      <c r="G391" s="2"/>
    </row>
    <row r="392" spans="1:7" ns3:dyDescent="0.2">
      <c r="A392" t="s">
        <v>221</v>
      </c>
      <c r="B392" s="3">
        <v>2.821611044003451E-9</v>
      </c>
      <c r="C392" s="3"/>
      <c r="D392" t="s">
        <v>7</v>
      </c>
      <c r="E392" t="s">
        <v>244</v>
      </c>
      <c r="F392" t="s">
        <v>27</v>
      </c>
      <c r="G392" s="2"/>
    </row>
    <row r="393" spans="1:7" ns3:dyDescent="0.2">
      <c r="A393" t="s">
        <v>222</v>
      </c>
      <c r="B393" s="3">
        <v>5.1114408973252813E-6</v>
      </c>
      <c r="C393" s="3"/>
      <c r="D393" t="s">
        <v>7</v>
      </c>
      <c r="E393" t="s">
        <v>244</v>
      </c>
      <c r="F393" t="s">
        <v>27</v>
      </c>
      <c r="G393" s="2"/>
    </row>
    <row r="394" spans="1:7" ns3:dyDescent="0.2">
      <c r="A394" t="s">
        <v>223</v>
      </c>
      <c r="B394" s="3">
        <v>1.2752976704055219E-10</v>
      </c>
      <c r="C394" s="3"/>
      <c r="D394" t="s">
        <v>7</v>
      </c>
      <c r="E394" t="s">
        <v>244</v>
      </c>
      <c r="F394" t="s">
        <v>27</v>
      </c>
      <c r="G394" s="2"/>
    </row>
    <row r="395" spans="1:7" ns3:dyDescent="0.2">
      <c r="A395" t="s">
        <v>224</v>
      </c>
      <c r="B395" s="3">
        <v>5.4575565142364113E-12</v>
      </c>
      <c r="C395" s="3"/>
      <c r="D395" t="s">
        <v>7</v>
      </c>
      <c r="E395" t="s">
        <v>244</v>
      </c>
      <c r="F395" t="s">
        <v>27</v>
      </c>
      <c r="G395" s="2"/>
    </row>
    <row r="396" spans="1:7" ns3:dyDescent="0.2">
      <c r="A396" t="s">
        <v>225</v>
      </c>
      <c r="B396" s="3">
        <v>2.6451364969801553E-7</v>
      </c>
      <c r="C396" s="3"/>
      <c r="D396" t="s">
        <v>7</v>
      </c>
      <c r="E396" t="s">
        <v>244</v>
      </c>
      <c r="F396" t="s">
        <v>27</v>
      </c>
      <c r="G396" s="2"/>
    </row>
    <row r="397" spans="1:7" ns3:dyDescent="0.2">
      <c r="A397" t="s">
        <v>226</v>
      </c>
      <c r="B397" s="3">
        <v>1.0262174288179465E-8</v>
      </c>
      <c r="C397" s="3"/>
      <c r="D397" t="s">
        <v>7</v>
      </c>
      <c r="E397" t="s">
        <v>244</v>
      </c>
      <c r="F397" t="s">
        <v>27</v>
      </c>
      <c r="G397" s="2"/>
    </row>
    <row r="398" spans="1:7" ns3:dyDescent="0.2">
      <c r="A398" t="s">
        <v>227</v>
      </c>
      <c r="B398" s="3">
        <v>1.9484635030198446E-6</v>
      </c>
      <c r="C398" s="3"/>
      <c r="D398" t="s">
        <v>7</v>
      </c>
      <c r="E398" t="s">
        <v>244</v>
      </c>
      <c r="F398" t="s">
        <v>27</v>
      </c>
      <c r="G398" s="2"/>
    </row>
    <row r="399" spans="1:7" ns3:dyDescent="0.2">
      <c r="A399" t="s">
        <v>228</v>
      </c>
      <c r="B399" s="3">
        <v>1.1666429922346853E-3</v>
      </c>
      <c r="C399" s="3"/>
      <c r="D399" t="s">
        <v>37</v>
      </c>
      <c r="E399" t="s">
        <v>244</v>
      </c>
      <c r="F399" t="s">
        <v>27</v>
      </c>
      <c r="G399" s="2"/>
    </row>
    <row r="400" spans="1:7" ns3:dyDescent="0.2">
      <c r="A400" t="s">
        <v>229</v>
      </c>
      <c r="B400" s="3">
        <v>1.1947309749784296E-7</v>
      </c>
      <c r="C400" s="3"/>
      <c r="D400" t="s">
        <v>7</v>
      </c>
      <c r="E400" t="s">
        <v>244</v>
      </c>
      <c r="F400" t="s">
        <v>27</v>
      </c>
      <c r="G400" s="2"/>
    </row>
    <row r="401" spans="1:7" ns3:dyDescent="0.2">
      <c r="A401" t="s">
        <v>188</v>
      </c>
      <c r="B401" s="3">
        <v>5.9430750647109587E-5</v>
      </c>
      <c r="C401" s="3"/>
      <c r="D401" t="s">
        <v>7</v>
      </c>
      <c r="E401" t="s">
        <v>245</v>
      </c>
      <c r="F401" t="s">
        <v>27</v>
      </c>
      <c r="G401" s="2"/>
    </row>
    <row r="402" spans="1:7" ns3:dyDescent="0.2">
      <c r="A402" t="s">
        <v>188</v>
      </c>
      <c r="B402" s="3">
        <v>2.1773166522864537E-8</v>
      </c>
      <c r="C402" s="3"/>
      <c r="D402" t="s">
        <v>7</v>
      </c>
      <c r="E402" t="s">
        <v>246</v>
      </c>
      <c r="F402" t="s">
        <v>27</v>
      </c>
      <c r="G402" s="2"/>
    </row>
    <row r="403" spans="1:7" ns3:dyDescent="0.2">
      <c r="A403" t="s">
        <v>190</v>
      </c>
      <c r="B403" s="3">
        <v>5.5586919758412427E-6</v>
      </c>
      <c r="C403" s="3"/>
      <c r="D403" t="s">
        <v>7</v>
      </c>
      <c r="E403" t="s">
        <v>245</v>
      </c>
      <c r="F403" t="s">
        <v>27</v>
      </c>
      <c r="G403" s="2"/>
    </row>
    <row r="404" spans="1:7" ns3:dyDescent="0.2">
      <c r="A404" t="s">
        <v>190</v>
      </c>
      <c r="B404" s="3">
        <v>2.6922874892148405E-6</v>
      </c>
      <c r="C404" s="3"/>
      <c r="D404" t="s">
        <v>7</v>
      </c>
      <c r="E404" t="s">
        <v>246</v>
      </c>
      <c r="F404" t="s">
        <v>27</v>
      </c>
      <c r="G404" s="2"/>
    </row>
    <row r="405" spans="1:7" ns3:dyDescent="0.2">
      <c r="A405" t="s">
        <v>191</v>
      </c>
      <c r="B405" s="3">
        <v>3.6931527178602246E-7</v>
      </c>
      <c r="C405" s="3"/>
      <c r="D405" t="s">
        <v>7</v>
      </c>
      <c r="E405" t="s">
        <v>245</v>
      </c>
      <c r="F405" t="s">
        <v>27</v>
      </c>
      <c r="G405" s="2"/>
    </row>
    <row r="406" spans="1:7" ns3:dyDescent="0.2">
      <c r="A406" t="s">
        <v>191</v>
      </c>
      <c r="B406" s="3">
        <v>2.3686540120793788E-7</v>
      </c>
      <c r="C406" s="3"/>
      <c r="D406" t="s">
        <v>7</v>
      </c>
      <c r="E406" t="s">
        <v>246</v>
      </c>
      <c r="F406" t="s">
        <v>27</v>
      </c>
      <c r="G406" s="2"/>
    </row>
    <row r="407" spans="1:7" ns3:dyDescent="0.2">
      <c r="A407" t="s">
        <v>230</v>
      </c>
      <c r="B407" s="3">
        <v>5.2474270923209669E-4</v>
      </c>
      <c r="C407" s="3"/>
      <c r="D407" t="s">
        <v>7</v>
      </c>
      <c r="E407" t="s">
        <v>245</v>
      </c>
      <c r="F407" t="s">
        <v>27</v>
      </c>
      <c r="G407" s="2"/>
    </row>
    <row r="408" spans="1:7" ns3:dyDescent="0.2">
      <c r="A408" t="s">
        <v>230</v>
      </c>
      <c r="B408" s="3">
        <v>1.610513891285591E-4</v>
      </c>
      <c r="C408" s="3"/>
      <c r="D408" t="s">
        <v>7</v>
      </c>
      <c r="E408" t="s">
        <v>246</v>
      </c>
      <c r="F408" t="s">
        <v>27</v>
      </c>
      <c r="G408" s="2"/>
    </row>
    <row r="409" spans="1:7" ns3:dyDescent="0.2">
      <c r="A409" t="s">
        <v>192</v>
      </c>
      <c r="B409" s="3">
        <v>4.3440414150129424E-5</v>
      </c>
      <c r="C409" s="3"/>
      <c r="D409" t="s">
        <v>7</v>
      </c>
      <c r="E409" t="s">
        <v>245</v>
      </c>
      <c r="F409" t="s">
        <v>27</v>
      </c>
      <c r="G409" s="2"/>
    </row>
    <row r="410" spans="1:7" ns3:dyDescent="0.2">
      <c r="A410" t="s">
        <v>192</v>
      </c>
      <c r="B410" s="3">
        <v>2.5229197584124247E-8</v>
      </c>
      <c r="C410" s="3"/>
      <c r="D410" t="s">
        <v>7</v>
      </c>
      <c r="E410" t="s">
        <v>246</v>
      </c>
      <c r="F410" t="s">
        <v>27</v>
      </c>
      <c r="G410" s="2"/>
    </row>
    <row r="411" spans="1:7" ns3:dyDescent="0.2">
      <c r="A411" t="s">
        <v>231</v>
      </c>
      <c r="B411" s="3">
        <v>1.4960531492666092E-7</v>
      </c>
      <c r="C411" s="3"/>
      <c r="D411" t="s">
        <v>7</v>
      </c>
      <c r="E411" t="s">
        <v>245</v>
      </c>
      <c r="F411" t="s">
        <v>27</v>
      </c>
      <c r="G411" s="2"/>
    </row>
    <row r="412" spans="1:7" ns3:dyDescent="0.2">
      <c r="A412" t="s">
        <v>231</v>
      </c>
      <c r="B412" s="3">
        <v>9.9208421052631588E-11</v>
      </c>
      <c r="C412" s="3"/>
      <c r="D412" t="s">
        <v>7</v>
      </c>
      <c r="E412" t="s">
        <v>246</v>
      </c>
      <c r="F412" t="s">
        <v>27</v>
      </c>
      <c r="G412" s="2"/>
    </row>
    <row r="413" spans="1:7" ns3:dyDescent="0.2">
      <c r="A413" t="s">
        <v>196</v>
      </c>
      <c r="B413" s="3">
        <v>1.1569418464193269E-6</v>
      </c>
      <c r="C413" s="3"/>
      <c r="D413" t="s">
        <v>7</v>
      </c>
      <c r="E413" t="s">
        <v>245</v>
      </c>
      <c r="F413" t="s">
        <v>27</v>
      </c>
      <c r="G413" s="2"/>
    </row>
    <row r="414" spans="1:7" ns3:dyDescent="0.2">
      <c r="A414" t="s">
        <v>196</v>
      </c>
      <c r="B414" s="3">
        <v>2.0708852459016393E-5</v>
      </c>
      <c r="C414" s="3"/>
      <c r="D414" t="s">
        <v>7</v>
      </c>
      <c r="E414" t="s">
        <v>246</v>
      </c>
      <c r="F414" t="s">
        <v>27</v>
      </c>
      <c r="G414" s="2"/>
    </row>
    <row r="415" spans="1:7" ns3:dyDescent="0.2">
      <c r="A415" t="s">
        <v>232</v>
      </c>
      <c r="B415" s="3">
        <v>1.6042270923209666E-3</v>
      </c>
      <c r="C415" s="3"/>
      <c r="D415" t="s">
        <v>7</v>
      </c>
      <c r="E415" t="s">
        <v>245</v>
      </c>
      <c r="F415" t="s">
        <v>27</v>
      </c>
      <c r="G415" s="2"/>
    </row>
    <row r="416" spans="1:7" ns3:dyDescent="0.2">
      <c r="A416" t="s">
        <v>232</v>
      </c>
      <c r="B416" s="3">
        <v>1.6457404659188957E-4</v>
      </c>
      <c r="C416" s="3"/>
      <c r="D416" t="s">
        <v>7</v>
      </c>
      <c r="E416" t="s">
        <v>246</v>
      </c>
      <c r="F416" t="s">
        <v>27</v>
      </c>
      <c r="G416" s="2"/>
    </row>
    <row r="417" spans="1:7" ns3:dyDescent="0.2">
      <c r="A417" t="s">
        <v>197</v>
      </c>
      <c r="B417" s="3">
        <v>4.151679033649698E-6</v>
      </c>
      <c r="C417" s="3"/>
      <c r="D417" t="s">
        <v>7</v>
      </c>
      <c r="E417" t="s">
        <v>245</v>
      </c>
      <c r="F417" t="s">
        <v>27</v>
      </c>
      <c r="G417" s="2"/>
    </row>
    <row r="418" spans="1:7" ns3:dyDescent="0.2">
      <c r="A418" t="s">
        <v>197</v>
      </c>
      <c r="B418" s="3">
        <v>4.6023468507333909E-9</v>
      </c>
      <c r="C418" s="3"/>
      <c r="D418" t="s">
        <v>7</v>
      </c>
      <c r="E418" t="s">
        <v>246</v>
      </c>
      <c r="F418" t="s">
        <v>27</v>
      </c>
      <c r="G418" s="2"/>
    </row>
    <row r="419" spans="1:7" ns3:dyDescent="0.2">
      <c r="A419" t="s">
        <v>233</v>
      </c>
      <c r="B419" s="3">
        <v>4.8944779982743748E-5</v>
      </c>
      <c r="C419" s="3"/>
      <c r="D419" t="s">
        <v>7</v>
      </c>
      <c r="E419" t="s">
        <v>245</v>
      </c>
      <c r="F419" t="s">
        <v>27</v>
      </c>
      <c r="G419" s="2"/>
    </row>
    <row r="420" spans="1:7" ns3:dyDescent="0.2">
      <c r="A420" t="s">
        <v>233</v>
      </c>
      <c r="B420" s="3">
        <v>8.1707886108714418E-8</v>
      </c>
      <c r="C420" s="3"/>
      <c r="D420" t="s">
        <v>7</v>
      </c>
      <c r="E420" t="s">
        <v>246</v>
      </c>
      <c r="F420" t="s">
        <v>27</v>
      </c>
      <c r="G420" s="2"/>
    </row>
    <row r="421" spans="1:7" ns3:dyDescent="0.2">
      <c r="A421" t="s">
        <v>234</v>
      </c>
      <c r="B421" s="3">
        <v>7.8031475409836074E-4</v>
      </c>
      <c r="C421" s="3"/>
      <c r="D421" t="s">
        <v>7</v>
      </c>
      <c r="E421" t="s">
        <v>245</v>
      </c>
      <c r="F421" t="s">
        <v>27</v>
      </c>
      <c r="G421" s="2"/>
    </row>
    <row r="422" spans="1:7" ns3:dyDescent="0.2">
      <c r="A422" t="s">
        <v>234</v>
      </c>
      <c r="B422" s="3">
        <v>5.261777394305436E-3</v>
      </c>
      <c r="C422" s="3"/>
      <c r="D422" t="s">
        <v>7</v>
      </c>
      <c r="E422" t="s">
        <v>246</v>
      </c>
      <c r="F422" t="s">
        <v>27</v>
      </c>
      <c r="G422" s="2"/>
    </row>
    <row r="423" spans="1:7" ns3:dyDescent="0.2">
      <c r="A423" t="s">
        <v>199</v>
      </c>
      <c r="B423" s="3">
        <v>1.6914564279551337E-9</v>
      </c>
      <c r="C423" s="3"/>
      <c r="D423" t="s">
        <v>7</v>
      </c>
      <c r="E423" t="s">
        <v>246</v>
      </c>
      <c r="F423" t="s">
        <v>27</v>
      </c>
      <c r="G423" s="2"/>
    </row>
    <row r="424" spans="1:7" ns3:dyDescent="0.2">
      <c r="A424" t="s">
        <v>235</v>
      </c>
      <c r="B424" s="3">
        <v>6.8884866264020719E-7</v>
      </c>
      <c r="C424" s="3"/>
      <c r="D424" t="s">
        <v>7</v>
      </c>
      <c r="E424" t="s">
        <v>245</v>
      </c>
      <c r="F424" t="s">
        <v>27</v>
      </c>
      <c r="G424" s="2"/>
    </row>
    <row r="425" spans="1:7" ns3:dyDescent="0.2">
      <c r="A425" t="s">
        <v>235</v>
      </c>
      <c r="B425" s="3">
        <v>1.9825625539257981E-7</v>
      </c>
      <c r="C425" s="3"/>
      <c r="D425" t="s">
        <v>7</v>
      </c>
      <c r="E425" t="s">
        <v>246</v>
      </c>
      <c r="F425" t="s">
        <v>27</v>
      </c>
      <c r="G425" s="2"/>
    </row>
    <row r="426" spans="1:7" ns3:dyDescent="0.2">
      <c r="A426" t="s">
        <v>200</v>
      </c>
      <c r="B426" s="3">
        <v>8.8107437446074205E-6</v>
      </c>
      <c r="C426" s="3"/>
      <c r="D426" t="s">
        <v>7</v>
      </c>
      <c r="E426" t="s">
        <v>245</v>
      </c>
      <c r="F426" t="s">
        <v>27</v>
      </c>
      <c r="G426" s="2"/>
    </row>
    <row r="427" spans="1:7" ns3:dyDescent="0.2">
      <c r="A427" t="s">
        <v>200</v>
      </c>
      <c r="B427" s="3">
        <v>1.6588949094046593E-9</v>
      </c>
      <c r="C427" s="3"/>
      <c r="D427" t="s">
        <v>7</v>
      </c>
      <c r="E427" t="s">
        <v>246</v>
      </c>
      <c r="F427" t="s">
        <v>27</v>
      </c>
      <c r="G427" s="2"/>
    </row>
    <row r="428" spans="1:7" ns3:dyDescent="0.2">
      <c r="A428" t="s">
        <v>201</v>
      </c>
      <c r="B428" s="3">
        <v>9.5412424503882648E-5</v>
      </c>
      <c r="C428" s="3"/>
      <c r="D428" t="s">
        <v>7</v>
      </c>
      <c r="E428" t="s">
        <v>245</v>
      </c>
      <c r="F428" t="s">
        <v>27</v>
      </c>
      <c r="G428" s="2"/>
    </row>
    <row r="429" spans="1:7" ns3:dyDescent="0.2">
      <c r="A429" t="s">
        <v>201</v>
      </c>
      <c r="B429" s="3">
        <v>8.7622260569456431E-9</v>
      </c>
      <c r="C429" s="3"/>
      <c r="D429" t="s">
        <v>7</v>
      </c>
      <c r="E429" t="s">
        <v>246</v>
      </c>
      <c r="F429" t="s">
        <v>27</v>
      </c>
      <c r="G429" s="2"/>
    </row>
    <row r="430" spans="1:7" ns3:dyDescent="0.2">
      <c r="A430" t="s">
        <v>236</v>
      </c>
      <c r="B430" s="3">
        <v>6.3479585849870589E-4</v>
      </c>
      <c r="C430" s="3"/>
      <c r="D430" t="s">
        <v>7</v>
      </c>
      <c r="E430" t="s">
        <v>245</v>
      </c>
      <c r="F430" t="s">
        <v>27</v>
      </c>
      <c r="G430" s="2"/>
    </row>
    <row r="431" spans="1:7" ns3:dyDescent="0.2">
      <c r="A431" t="s">
        <v>236</v>
      </c>
      <c r="B431" s="3">
        <v>7.1782260569456431E-5</v>
      </c>
      <c r="C431" s="3"/>
      <c r="D431" t="s">
        <v>7</v>
      </c>
      <c r="E431" t="s">
        <v>246</v>
      </c>
      <c r="F431" t="s">
        <v>27</v>
      </c>
      <c r="G431" s="2"/>
    </row>
    <row r="432" spans="1:7" ns3:dyDescent="0.2">
      <c r="A432" t="s">
        <v>237</v>
      </c>
      <c r="B432" s="3">
        <v>3.126828300258844E-6</v>
      </c>
      <c r="C432" s="3"/>
      <c r="D432" t="s">
        <v>7</v>
      </c>
      <c r="E432" t="s">
        <v>245</v>
      </c>
      <c r="F432" t="s">
        <v>27</v>
      </c>
      <c r="G432" s="2"/>
    </row>
    <row r="433" spans="1:7" ns3:dyDescent="0.2">
      <c r="A433" t="s">
        <v>237</v>
      </c>
      <c r="B433" s="3">
        <v>1.3640645383951683E-6</v>
      </c>
      <c r="C433" s="3"/>
      <c r="D433" t="s">
        <v>7</v>
      </c>
      <c r="E433" t="s">
        <v>246</v>
      </c>
      <c r="F433" t="s">
        <v>27</v>
      </c>
      <c r="G433" s="2"/>
    </row>
    <row r="434" spans="1:7" ns3:dyDescent="0.2">
      <c r="A434" t="s">
        <v>205</v>
      </c>
      <c r="B434" s="3">
        <v>2.1483768766177738</v>
      </c>
      <c r="C434" s="3"/>
      <c r="D434" t="s">
        <v>17</v>
      </c>
      <c r="E434" t="s">
        <v>246</v>
      </c>
      <c r="F434" t="s">
        <v>27</v>
      </c>
      <c r="G434" s="2"/>
    </row>
    <row r="435" spans="1:7" ns3:dyDescent="0.2">
      <c r="A435" t="s">
        <v>208</v>
      </c>
      <c r="B435" s="3">
        <v>6.0794029335634167E-4</v>
      </c>
      <c r="C435" s="3"/>
      <c r="D435" t="s">
        <v>7</v>
      </c>
      <c r="E435" t="s">
        <v>245</v>
      </c>
      <c r="F435" t="s">
        <v>27</v>
      </c>
      <c r="G435" s="2"/>
    </row>
    <row r="436" spans="1:7" ns3:dyDescent="0.2">
      <c r="A436" t="s">
        <v>208</v>
      </c>
      <c r="B436" s="3">
        <v>2.2918798964624679E-8</v>
      </c>
      <c r="C436" s="3"/>
      <c r="D436" t="s">
        <v>7</v>
      </c>
      <c r="E436" t="s">
        <v>246</v>
      </c>
      <c r="F436" t="s">
        <v>27</v>
      </c>
      <c r="G436" s="2"/>
    </row>
    <row r="437" spans="1:7" ns3:dyDescent="0.2">
      <c r="A437" t="s">
        <v>209</v>
      </c>
      <c r="B437" s="3">
        <v>1.0484262295081967E-4</v>
      </c>
      <c r="C437" s="3"/>
      <c r="D437" t="s">
        <v>7</v>
      </c>
      <c r="E437" t="s">
        <v>245</v>
      </c>
      <c r="F437" t="s">
        <v>27</v>
      </c>
      <c r="G437" s="2"/>
    </row>
    <row r="438" spans="1:7" ns3:dyDescent="0.2">
      <c r="A438" t="s">
        <v>209</v>
      </c>
      <c r="B438" s="3">
        <v>1.0139855047454703E-8</v>
      </c>
      <c r="C438" s="3"/>
      <c r="D438" t="s">
        <v>7</v>
      </c>
      <c r="E438" t="s">
        <v>246</v>
      </c>
      <c r="F438" t="s">
        <v>27</v>
      </c>
      <c r="G438" s="2"/>
    </row>
    <row r="439" spans="1:7" ns3:dyDescent="0.2">
      <c r="A439" t="s">
        <v>210</v>
      </c>
      <c r="B439" s="3">
        <v>2.0202150129421916E-5</v>
      </c>
      <c r="C439" s="3"/>
      <c r="D439" t="s">
        <v>7</v>
      </c>
      <c r="E439" t="s">
        <v>245</v>
      </c>
      <c r="F439" t="s">
        <v>27</v>
      </c>
      <c r="G439" s="2"/>
    </row>
    <row r="440" spans="1:7" ns3:dyDescent="0.2">
      <c r="A440" t="s">
        <v>210</v>
      </c>
      <c r="B440" s="3">
        <v>3.1145622088006904E-9</v>
      </c>
      <c r="C440" s="3"/>
      <c r="D440" t="s">
        <v>7</v>
      </c>
      <c r="E440" t="s">
        <v>246</v>
      </c>
      <c r="F440" t="s">
        <v>27</v>
      </c>
      <c r="G440" s="2"/>
    </row>
    <row r="441" spans="1:7" ns3:dyDescent="0.2">
      <c r="A441" t="s">
        <v>211</v>
      </c>
      <c r="B441" s="3">
        <v>5.6854529767040553E-8</v>
      </c>
      <c r="C441" s="3"/>
      <c r="D441" t="s">
        <v>7</v>
      </c>
      <c r="E441" t="s">
        <v>245</v>
      </c>
      <c r="F441" t="s">
        <v>27</v>
      </c>
      <c r="G441" s="2"/>
    </row>
    <row r="442" spans="1:7" ns3:dyDescent="0.2">
      <c r="A442" t="s">
        <v>211</v>
      </c>
      <c r="B442" s="3">
        <v>1.4405311475409837E-9</v>
      </c>
      <c r="C442" s="3"/>
      <c r="D442" t="s">
        <v>7</v>
      </c>
      <c r="E442" t="s">
        <v>246</v>
      </c>
      <c r="F442" t="s">
        <v>27</v>
      </c>
      <c r="G442" s="2"/>
    </row>
    <row r="443" spans="1:7" ns3:dyDescent="0.2">
      <c r="A443" t="s">
        <v>214</v>
      </c>
      <c r="B443" s="3">
        <v>6.4244935289042283E-6</v>
      </c>
      <c r="C443" s="3"/>
      <c r="D443" t="s">
        <v>7</v>
      </c>
      <c r="E443" t="s">
        <v>245</v>
      </c>
      <c r="F443" t="s">
        <v>27</v>
      </c>
      <c r="G443" s="2"/>
    </row>
    <row r="444" spans="1:7" ns3:dyDescent="0.2">
      <c r="A444" t="s">
        <v>214</v>
      </c>
      <c r="B444" s="3">
        <v>4.352924935289043E-9</v>
      </c>
      <c r="C444" s="3"/>
      <c r="D444" t="s">
        <v>7</v>
      </c>
      <c r="E444" t="s">
        <v>246</v>
      </c>
      <c r="F444" t="s">
        <v>27</v>
      </c>
      <c r="G444" s="2"/>
    </row>
    <row r="445" spans="1:7" ns3:dyDescent="0.2">
      <c r="A445" t="s">
        <v>238</v>
      </c>
      <c r="B445" s="3">
        <v>7.4901742881794647E-5</v>
      </c>
      <c r="C445" s="3"/>
      <c r="D445" t="s">
        <v>7</v>
      </c>
      <c r="E445" t="s">
        <v>245</v>
      </c>
      <c r="F445" t="s">
        <v>27</v>
      </c>
      <c r="G445" s="2"/>
    </row>
    <row r="446" spans="1:7" ns3:dyDescent="0.2">
      <c r="A446" t="s">
        <v>238</v>
      </c>
      <c r="B446" s="3">
        <v>2.6829939603106126E-5</v>
      </c>
      <c r="C446" s="3"/>
      <c r="D446" t="s">
        <v>7</v>
      </c>
      <c r="E446" t="s">
        <v>246</v>
      </c>
      <c r="F446" t="s">
        <v>27</v>
      </c>
      <c r="G446" s="2"/>
    </row>
    <row r="447" spans="1:7" ns3:dyDescent="0.2">
      <c r="A447" t="s">
        <v>219</v>
      </c>
      <c r="B447" s="3">
        <v>5.1380914581535803E-7</v>
      </c>
      <c r="C447" s="3"/>
      <c r="D447" t="s">
        <v>7</v>
      </c>
      <c r="E447" t="s">
        <v>245</v>
      </c>
      <c r="F447" t="s">
        <v>27</v>
      </c>
      <c r="G447" s="2"/>
    </row>
    <row r="448" spans="1:7" ns3:dyDescent="0.2">
      <c r="A448" t="s">
        <v>219</v>
      </c>
      <c r="B448" s="3">
        <v>1.33396307161346E-7</v>
      </c>
      <c r="C448" s="3"/>
      <c r="D448" t="s">
        <v>7</v>
      </c>
      <c r="E448" t="s">
        <v>246</v>
      </c>
      <c r="F448" t="s">
        <v>27</v>
      </c>
      <c r="G448" s="2"/>
    </row>
    <row r="449" spans="1:7" ns3:dyDescent="0.2">
      <c r="A449" t="s">
        <v>239</v>
      </c>
      <c r="B449" s="3">
        <v>1.1793556514236411E-4</v>
      </c>
      <c r="C449" s="3"/>
      <c r="D449" t="s">
        <v>7</v>
      </c>
      <c r="E449" t="s">
        <v>245</v>
      </c>
      <c r="F449" t="s">
        <v>27</v>
      </c>
      <c r="G449" s="2"/>
    </row>
    <row r="450" spans="1:7" ns3:dyDescent="0.2">
      <c r="A450" t="s">
        <v>239</v>
      </c>
      <c r="B450" s="3">
        <v>2.6582909404659194E-7</v>
      </c>
      <c r="C450" s="3"/>
      <c r="D450" t="s">
        <v>7</v>
      </c>
      <c r="E450" t="s">
        <v>246</v>
      </c>
      <c r="F450" t="s">
        <v>27</v>
      </c>
      <c r="G450" s="2"/>
    </row>
    <row r="451" spans="1:7" ns3:dyDescent="0.2">
      <c r="A451" t="s">
        <v>240</v>
      </c>
      <c r="B451" s="3">
        <v>3.0579810181190681E-4</v>
      </c>
      <c r="C451" s="3"/>
      <c r="D451" t="s">
        <v>7</v>
      </c>
      <c r="E451" t="s">
        <v>245</v>
      </c>
      <c r="F451" t="s">
        <v>27</v>
      </c>
      <c r="G451" s="2"/>
    </row>
    <row r="452" spans="1:7" ns3:dyDescent="0.2">
      <c r="A452" t="s">
        <v>240</v>
      </c>
      <c r="B452" s="3">
        <v>1.5376690250215705E-4</v>
      </c>
      <c r="C452" s="3"/>
      <c r="D452" t="s">
        <v>7</v>
      </c>
      <c r="E452" t="s">
        <v>246</v>
      </c>
      <c r="F452" t="s">
        <v>27</v>
      </c>
      <c r="G452" s="2"/>
    </row>
    <row r="453" spans="1:7" ns3:dyDescent="0.2">
      <c r="A453" t="s">
        <v>221</v>
      </c>
      <c r="B453" s="3">
        <v>2.818570146678171E-5</v>
      </c>
      <c r="C453" s="3"/>
      <c r="D453" t="s">
        <v>7</v>
      </c>
      <c r="E453" t="s">
        <v>245</v>
      </c>
      <c r="F453" t="s">
        <v>27</v>
      </c>
      <c r="G453" s="2"/>
    </row>
    <row r="454" spans="1:7" ns3:dyDescent="0.2">
      <c r="A454" t="s">
        <v>221</v>
      </c>
      <c r="B454" s="3">
        <v>1.844662985332183E-8</v>
      </c>
      <c r="C454" s="3"/>
      <c r="D454" t="s">
        <v>7</v>
      </c>
      <c r="E454" t="s">
        <v>246</v>
      </c>
      <c r="F454" t="s">
        <v>27</v>
      </c>
      <c r="G454" s="2"/>
    </row>
    <row r="455" spans="1:7" ns3:dyDescent="0.2">
      <c r="A455" t="s">
        <v>241</v>
      </c>
      <c r="B455" s="3">
        <v>1.1491858498705783E-3</v>
      </c>
      <c r="C455" s="3"/>
      <c r="D455" t="s">
        <v>7</v>
      </c>
      <c r="E455" t="s">
        <v>245</v>
      </c>
      <c r="F455" t="s">
        <v>27</v>
      </c>
      <c r="G455" s="2"/>
    </row>
    <row r="456" spans="1:7" ns3:dyDescent="0.2">
      <c r="A456" t="s">
        <v>241</v>
      </c>
      <c r="B456" s="3">
        <v>1.9641121656600519E-4</v>
      </c>
      <c r="C456" s="3"/>
      <c r="D456" t="s">
        <v>7</v>
      </c>
      <c r="E456" t="s">
        <v>246</v>
      </c>
      <c r="F456" t="s">
        <v>27</v>
      </c>
      <c r="G456" s="2"/>
    </row>
    <row r="457" spans="1:7" ns3:dyDescent="0.2">
      <c r="A457" t="s">
        <v>242</v>
      </c>
      <c r="B457" s="3">
        <v>6.3479585849870589E-4</v>
      </c>
      <c r="C457" s="3"/>
      <c r="D457" t="s">
        <v>7</v>
      </c>
      <c r="E457" t="s">
        <v>245</v>
      </c>
      <c r="F457" t="s">
        <v>27</v>
      </c>
      <c r="G457" s="2"/>
    </row>
    <row r="458" spans="1:7" ns3:dyDescent="0.2">
      <c r="A458" t="s">
        <v>242</v>
      </c>
      <c r="B458" s="3">
        <v>7.1782260569456431E-5</v>
      </c>
      <c r="C458" s="3"/>
      <c r="D458" t="s">
        <v>7</v>
      </c>
      <c r="E458" t="s">
        <v>246</v>
      </c>
      <c r="F458" t="s">
        <v>27</v>
      </c>
      <c r="G458" s="2"/>
    </row>
    <row r="459" spans="1:7" ns3:dyDescent="0.2">
      <c r="A459" t="s">
        <v>223</v>
      </c>
      <c r="B459" s="3">
        <v>9.7780224331320098E-8</v>
      </c>
      <c r="C459" s="3"/>
      <c r="D459" t="s">
        <v>7</v>
      </c>
      <c r="E459" t="s">
        <v>245</v>
      </c>
      <c r="F459" t="s">
        <v>27</v>
      </c>
      <c r="G459" s="2"/>
    </row>
    <row r="460" spans="1:7" ns3:dyDescent="0.2">
      <c r="A460" t="s">
        <v>223</v>
      </c>
      <c r="B460" s="3">
        <v>9.0615323554788616E-11</v>
      </c>
      <c r="C460" s="3"/>
      <c r="D460" t="s">
        <v>7</v>
      </c>
      <c r="E460" t="s">
        <v>246</v>
      </c>
      <c r="F460" t="s">
        <v>27</v>
      </c>
      <c r="G460" s="2"/>
    </row>
    <row r="461" spans="1:7" ns3:dyDescent="0.2">
      <c r="A461" t="s">
        <v>224</v>
      </c>
      <c r="B461" s="3">
        <v>5.5450250215703194E-6</v>
      </c>
      <c r="C461" s="3"/>
      <c r="D461" t="s">
        <v>7</v>
      </c>
      <c r="E461" t="s">
        <v>245</v>
      </c>
      <c r="F461" t="s">
        <v>27</v>
      </c>
      <c r="G461" s="2"/>
    </row>
    <row r="462" spans="1:7" ns3:dyDescent="0.2">
      <c r="A462" t="s">
        <v>224</v>
      </c>
      <c r="B462" s="3">
        <v>7.5523589301121659E-9</v>
      </c>
      <c r="C462" s="3"/>
      <c r="D462" t="s">
        <v>7</v>
      </c>
      <c r="E462" t="s">
        <v>246</v>
      </c>
      <c r="F462" t="s">
        <v>27</v>
      </c>
      <c r="G462" s="2"/>
    </row>
    <row r="463" spans="1:7" ns3:dyDescent="0.2">
      <c r="A463" t="s">
        <v>225</v>
      </c>
      <c r="B463" s="3">
        <v>9.5412424503882648E-5</v>
      </c>
      <c r="C463" s="3"/>
      <c r="D463" t="s">
        <v>7</v>
      </c>
      <c r="E463" t="s">
        <v>245</v>
      </c>
      <c r="F463" t="s">
        <v>27</v>
      </c>
      <c r="G463" s="2"/>
    </row>
    <row r="464" spans="1:7" ns3:dyDescent="0.2">
      <c r="A464" t="s">
        <v>225</v>
      </c>
      <c r="B464" s="3">
        <v>6.4907782571182061E-8</v>
      </c>
      <c r="C464" s="3"/>
      <c r="D464" t="s">
        <v>7</v>
      </c>
      <c r="E464" t="s">
        <v>246</v>
      </c>
      <c r="F464" t="s">
        <v>27</v>
      </c>
      <c r="G464" s="2"/>
    </row>
    <row r="465" spans="1:8" ns3:dyDescent="0.2">
      <c r="A465" t="s">
        <v>227</v>
      </c>
      <c r="B465" s="3">
        <v>2.7097811906816221E-5</v>
      </c>
      <c r="C465" s="3"/>
      <c r="D465" t="s">
        <v>7</v>
      </c>
      <c r="E465" t="s">
        <v>245</v>
      </c>
      <c r="F465" t="s">
        <v>27</v>
      </c>
      <c r="G465" s="2"/>
    </row>
    <row r="466" spans="1:8" ns3:dyDescent="0.2">
      <c r="A466" t="s">
        <v>227</v>
      </c>
      <c r="B466" s="3">
        <v>1.0687899913718723E-7</v>
      </c>
      <c r="C466" s="3"/>
      <c r="D466" t="s">
        <v>7</v>
      </c>
      <c r="E466" t="s">
        <v>246</v>
      </c>
      <c r="F466" t="s">
        <v>27</v>
      </c>
      <c r="G466" s="2"/>
    </row>
    <row r="467" spans="1:8" ns3:dyDescent="0.2">
      <c r="A467" t="s">
        <v>228</v>
      </c>
      <c r="B467" s="3">
        <v>4.3036863157894733E-4</v>
      </c>
      <c r="C467" s="3"/>
      <c r="D467" t="s">
        <v>37</v>
      </c>
      <c r="E467" t="s">
        <v>246</v>
      </c>
      <c r="F467" t="s">
        <v>27</v>
      </c>
      <c r="G467" s="2"/>
    </row>
    <row r="468" spans="1:8" ns3:dyDescent="0.2">
      <c r="A468" t="s">
        <v>229</v>
      </c>
      <c r="B468" s="3">
        <v>8.0037100949094048E-5</v>
      </c>
      <c r="C468" s="3"/>
      <c r="D468" t="s">
        <v>7</v>
      </c>
      <c r="E468" t="s">
        <v>245</v>
      </c>
      <c r="F468" t="s">
        <v>27</v>
      </c>
      <c r="G468" s="2"/>
    </row>
    <row r="469" spans="1:8" ns3:dyDescent="0.2">
      <c r="A469" t="s">
        <v>229</v>
      </c>
      <c r="B469" s="3">
        <v>1.0889145815358068E-8</v>
      </c>
      <c r="C469" s="3"/>
      <c r="D469" t="s">
        <v>7</v>
      </c>
      <c r="E469" t="s">
        <v>246</v>
      </c>
      <c r="F469" t="s">
        <v>27</v>
      </c>
      <c r="G469" s="2"/>
    </row>
    <row r="470" spans="1:8" ns3:dyDescent="0.2">
      <c r="A470" t="s">
        <v>243</v>
      </c>
      <c r="B470" s="3">
        <v>0.84704365832614326</v>
      </c>
      <c r="C470" s="3"/>
      <c r="D470" t="s">
        <v>7</v>
      </c>
      <c r="E470" t="s">
        <v>111</v>
      </c>
      <c r="F470" t="s">
        <v>27</v>
      </c>
      <c r="G470" s="2"/>
    </row>
    <row r="471" spans="1:8" s="50" customFormat="1" ns3:dyDescent="0.2">
      <c r="A471" s="50" t="s">
        <v>134</v>
      </c>
      <c r="B471" s="51">
        <f>0.9*0.788993270060397</f>
        <v>0.71009394305435736</v>
      </c>
      <c r="C471" s="50" t="s">
        <v>103</v>
      </c>
      <c r="D471" s="50" t="s">
        <v>7</v>
      </c>
      <c r="F471" s="50" t="s">
        <v>18</v>
      </c>
      <c r="H471" s="50" t="s">
        <v>134</v>
      </c>
    </row>
    <row r="472" spans="1:8" s="50" customFormat="1" ns3:dyDescent="0.2">
      <c r="A472" s="50" t="s">
        <v>144</v>
      </c>
      <c r="B472" s="51">
        <f>0.788993270060397-B471</f>
        <v>7.8899327006039632E-2</v>
      </c>
      <c r="D472" s="50" t="s">
        <v>7</v>
      </c>
      <c r="E472" s="50" t="s">
        <v>136</v>
      </c>
      <c r="F472" s="50" t="s">
        <v>27</v>
      </c>
      <c r="G472" s="50" t="s">
        <v>247</v>
      </c>
    </row>
    <row r="473" spans="1:8" s="50" customFormat="1" ns3:dyDescent="0.2">
      <c r="A473" s="50" t="s">
        <v>484</v>
      </c>
      <c r="B473" s="51">
        <f>(9.3/43.4)*1.1</f>
        <v>0.23571428571428574</v>
      </c>
      <c r="D473" s="50" t="s">
        <v>7</v>
      </c>
      <c r="E473" s="50" t="s">
        <v>485</v>
      </c>
      <c r="F473" s="50" t="s">
        <v>27</v>
      </c>
      <c r="G473" s="50" t="s">
        <v>486</v>
      </c>
    </row>
    <row r="474" spans="1:8" s="50" customFormat="1" ns3:dyDescent="0.2"/>
    <row r="475" spans="1:8" s="50" customFormat="1" ht="16" ns3:dyDescent="0.2">
      <c r="A475" s="49" t="s">
        <v>0</v>
      </c>
      <c r="B475" s="49" t="s">
        <v>141</v>
      </c>
    </row>
    <row r="476" spans="1:8" s="50" customFormat="1" ns3:dyDescent="0.2">
      <c r="A476" s="50" t="s">
        <v>1</v>
      </c>
      <c r="B476" s="50" t="s">
        <v>104</v>
      </c>
    </row>
    <row r="477" spans="1:8" s="50" customFormat="1" ns3:dyDescent="0.2">
      <c r="A477" s="50" t="s">
        <v>2</v>
      </c>
      <c r="B477" s="50">
        <v>1</v>
      </c>
    </row>
    <row r="478" spans="1:8" s="50" customFormat="1" ns3:dyDescent="0.2">
      <c r="A478" s="50" t="s">
        <v>3</v>
      </c>
      <c r="B478" s="3" t="s">
        <v>143</v>
      </c>
    </row>
    <row r="479" spans="1:8" s="50" customFormat="1" ns3:dyDescent="0.2">
      <c r="A479" s="50" t="s">
        <v>4</v>
      </c>
      <c r="B479" s="50" t="s">
        <v>5</v>
      </c>
    </row>
    <row r="480" spans="1:8" s="50" customFormat="1" ns3:dyDescent="0.2">
      <c r="A480" s="50" t="s">
        <v>6</v>
      </c>
      <c r="B480" s="50" t="s">
        <v>17</v>
      </c>
    </row>
    <row r="481" spans="1:8" ns3:dyDescent="0.2">
      <c r="A481" t="s">
        <v>261</v>
      </c>
      <c r="B481" s="23">
        <f>0.37*66%*90%</f>
        <v>0.21978</v>
      </c>
    </row>
    <row r="482" spans="1:8" s="50" customFormat="1" ns3:dyDescent="0.2">
      <c r="A482" s="50" t="s">
        <v>9</v>
      </c>
      <c r="B482" s="50" t="s">
        <v>133</v>
      </c>
    </row>
    <row r="483" spans="1:8" s="50" customFormat="1" ht="16" ns3:dyDescent="0.2">
      <c r="A483" s="49" t="s">
        <v>10</v>
      </c>
    </row>
    <row r="484" spans="1:8" s="50" customFormat="1" ns3:dyDescent="0.2">
      <c r="A484" s="50" t="s">
        <v>11</v>
      </c>
      <c r="B484" s="50" t="s">
        <v>12</v>
      </c>
      <c r="C484" s="50" t="s">
        <v>1</v>
      </c>
      <c r="D484" s="50" t="s">
        <v>6</v>
      </c>
      <c r="E484" s="50" t="s">
        <v>13</v>
      </c>
      <c r="F484" s="50" t="s">
        <v>4</v>
      </c>
      <c r="G484" s="50" t="s">
        <v>9</v>
      </c>
      <c r="H484" s="50" t="s">
        <v>3</v>
      </c>
    </row>
    <row r="485" spans="1:8" s="50" customFormat="1" ns3:dyDescent="0.2">
      <c r="A485" s="50" t="str">
        <f>B475</f>
        <v>heat production, at co-generation plastic waste-fired power plant, post, pipeline 200km, storage 1000m</v>
      </c>
      <c r="B485" s="50">
        <v>1</v>
      </c>
      <c r="C485" s="50" t="str">
        <f>B476</f>
        <v>CH</v>
      </c>
      <c r="D485" s="50" t="s">
        <v>17</v>
      </c>
      <c r="F485" s="50" t="s">
        <v>15</v>
      </c>
      <c r="G485" s="50" t="s">
        <v>16</v>
      </c>
      <c r="H485" s="51" t="str">
        <f>B478</f>
        <v>heat, from plastic waste mixture, municipal incineration, energy allocation</v>
      </c>
    </row>
    <row r="486" spans="1:8" ns3:dyDescent="0.2">
      <c r="A486" t="s">
        <v>149</v>
      </c>
      <c r="B486" s="3">
        <v>1.3969715271786021E-4</v>
      </c>
      <c r="C486" s="3" t="s">
        <v>103</v>
      </c>
      <c r="D486" t="s">
        <v>7</v>
      </c>
      <c r="F486" t="s">
        <v>18</v>
      </c>
      <c r="G486" s="3"/>
      <c r="H486" t="s">
        <v>170</v>
      </c>
    </row>
    <row r="487" spans="1:8" ns3:dyDescent="0.2">
      <c r="A487" t="s">
        <v>150</v>
      </c>
      <c r="B487" s="3">
        <v>3.8112769628990511E-7</v>
      </c>
      <c r="C487" s="3" t="s">
        <v>103</v>
      </c>
      <c r="D487" t="s">
        <v>7</v>
      </c>
      <c r="F487" t="s">
        <v>18</v>
      </c>
      <c r="G487" s="3"/>
      <c r="H487" t="s">
        <v>171</v>
      </c>
    </row>
    <row r="488" spans="1:8" ns3:dyDescent="0.2">
      <c r="A488" t="s">
        <v>168</v>
      </c>
      <c r="B488" s="3">
        <v>3.1877221742881794E-4</v>
      </c>
      <c r="C488" s="3" t="s">
        <v>104</v>
      </c>
      <c r="D488" t="s">
        <v>7</v>
      </c>
      <c r="F488" t="s">
        <v>18</v>
      </c>
      <c r="G488" s="3"/>
      <c r="H488" t="s">
        <v>186</v>
      </c>
    </row>
    <row r="489" spans="1:8" ns3:dyDescent="0.2">
      <c r="A489" t="s">
        <v>151</v>
      </c>
      <c r="B489" s="3">
        <v>2.9430457290767903E-5</v>
      </c>
      <c r="C489" s="3" t="s">
        <v>24</v>
      </c>
      <c r="D489" t="s">
        <v>7</v>
      </c>
      <c r="F489" t="s">
        <v>18</v>
      </c>
      <c r="G489" s="3"/>
      <c r="H489" t="s">
        <v>172</v>
      </c>
    </row>
    <row r="490" spans="1:8" ns3:dyDescent="0.2">
      <c r="A490" t="s">
        <v>152</v>
      </c>
      <c r="B490" s="3">
        <v>1.6877739430543571E-6</v>
      </c>
      <c r="C490" s="3" t="s">
        <v>24</v>
      </c>
      <c r="D490" t="s">
        <v>7</v>
      </c>
      <c r="F490" t="s">
        <v>18</v>
      </c>
      <c r="G490" s="3"/>
      <c r="H490" t="s">
        <v>173</v>
      </c>
    </row>
    <row r="491" spans="1:8" ns3:dyDescent="0.2">
      <c r="A491" t="s">
        <v>493</v>
      </c>
      <c r="B491" s="3">
        <v>1.7861000862812767E-7</v>
      </c>
      <c r="C491" s="3" t="s">
        <v>24</v>
      </c>
      <c r="D491" t="s">
        <v>7</v>
      </c>
      <c r="F491" t="s">
        <v>18</v>
      </c>
      <c r="G491" s="3"/>
      <c r="H491" t="s">
        <v>494</v>
      </c>
    </row>
    <row r="492" spans="1:8" ns3:dyDescent="0.2">
      <c r="A492" t="s">
        <v>169</v>
      </c>
      <c r="B492" s="3">
        <v>2.6122864538395168E-2</v>
      </c>
      <c r="C492" s="3" t="s">
        <v>104</v>
      </c>
      <c r="D492" t="s">
        <v>17</v>
      </c>
      <c r="F492" t="s">
        <v>18</v>
      </c>
      <c r="G492" s="3"/>
      <c r="H492" t="s">
        <v>187</v>
      </c>
    </row>
    <row r="493" spans="1:8" ns3:dyDescent="0.2">
      <c r="A493" t="s">
        <v>153</v>
      </c>
      <c r="B493" s="3">
        <v>2.8633218291630718E-5</v>
      </c>
      <c r="C493" s="3" t="s">
        <v>103</v>
      </c>
      <c r="D493" t="s">
        <v>7</v>
      </c>
      <c r="F493" t="s">
        <v>18</v>
      </c>
      <c r="G493" s="3"/>
      <c r="H493" t="s">
        <v>174</v>
      </c>
    </row>
    <row r="494" spans="1:8" ns3:dyDescent="0.2">
      <c r="A494" t="s">
        <v>154</v>
      </c>
      <c r="B494" s="3">
        <v>5.3189128559102669E-5</v>
      </c>
      <c r="C494" s="3" t="s">
        <v>103</v>
      </c>
      <c r="D494" t="s">
        <v>7</v>
      </c>
      <c r="F494" t="s">
        <v>18</v>
      </c>
      <c r="G494" s="3"/>
      <c r="H494" t="s">
        <v>175</v>
      </c>
    </row>
    <row r="495" spans="1:8" ns3:dyDescent="0.2">
      <c r="A495" t="s">
        <v>155</v>
      </c>
      <c r="B495" s="3">
        <v>4.6174374460742023E-6</v>
      </c>
      <c r="C495" s="3" t="s">
        <v>24</v>
      </c>
      <c r="D495" t="s">
        <v>7</v>
      </c>
      <c r="F495" t="s">
        <v>18</v>
      </c>
      <c r="G495" s="3"/>
      <c r="H495" t="s">
        <v>474</v>
      </c>
    </row>
    <row r="496" spans="1:8" ns3:dyDescent="0.2">
      <c r="A496" t="s">
        <v>156</v>
      </c>
      <c r="B496" s="3">
        <v>-4.2694995685936147E-4</v>
      </c>
      <c r="C496" s="3" t="s">
        <v>24</v>
      </c>
      <c r="D496" t="s">
        <v>7</v>
      </c>
      <c r="F496" t="s">
        <v>18</v>
      </c>
      <c r="G496" s="3"/>
      <c r="H496" t="s">
        <v>176</v>
      </c>
    </row>
    <row r="497" spans="1:8" ns3:dyDescent="0.2">
      <c r="A497" t="s">
        <v>157</v>
      </c>
      <c r="B497" s="3">
        <v>2.3727351164797239E-11</v>
      </c>
      <c r="C497" s="3" t="s">
        <v>104</v>
      </c>
      <c r="D497" t="s">
        <v>6</v>
      </c>
      <c r="F497" t="s">
        <v>18</v>
      </c>
      <c r="G497" s="3"/>
      <c r="H497" t="s">
        <v>177</v>
      </c>
    </row>
    <row r="498" spans="1:8" ns3:dyDescent="0.2">
      <c r="A498" t="s">
        <v>158</v>
      </c>
      <c r="B498" s="3">
        <v>1.5888783433994822E-3</v>
      </c>
      <c r="C498" s="3" t="s">
        <v>104</v>
      </c>
      <c r="D498" t="s">
        <v>7</v>
      </c>
      <c r="F498" t="s">
        <v>18</v>
      </c>
      <c r="G498" s="3"/>
      <c r="H498" t="s">
        <v>158</v>
      </c>
    </row>
    <row r="499" spans="1:8" ns3:dyDescent="0.2">
      <c r="A499" t="s">
        <v>159</v>
      </c>
      <c r="B499" s="3">
        <v>2.5218377911993099E-3</v>
      </c>
      <c r="C499" s="3" t="s">
        <v>104</v>
      </c>
      <c r="D499" t="s">
        <v>7</v>
      </c>
      <c r="F499" t="s">
        <v>18</v>
      </c>
      <c r="G499" s="3"/>
      <c r="H499" t="s">
        <v>159</v>
      </c>
    </row>
    <row r="500" spans="1:8" ns3:dyDescent="0.2">
      <c r="A500" t="s">
        <v>160</v>
      </c>
      <c r="B500" s="3">
        <v>8.87830025884383E-4</v>
      </c>
      <c r="C500" s="3" t="s">
        <v>103</v>
      </c>
      <c r="D500" t="s">
        <v>7</v>
      </c>
      <c r="F500" t="s">
        <v>18</v>
      </c>
      <c r="G500" s="3"/>
      <c r="H500" t="s">
        <v>178</v>
      </c>
    </row>
    <row r="501" spans="1:8" ns3:dyDescent="0.2">
      <c r="A501" t="s">
        <v>161</v>
      </c>
      <c r="B501" s="3">
        <v>3.3101553062985331E-12</v>
      </c>
      <c r="C501" s="3" t="s">
        <v>104</v>
      </c>
      <c r="D501" t="s">
        <v>6</v>
      </c>
      <c r="F501" t="s">
        <v>18</v>
      </c>
      <c r="G501" s="3"/>
      <c r="H501" t="s">
        <v>179</v>
      </c>
    </row>
    <row r="502" spans="1:8" ns3:dyDescent="0.2">
      <c r="A502" t="s">
        <v>162</v>
      </c>
      <c r="B502" s="3">
        <v>4.4832355478861097E-12</v>
      </c>
      <c r="C502" s="3" t="s">
        <v>104</v>
      </c>
      <c r="D502" t="s">
        <v>6</v>
      </c>
      <c r="F502" t="s">
        <v>18</v>
      </c>
      <c r="G502" s="3"/>
      <c r="H502" t="s">
        <v>180</v>
      </c>
    </row>
    <row r="503" spans="1:8" ns3:dyDescent="0.2">
      <c r="A503" t="s">
        <v>163</v>
      </c>
      <c r="B503" s="3">
        <v>2.366945642795513E-4</v>
      </c>
      <c r="C503" s="3" t="s">
        <v>267</v>
      </c>
      <c r="D503" t="s">
        <v>7</v>
      </c>
      <c r="F503" t="s">
        <v>18</v>
      </c>
      <c r="G503" s="3"/>
      <c r="H503" t="s">
        <v>181</v>
      </c>
    </row>
    <row r="504" spans="1:8" ns3:dyDescent="0.2">
      <c r="A504" t="s">
        <v>164</v>
      </c>
      <c r="B504" s="3">
        <v>-4.0119154443485761E-7</v>
      </c>
      <c r="C504" s="3" t="s">
        <v>24</v>
      </c>
      <c r="D504" t="s">
        <v>7</v>
      </c>
      <c r="F504" t="s">
        <v>18</v>
      </c>
      <c r="G504" s="3"/>
      <c r="H504" t="s">
        <v>182</v>
      </c>
    </row>
    <row r="505" spans="1:8" ns3:dyDescent="0.2">
      <c r="A505" t="s">
        <v>165</v>
      </c>
      <c r="B505" s="3">
        <v>8.7520707506471082E-6</v>
      </c>
      <c r="C505" s="3" t="s">
        <v>103</v>
      </c>
      <c r="D505" t="s">
        <v>7</v>
      </c>
      <c r="F505" t="s">
        <v>18</v>
      </c>
      <c r="G505" s="3"/>
      <c r="H505" t="s">
        <v>183</v>
      </c>
    </row>
    <row r="506" spans="1:8" ns3:dyDescent="0.2">
      <c r="A506" t="s">
        <v>81</v>
      </c>
      <c r="B506" s="3">
        <v>1.4955823986194996E-4</v>
      </c>
      <c r="C506" s="3" t="s">
        <v>103</v>
      </c>
      <c r="D506" t="s">
        <v>28</v>
      </c>
      <c r="F506" t="s">
        <v>18</v>
      </c>
      <c r="G506" s="3"/>
      <c r="H506" t="s">
        <v>82</v>
      </c>
    </row>
    <row r="507" spans="1:8" ns3:dyDescent="0.2">
      <c r="A507" t="s">
        <v>166</v>
      </c>
      <c r="B507" s="3">
        <v>-7.9693528904227777E-4</v>
      </c>
      <c r="C507" s="3" t="s">
        <v>104</v>
      </c>
      <c r="D507" t="s">
        <v>7</v>
      </c>
      <c r="F507" t="s">
        <v>18</v>
      </c>
      <c r="G507" s="3"/>
      <c r="H507" t="s">
        <v>184</v>
      </c>
    </row>
    <row r="508" spans="1:8" ns3:dyDescent="0.2">
      <c r="A508" t="s">
        <v>167</v>
      </c>
      <c r="B508" s="3">
        <v>0.34889646246764455</v>
      </c>
      <c r="C508" s="3" t="s">
        <v>104</v>
      </c>
      <c r="D508" t="s">
        <v>7</v>
      </c>
      <c r="F508" t="s">
        <v>18</v>
      </c>
      <c r="G508" s="3"/>
      <c r="H508" t="s">
        <v>185</v>
      </c>
    </row>
    <row r="509" spans="1:8" ns3:dyDescent="0.2">
      <c r="A509" t="s">
        <v>188</v>
      </c>
      <c r="B509" s="3">
        <v>1.4441415012942191E-11</v>
      </c>
      <c r="C509" s="3"/>
      <c r="D509" t="s">
        <v>7</v>
      </c>
      <c r="E509" t="s">
        <v>244</v>
      </c>
      <c r="F509" t="s">
        <v>27</v>
      </c>
      <c r="G509" s="3"/>
    </row>
    <row r="510" spans="1:8" ns3:dyDescent="0.2">
      <c r="A510" t="s">
        <v>189</v>
      </c>
      <c r="B510" s="3">
        <v>1.6424072476272649E-7</v>
      </c>
      <c r="C510" s="3"/>
      <c r="D510" t="s">
        <v>7</v>
      </c>
      <c r="E510" t="s">
        <v>244</v>
      </c>
      <c r="F510" t="s">
        <v>27</v>
      </c>
      <c r="G510" s="3"/>
    </row>
    <row r="511" spans="1:8" ns3:dyDescent="0.2">
      <c r="A511" t="s">
        <v>190</v>
      </c>
      <c r="B511" s="3">
        <v>3.0482053494391721E-12</v>
      </c>
      <c r="C511" s="3"/>
      <c r="D511" t="s">
        <v>7</v>
      </c>
      <c r="E511" t="s">
        <v>244</v>
      </c>
      <c r="F511" t="s">
        <v>27</v>
      </c>
      <c r="G511" s="3"/>
    </row>
    <row r="512" spans="1:8" ns3:dyDescent="0.2">
      <c r="A512" t="s">
        <v>191</v>
      </c>
      <c r="B512" s="3">
        <v>1.3181018119068162E-9</v>
      </c>
      <c r="C512" s="3"/>
      <c r="D512" t="s">
        <v>7</v>
      </c>
      <c r="E512" t="s">
        <v>244</v>
      </c>
      <c r="F512" t="s">
        <v>27</v>
      </c>
      <c r="G512" s="3"/>
    </row>
    <row r="513" spans="1:7" ns3:dyDescent="0.2">
      <c r="A513" t="s">
        <v>192</v>
      </c>
      <c r="B513" s="3">
        <v>6.4829767040552199E-8</v>
      </c>
      <c r="C513" s="3"/>
      <c r="D513" t="s">
        <v>7</v>
      </c>
      <c r="E513" t="s">
        <v>244</v>
      </c>
      <c r="F513" t="s">
        <v>27</v>
      </c>
      <c r="G513" s="3"/>
    </row>
    <row r="514" spans="1:7" ns3:dyDescent="0.2">
      <c r="A514" t="s">
        <v>193</v>
      </c>
      <c r="B514" s="3">
        <v>1.4252545297670406E-9</v>
      </c>
      <c r="C514" s="3"/>
      <c r="D514" t="s">
        <v>7</v>
      </c>
      <c r="E514" t="s">
        <v>244</v>
      </c>
      <c r="F514" t="s">
        <v>27</v>
      </c>
      <c r="G514" s="3"/>
    </row>
    <row r="515" spans="1:7" ns3:dyDescent="0.2">
      <c r="A515" t="s">
        <v>194</v>
      </c>
      <c r="B515" s="3">
        <v>2.9802502157031924E-12</v>
      </c>
      <c r="C515" s="3"/>
      <c r="D515" t="s">
        <v>7</v>
      </c>
      <c r="E515" t="s">
        <v>244</v>
      </c>
      <c r="F515" t="s">
        <v>27</v>
      </c>
      <c r="G515" s="3"/>
    </row>
    <row r="516" spans="1:7" ns3:dyDescent="0.2">
      <c r="A516" t="s">
        <v>477</v>
      </c>
      <c r="B516" s="3">
        <v>7.5303019844693692E-12</v>
      </c>
      <c r="C516" s="3"/>
      <c r="D516" t="s">
        <v>7</v>
      </c>
      <c r="E516" t="s">
        <v>244</v>
      </c>
      <c r="F516" t="s">
        <v>27</v>
      </c>
      <c r="G516" s="3"/>
    </row>
    <row r="517" spans="1:7" ns3:dyDescent="0.2">
      <c r="A517" t="s">
        <v>195</v>
      </c>
      <c r="B517" s="3">
        <v>3.1717773943054359E-14</v>
      </c>
      <c r="C517" s="3"/>
      <c r="D517" t="s">
        <v>7</v>
      </c>
      <c r="E517" t="s">
        <v>244</v>
      </c>
      <c r="F517" t="s">
        <v>27</v>
      </c>
      <c r="G517" s="3"/>
    </row>
    <row r="518" spans="1:7" ns3:dyDescent="0.2">
      <c r="A518" t="s">
        <v>196</v>
      </c>
      <c r="B518" s="3">
        <v>3.0966091458153581E-9</v>
      </c>
      <c r="C518" s="3"/>
      <c r="D518" t="s">
        <v>7</v>
      </c>
      <c r="E518" t="s">
        <v>244</v>
      </c>
      <c r="F518" t="s">
        <v>27</v>
      </c>
      <c r="G518" s="3"/>
    </row>
    <row r="519" spans="1:7" ns3:dyDescent="0.2">
      <c r="A519" t="s">
        <v>197</v>
      </c>
      <c r="B519" s="3">
        <v>3.6662553925798101E-9</v>
      </c>
      <c r="C519" s="3"/>
      <c r="D519" t="s">
        <v>7</v>
      </c>
      <c r="E519" t="s">
        <v>244</v>
      </c>
      <c r="F519" t="s">
        <v>27</v>
      </c>
      <c r="G519" s="3"/>
    </row>
    <row r="520" spans="1:7" ns3:dyDescent="0.2">
      <c r="A520" t="s">
        <v>198</v>
      </c>
      <c r="B520" s="3">
        <v>2.4228472821397758E-6</v>
      </c>
      <c r="C520" s="3"/>
      <c r="D520" t="s">
        <v>7</v>
      </c>
      <c r="E520" t="s">
        <v>244</v>
      </c>
      <c r="F520" t="s">
        <v>27</v>
      </c>
      <c r="G520" s="3"/>
    </row>
    <row r="521" spans="1:7" ns3:dyDescent="0.2">
      <c r="A521" t="s">
        <v>199</v>
      </c>
      <c r="B521" s="3">
        <v>3.1602933563416735E-9</v>
      </c>
      <c r="C521" s="3"/>
      <c r="D521" t="s">
        <v>7</v>
      </c>
      <c r="E521" t="s">
        <v>244</v>
      </c>
      <c r="F521" t="s">
        <v>27</v>
      </c>
      <c r="G521" s="3"/>
    </row>
    <row r="522" spans="1:7" ns3:dyDescent="0.2">
      <c r="A522" t="s">
        <v>200</v>
      </c>
      <c r="B522" s="3">
        <v>5.0880931837791203E-9</v>
      </c>
      <c r="C522" s="3"/>
      <c r="D522" t="s">
        <v>7</v>
      </c>
      <c r="E522" t="s">
        <v>244</v>
      </c>
      <c r="F522" t="s">
        <v>27</v>
      </c>
      <c r="G522" s="3"/>
    </row>
    <row r="523" spans="1:7" ns3:dyDescent="0.2">
      <c r="A523" t="s">
        <v>201</v>
      </c>
      <c r="B523" s="3">
        <v>2.5766005176876615E-9</v>
      </c>
      <c r="C523" s="3"/>
      <c r="D523" t="s">
        <v>7</v>
      </c>
      <c r="E523" t="s">
        <v>244</v>
      </c>
      <c r="F523" t="s">
        <v>27</v>
      </c>
      <c r="G523" s="3"/>
    </row>
    <row r="524" spans="1:7" ns3:dyDescent="0.2">
      <c r="A524" t="s">
        <v>202</v>
      </c>
      <c r="B524" s="3">
        <v>1.8588006902502157E-6</v>
      </c>
      <c r="C524" s="3"/>
      <c r="D524" t="s">
        <v>7</v>
      </c>
      <c r="E524" t="s">
        <v>244</v>
      </c>
      <c r="F524" t="s">
        <v>27</v>
      </c>
      <c r="G524" s="3"/>
    </row>
    <row r="525" spans="1:7" ns3:dyDescent="0.2">
      <c r="A525" t="s">
        <v>203</v>
      </c>
      <c r="B525" s="3">
        <v>8.651751509922347E-6</v>
      </c>
      <c r="C525" s="3"/>
      <c r="D525" t="s">
        <v>7</v>
      </c>
      <c r="E525" t="s">
        <v>244</v>
      </c>
      <c r="F525" t="s">
        <v>27</v>
      </c>
      <c r="G525" s="3"/>
    </row>
    <row r="526" spans="1:7" ns3:dyDescent="0.2">
      <c r="A526" t="s">
        <v>204</v>
      </c>
      <c r="B526" s="3">
        <v>2.8504141501294218E-15</v>
      </c>
      <c r="C526" s="3"/>
      <c r="D526" t="s">
        <v>7</v>
      </c>
      <c r="E526" t="s">
        <v>244</v>
      </c>
      <c r="F526" t="s">
        <v>27</v>
      </c>
      <c r="G526" s="3"/>
    </row>
    <row r="527" spans="1:7" ns3:dyDescent="0.2">
      <c r="A527" t="s">
        <v>205</v>
      </c>
      <c r="B527" s="3">
        <v>2.3512855910267469</v>
      </c>
      <c r="C527" s="3"/>
      <c r="D527" t="s">
        <v>17</v>
      </c>
      <c r="E527" t="s">
        <v>244</v>
      </c>
      <c r="F527" t="s">
        <v>27</v>
      </c>
      <c r="G527" s="3"/>
    </row>
    <row r="528" spans="1:7" ns3:dyDescent="0.2">
      <c r="A528" t="s">
        <v>206</v>
      </c>
      <c r="B528" s="3">
        <v>9.8193270060396891E-7</v>
      </c>
      <c r="C528" s="3"/>
      <c r="D528" t="s">
        <v>7</v>
      </c>
      <c r="E528" t="s">
        <v>244</v>
      </c>
      <c r="F528" t="s">
        <v>27</v>
      </c>
      <c r="G528" s="3"/>
    </row>
    <row r="529" spans="1:7" ns3:dyDescent="0.2">
      <c r="A529" t="s">
        <v>207</v>
      </c>
      <c r="B529" s="3">
        <v>8.7832959447799816E-9</v>
      </c>
      <c r="C529" s="3"/>
      <c r="D529" t="s">
        <v>7</v>
      </c>
      <c r="E529" t="s">
        <v>244</v>
      </c>
      <c r="F529" t="s">
        <v>27</v>
      </c>
      <c r="G529" s="3"/>
    </row>
    <row r="530" spans="1:7" ns3:dyDescent="0.2">
      <c r="A530" t="s">
        <v>208</v>
      </c>
      <c r="B530" s="3">
        <v>5.9133304572907677E-10</v>
      </c>
      <c r="C530" s="3"/>
      <c r="D530" t="s">
        <v>7</v>
      </c>
      <c r="E530" t="s">
        <v>244</v>
      </c>
      <c r="F530" t="s">
        <v>27</v>
      </c>
      <c r="G530" s="3"/>
    </row>
    <row r="531" spans="1:7" ns3:dyDescent="0.2">
      <c r="A531" t="s">
        <v>209</v>
      </c>
      <c r="B531" s="3">
        <v>3.4076272648835204E-9</v>
      </c>
      <c r="C531" s="3"/>
      <c r="D531" t="s">
        <v>7</v>
      </c>
      <c r="E531" t="s">
        <v>244</v>
      </c>
      <c r="F531" t="s">
        <v>27</v>
      </c>
      <c r="G531" s="3"/>
    </row>
    <row r="532" spans="1:7" ns3:dyDescent="0.2">
      <c r="A532" t="s">
        <v>210</v>
      </c>
      <c r="B532" s="3">
        <v>1.351699741156169E-9</v>
      </c>
      <c r="C532" s="3"/>
      <c r="D532" t="s">
        <v>7</v>
      </c>
      <c r="E532" t="s">
        <v>244</v>
      </c>
      <c r="F532" t="s">
        <v>27</v>
      </c>
      <c r="G532" s="3"/>
    </row>
    <row r="533" spans="1:7" ns3:dyDescent="0.2">
      <c r="A533" t="s">
        <v>211</v>
      </c>
      <c r="B533" s="3">
        <v>2.1322346850733389E-9</v>
      </c>
      <c r="C533" s="3"/>
      <c r="D533" t="s">
        <v>7</v>
      </c>
      <c r="E533" t="s">
        <v>244</v>
      </c>
      <c r="F533" t="s">
        <v>27</v>
      </c>
      <c r="G533" s="3"/>
    </row>
    <row r="534" spans="1:7" ns3:dyDescent="0.2">
      <c r="A534" t="s">
        <v>212</v>
      </c>
      <c r="B534" s="3">
        <v>2.1379292493528905E-8</v>
      </c>
      <c r="C534" s="3"/>
      <c r="D534" t="s">
        <v>7</v>
      </c>
      <c r="E534" t="s">
        <v>244</v>
      </c>
      <c r="F534" t="s">
        <v>27</v>
      </c>
      <c r="G534" s="3"/>
    </row>
    <row r="535" spans="1:7" ns3:dyDescent="0.2">
      <c r="A535" t="s">
        <v>213</v>
      </c>
      <c r="B535" s="3">
        <v>6.4864883520276109E-8</v>
      </c>
      <c r="C535" s="3"/>
      <c r="D535" t="s">
        <v>7</v>
      </c>
      <c r="E535" t="s">
        <v>244</v>
      </c>
      <c r="F535" t="s">
        <v>27</v>
      </c>
      <c r="G535" s="3"/>
    </row>
    <row r="536" spans="1:7" ns3:dyDescent="0.2">
      <c r="A536" t="s">
        <v>214</v>
      </c>
      <c r="B536" s="3">
        <v>2.2917773943054361E-9</v>
      </c>
      <c r="C536" s="3"/>
      <c r="D536" t="s">
        <v>7</v>
      </c>
      <c r="E536" t="s">
        <v>244</v>
      </c>
      <c r="F536" t="s">
        <v>27</v>
      </c>
      <c r="G536" s="3"/>
    </row>
    <row r="537" spans="1:7" ns3:dyDescent="0.2">
      <c r="A537" t="s">
        <v>215</v>
      </c>
      <c r="B537" s="3">
        <v>5.2010353753235545E-5</v>
      </c>
      <c r="C537" s="3"/>
      <c r="D537" t="s">
        <v>7</v>
      </c>
      <c r="E537" t="s">
        <v>244</v>
      </c>
      <c r="F537" t="s">
        <v>27</v>
      </c>
      <c r="G537" s="3"/>
    </row>
    <row r="538" spans="1:7" ns3:dyDescent="0.2">
      <c r="A538" t="s">
        <v>216</v>
      </c>
      <c r="B538" s="3">
        <v>1.701725625539258E-7</v>
      </c>
      <c r="C538" s="3"/>
      <c r="D538" t="s">
        <v>7</v>
      </c>
      <c r="E538" t="s">
        <v>244</v>
      </c>
      <c r="F538" t="s">
        <v>27</v>
      </c>
      <c r="G538" s="3"/>
    </row>
    <row r="539" spans="1:7" ns3:dyDescent="0.2">
      <c r="A539" t="s">
        <v>217</v>
      </c>
      <c r="B539" s="3">
        <v>8.5511475409836056E-10</v>
      </c>
      <c r="C539" s="3"/>
      <c r="D539" t="s">
        <v>7</v>
      </c>
      <c r="E539" t="s">
        <v>244</v>
      </c>
      <c r="F539" t="s">
        <v>27</v>
      </c>
      <c r="G539" s="3"/>
    </row>
    <row r="540" spans="1:7" ns3:dyDescent="0.2">
      <c r="A540" t="s">
        <v>218</v>
      </c>
      <c r="B540" s="3">
        <v>6.2069801553062976E-13</v>
      </c>
      <c r="C540" s="3"/>
      <c r="D540" t="s">
        <v>7</v>
      </c>
      <c r="E540" t="s">
        <v>244</v>
      </c>
      <c r="F540" t="s">
        <v>27</v>
      </c>
      <c r="G540" s="3"/>
    </row>
    <row r="541" spans="1:7" ns3:dyDescent="0.2">
      <c r="A541" t="s">
        <v>219</v>
      </c>
      <c r="B541" s="3">
        <v>2.2186971527178604E-9</v>
      </c>
      <c r="C541" s="3"/>
      <c r="D541" t="s">
        <v>7</v>
      </c>
      <c r="E541" t="s">
        <v>244</v>
      </c>
      <c r="F541" t="s">
        <v>27</v>
      </c>
      <c r="G541" s="3"/>
    </row>
    <row r="542" spans="1:7" ns3:dyDescent="0.2">
      <c r="A542" t="s">
        <v>220</v>
      </c>
      <c r="B542" s="3">
        <v>1.0655478861087144E-6</v>
      </c>
      <c r="C542" s="3"/>
      <c r="D542" t="s">
        <v>7</v>
      </c>
      <c r="E542" t="s">
        <v>244</v>
      </c>
      <c r="F542" t="s">
        <v>27</v>
      </c>
      <c r="G542" s="3"/>
    </row>
    <row r="543" spans="1:7" ns3:dyDescent="0.2">
      <c r="A543" t="s">
        <v>221</v>
      </c>
      <c r="B543" s="3">
        <v>7.8378084555651419E-10</v>
      </c>
      <c r="C543" s="3"/>
      <c r="D543" t="s">
        <v>7</v>
      </c>
      <c r="E543" t="s">
        <v>244</v>
      </c>
      <c r="F543" t="s">
        <v>27</v>
      </c>
      <c r="G543" s="3"/>
    </row>
    <row r="544" spans="1:7" ns3:dyDescent="0.2">
      <c r="A544" t="s">
        <v>222</v>
      </c>
      <c r="B544" s="3">
        <v>1.4198446937014667E-6</v>
      </c>
      <c r="C544" s="3"/>
      <c r="D544" t="s">
        <v>7</v>
      </c>
      <c r="E544" t="s">
        <v>244</v>
      </c>
      <c r="F544" t="s">
        <v>27</v>
      </c>
      <c r="G544" s="3"/>
    </row>
    <row r="545" spans="1:7" ns3:dyDescent="0.2">
      <c r="A545" t="s">
        <v>223</v>
      </c>
      <c r="B545" s="3">
        <v>3.5424935289042275E-11</v>
      </c>
      <c r="C545" s="3"/>
      <c r="D545" t="s">
        <v>7</v>
      </c>
      <c r="E545" t="s">
        <v>244</v>
      </c>
      <c r="F545" t="s">
        <v>27</v>
      </c>
      <c r="G545" s="3"/>
    </row>
    <row r="546" spans="1:7" ns3:dyDescent="0.2">
      <c r="A546" t="s">
        <v>224</v>
      </c>
      <c r="B546" s="3">
        <v>1.5159879206212254E-12</v>
      </c>
      <c r="C546" s="3"/>
      <c r="D546" t="s">
        <v>7</v>
      </c>
      <c r="E546" t="s">
        <v>244</v>
      </c>
      <c r="F546" t="s">
        <v>27</v>
      </c>
      <c r="G546" s="3"/>
    </row>
    <row r="547" spans="1:7" ns3:dyDescent="0.2">
      <c r="A547" t="s">
        <v>225</v>
      </c>
      <c r="B547" s="3">
        <v>7.3476013805004307E-8</v>
      </c>
      <c r="C547" s="3"/>
      <c r="D547" t="s">
        <v>7</v>
      </c>
      <c r="E547" t="s">
        <v>244</v>
      </c>
      <c r="F547" t="s">
        <v>27</v>
      </c>
      <c r="G547" s="3"/>
    </row>
    <row r="548" spans="1:7" ns3:dyDescent="0.2">
      <c r="A548" t="s">
        <v>226</v>
      </c>
      <c r="B548" s="3">
        <v>2.8506039689387399E-9</v>
      </c>
      <c r="C548" s="3"/>
      <c r="D548" t="s">
        <v>7</v>
      </c>
      <c r="E548" t="s">
        <v>244</v>
      </c>
      <c r="F548" t="s">
        <v>27</v>
      </c>
      <c r="G548" s="3"/>
    </row>
    <row r="549" spans="1:7" ns3:dyDescent="0.2">
      <c r="A549" t="s">
        <v>227</v>
      </c>
      <c r="B549" s="3">
        <v>5.4123986194995673E-7</v>
      </c>
      <c r="C549" s="3"/>
      <c r="D549" t="s">
        <v>7</v>
      </c>
      <c r="E549" t="s">
        <v>244</v>
      </c>
      <c r="F549" t="s">
        <v>27</v>
      </c>
      <c r="G549" s="3"/>
    </row>
    <row r="550" spans="1:7" ns3:dyDescent="0.2">
      <c r="A550" t="s">
        <v>228</v>
      </c>
      <c r="B550" s="3">
        <v>3.2406749784296806E-4</v>
      </c>
      <c r="C550" s="3"/>
      <c r="D550" t="s">
        <v>37</v>
      </c>
      <c r="E550" t="s">
        <v>244</v>
      </c>
      <c r="F550" t="s">
        <v>27</v>
      </c>
      <c r="G550" s="3"/>
    </row>
    <row r="551" spans="1:7" ns3:dyDescent="0.2">
      <c r="A551" t="s">
        <v>229</v>
      </c>
      <c r="B551" s="3">
        <v>3.3186971527178594E-8</v>
      </c>
      <c r="C551" s="3"/>
      <c r="D551" t="s">
        <v>7</v>
      </c>
      <c r="E551" t="s">
        <v>244</v>
      </c>
      <c r="F551" t="s">
        <v>27</v>
      </c>
      <c r="G551" s="3"/>
    </row>
    <row r="552" spans="1:7" ns3:dyDescent="0.2">
      <c r="A552" t="s">
        <v>188</v>
      </c>
      <c r="B552" s="3">
        <v>1.6508541846419328E-5</v>
      </c>
      <c r="C552" s="3"/>
      <c r="D552" t="s">
        <v>7</v>
      </c>
      <c r="E552" t="s">
        <v>245</v>
      </c>
      <c r="F552" t="s">
        <v>27</v>
      </c>
      <c r="G552" s="3"/>
    </row>
    <row r="553" spans="1:7" ns3:dyDescent="0.2">
      <c r="A553" t="s">
        <v>188</v>
      </c>
      <c r="B553" s="3">
        <v>6.0481018119068157E-9</v>
      </c>
      <c r="C553" s="3"/>
      <c r="D553" t="s">
        <v>7</v>
      </c>
      <c r="E553" t="s">
        <v>246</v>
      </c>
      <c r="F553" t="s">
        <v>27</v>
      </c>
      <c r="G553" s="3"/>
    </row>
    <row r="554" spans="1:7" ns3:dyDescent="0.2">
      <c r="A554" t="s">
        <v>190</v>
      </c>
      <c r="B554" s="3">
        <v>1.5440811044003451E-6</v>
      </c>
      <c r="C554" s="3"/>
      <c r="D554" t="s">
        <v>7</v>
      </c>
      <c r="E554" t="s">
        <v>245</v>
      </c>
      <c r="F554" t="s">
        <v>27</v>
      </c>
      <c r="G554" s="3"/>
    </row>
    <row r="555" spans="1:7" ns3:dyDescent="0.2">
      <c r="A555" t="s">
        <v>190</v>
      </c>
      <c r="B555" s="3">
        <v>7.478576358930113E-7</v>
      </c>
      <c r="C555" s="3"/>
      <c r="D555" t="s">
        <v>7</v>
      </c>
      <c r="E555" t="s">
        <v>246</v>
      </c>
      <c r="F555" t="s">
        <v>27</v>
      </c>
      <c r="G555" s="3"/>
    </row>
    <row r="556" spans="1:7" ns3:dyDescent="0.2">
      <c r="A556" t="s">
        <v>191</v>
      </c>
      <c r="B556" s="3">
        <v>1.0258757549611736E-7</v>
      </c>
      <c r="C556" s="3"/>
      <c r="D556" t="s">
        <v>7</v>
      </c>
      <c r="E556" t="s">
        <v>245</v>
      </c>
      <c r="F556" t="s">
        <v>27</v>
      </c>
      <c r="G556" s="3"/>
    </row>
    <row r="557" spans="1:7" ns3:dyDescent="0.2">
      <c r="A557" t="s">
        <v>191</v>
      </c>
      <c r="B557" s="3">
        <v>6.5795944779982743E-8</v>
      </c>
      <c r="C557" s="3"/>
      <c r="D557" t="s">
        <v>7</v>
      </c>
      <c r="E557" t="s">
        <v>246</v>
      </c>
      <c r="F557" t="s">
        <v>27</v>
      </c>
      <c r="G557" s="3"/>
    </row>
    <row r="558" spans="1:7" ns3:dyDescent="0.2">
      <c r="A558" t="s">
        <v>230</v>
      </c>
      <c r="B558" s="3">
        <v>1.4576186367558239E-4</v>
      </c>
      <c r="C558" s="3"/>
      <c r="D558" t="s">
        <v>7</v>
      </c>
      <c r="E558" t="s">
        <v>245</v>
      </c>
      <c r="F558" t="s">
        <v>27</v>
      </c>
      <c r="G558" s="3"/>
    </row>
    <row r="559" spans="1:7" ns3:dyDescent="0.2">
      <c r="A559" t="s">
        <v>230</v>
      </c>
      <c r="B559" s="3">
        <v>4.4736496980155305E-5</v>
      </c>
      <c r="C559" s="3"/>
      <c r="D559" t="s">
        <v>7</v>
      </c>
      <c r="E559" t="s">
        <v>246</v>
      </c>
      <c r="F559" t="s">
        <v>27</v>
      </c>
      <c r="G559" s="3"/>
    </row>
    <row r="560" spans="1:7" ns3:dyDescent="0.2">
      <c r="A560" t="s">
        <v>192</v>
      </c>
      <c r="B560" s="3">
        <v>1.2066781708369284E-5</v>
      </c>
      <c r="C560" s="3"/>
      <c r="D560" t="s">
        <v>7</v>
      </c>
      <c r="E560" t="s">
        <v>245</v>
      </c>
      <c r="F560" t="s">
        <v>27</v>
      </c>
      <c r="G560" s="3"/>
    </row>
    <row r="561" spans="1:7" ns3:dyDescent="0.2">
      <c r="A561" t="s">
        <v>192</v>
      </c>
      <c r="B561" s="3">
        <v>7.0081104400345129E-9</v>
      </c>
      <c r="C561" s="3"/>
      <c r="D561" t="s">
        <v>7</v>
      </c>
      <c r="E561" t="s">
        <v>246</v>
      </c>
      <c r="F561" t="s">
        <v>27</v>
      </c>
      <c r="G561" s="3"/>
    </row>
    <row r="562" spans="1:7" ns3:dyDescent="0.2">
      <c r="A562" t="s">
        <v>231</v>
      </c>
      <c r="B562" s="3">
        <v>4.1557031924072473E-8</v>
      </c>
      <c r="C562" s="3"/>
      <c r="D562" t="s">
        <v>7</v>
      </c>
      <c r="E562" t="s">
        <v>245</v>
      </c>
      <c r="F562" t="s">
        <v>27</v>
      </c>
      <c r="G562" s="3"/>
    </row>
    <row r="563" spans="1:7" ns3:dyDescent="0.2">
      <c r="A563" t="s">
        <v>231</v>
      </c>
      <c r="B563" s="3">
        <v>2.7557894736842107E-11</v>
      </c>
      <c r="C563" s="3"/>
      <c r="D563" t="s">
        <v>7</v>
      </c>
      <c r="E563" t="s">
        <v>246</v>
      </c>
      <c r="F563" t="s">
        <v>27</v>
      </c>
      <c r="G563" s="3"/>
    </row>
    <row r="564" spans="1:7" ns3:dyDescent="0.2">
      <c r="A564" t="s">
        <v>196</v>
      </c>
      <c r="B564" s="3">
        <v>3.2137273511647973E-7</v>
      </c>
      <c r="C564" s="3"/>
      <c r="D564" t="s">
        <v>7</v>
      </c>
      <c r="E564" t="s">
        <v>245</v>
      </c>
      <c r="F564" t="s">
        <v>27</v>
      </c>
      <c r="G564" s="3"/>
    </row>
    <row r="565" spans="1:7" ns3:dyDescent="0.2">
      <c r="A565" t="s">
        <v>196</v>
      </c>
      <c r="B565" s="3">
        <v>5.7524590163934417E-6</v>
      </c>
      <c r="C565" s="3"/>
      <c r="D565" t="s">
        <v>7</v>
      </c>
      <c r="E565" t="s">
        <v>246</v>
      </c>
      <c r="F565" t="s">
        <v>27</v>
      </c>
      <c r="G565" s="3"/>
    </row>
    <row r="566" spans="1:7" ns3:dyDescent="0.2">
      <c r="A566" t="s">
        <v>232</v>
      </c>
      <c r="B566" s="3">
        <v>4.4561863675582396E-4</v>
      </c>
      <c r="C566" s="3"/>
      <c r="D566" t="s">
        <v>7</v>
      </c>
      <c r="E566" t="s">
        <v>245</v>
      </c>
      <c r="F566" t="s">
        <v>27</v>
      </c>
      <c r="G566" s="3"/>
    </row>
    <row r="567" spans="1:7" ns3:dyDescent="0.2">
      <c r="A567" t="s">
        <v>232</v>
      </c>
      <c r="B567" s="3">
        <v>4.5715012942191547E-5</v>
      </c>
      <c r="C567" s="3"/>
      <c r="D567" t="s">
        <v>7</v>
      </c>
      <c r="E567" t="s">
        <v>246</v>
      </c>
      <c r="F567" t="s">
        <v>27</v>
      </c>
      <c r="G567" s="3"/>
    </row>
    <row r="568" spans="1:7" ns3:dyDescent="0.2">
      <c r="A568" t="s">
        <v>197</v>
      </c>
      <c r="B568" s="3">
        <v>1.1532441760138049E-6</v>
      </c>
      <c r="C568" s="3"/>
      <c r="D568" t="s">
        <v>7</v>
      </c>
      <c r="E568" t="s">
        <v>245</v>
      </c>
      <c r="F568" t="s">
        <v>27</v>
      </c>
      <c r="G568" s="3"/>
    </row>
    <row r="569" spans="1:7" ns3:dyDescent="0.2">
      <c r="A569" t="s">
        <v>197</v>
      </c>
      <c r="B569" s="3">
        <v>1.2784296807592752E-9</v>
      </c>
      <c r="C569" s="3"/>
      <c r="D569" t="s">
        <v>7</v>
      </c>
      <c r="E569" t="s">
        <v>246</v>
      </c>
      <c r="F569" t="s">
        <v>27</v>
      </c>
      <c r="G569" s="3"/>
    </row>
    <row r="570" spans="1:7" ns3:dyDescent="0.2">
      <c r="A570" t="s">
        <v>233</v>
      </c>
      <c r="B570" s="3">
        <v>1.3595772217428819E-5</v>
      </c>
      <c r="C570" s="3"/>
      <c r="D570" t="s">
        <v>7</v>
      </c>
      <c r="E570" t="s">
        <v>245</v>
      </c>
      <c r="F570" t="s">
        <v>27</v>
      </c>
      <c r="G570" s="3"/>
    </row>
    <row r="571" spans="1:7" ns3:dyDescent="0.2">
      <c r="A571" t="s">
        <v>233</v>
      </c>
      <c r="B571" s="3">
        <v>2.2696635030198449E-8</v>
      </c>
      <c r="C571" s="3"/>
      <c r="D571" t="s">
        <v>7</v>
      </c>
      <c r="E571" t="s">
        <v>246</v>
      </c>
      <c r="F571" t="s">
        <v>27</v>
      </c>
      <c r="G571" s="3"/>
    </row>
    <row r="572" spans="1:7" ns3:dyDescent="0.2">
      <c r="A572" t="s">
        <v>234</v>
      </c>
      <c r="B572" s="3">
        <v>2.1675409836065571E-4</v>
      </c>
      <c r="C572" s="3"/>
      <c r="D572" t="s">
        <v>7</v>
      </c>
      <c r="E572" t="s">
        <v>245</v>
      </c>
      <c r="F572" t="s">
        <v>27</v>
      </c>
      <c r="G572" s="3"/>
    </row>
    <row r="573" spans="1:7" ns3:dyDescent="0.2">
      <c r="A573" t="s">
        <v>234</v>
      </c>
      <c r="B573" s="3">
        <v>1.4616048317515099E-3</v>
      </c>
      <c r="C573" s="3"/>
      <c r="D573" t="s">
        <v>7</v>
      </c>
      <c r="E573" t="s">
        <v>246</v>
      </c>
      <c r="F573" t="s">
        <v>27</v>
      </c>
      <c r="G573" s="3"/>
    </row>
    <row r="574" spans="1:7" ns3:dyDescent="0.2">
      <c r="A574" t="s">
        <v>199</v>
      </c>
      <c r="B574" s="3">
        <v>4.6984900776531493E-10</v>
      </c>
      <c r="C574" s="3"/>
      <c r="D574" t="s">
        <v>7</v>
      </c>
      <c r="E574" t="s">
        <v>246</v>
      </c>
      <c r="F574" t="s">
        <v>27</v>
      </c>
      <c r="G574" s="3"/>
    </row>
    <row r="575" spans="1:7" ns3:dyDescent="0.2">
      <c r="A575" t="s">
        <v>235</v>
      </c>
      <c r="B575" s="3">
        <v>1.9134685073339086E-7</v>
      </c>
      <c r="C575" s="3"/>
      <c r="D575" t="s">
        <v>7</v>
      </c>
      <c r="E575" t="s">
        <v>245</v>
      </c>
      <c r="F575" t="s">
        <v>27</v>
      </c>
      <c r="G575" s="3"/>
    </row>
    <row r="576" spans="1:7" ns3:dyDescent="0.2">
      <c r="A576" t="s">
        <v>235</v>
      </c>
      <c r="B576" s="3">
        <v>5.5071182053494388E-8</v>
      </c>
      <c r="C576" s="3"/>
      <c r="D576" t="s">
        <v>7</v>
      </c>
      <c r="E576" t="s">
        <v>246</v>
      </c>
      <c r="F576" t="s">
        <v>27</v>
      </c>
      <c r="G576" s="3"/>
    </row>
    <row r="577" spans="1:7" ns3:dyDescent="0.2">
      <c r="A577" t="s">
        <v>200</v>
      </c>
      <c r="B577" s="3">
        <v>2.4474288179465054E-6</v>
      </c>
      <c r="C577" s="3"/>
      <c r="D577" t="s">
        <v>7</v>
      </c>
      <c r="E577" t="s">
        <v>245</v>
      </c>
      <c r="F577" t="s">
        <v>27</v>
      </c>
      <c r="G577" s="3"/>
    </row>
    <row r="578" spans="1:7" ns3:dyDescent="0.2">
      <c r="A578" t="s">
        <v>200</v>
      </c>
      <c r="B578" s="3">
        <v>4.6080414150129423E-10</v>
      </c>
      <c r="C578" s="3"/>
      <c r="D578" t="s">
        <v>7</v>
      </c>
      <c r="E578" t="s">
        <v>246</v>
      </c>
      <c r="F578" t="s">
        <v>27</v>
      </c>
      <c r="G578" s="3"/>
    </row>
    <row r="579" spans="1:7" ns3:dyDescent="0.2">
      <c r="A579" t="s">
        <v>201</v>
      </c>
      <c r="B579" s="3">
        <v>2.6503451251078513E-5</v>
      </c>
      <c r="C579" s="3"/>
      <c r="D579" t="s">
        <v>7</v>
      </c>
      <c r="E579" t="s">
        <v>245</v>
      </c>
      <c r="F579" t="s">
        <v>27</v>
      </c>
      <c r="G579" s="3"/>
    </row>
    <row r="580" spans="1:7" ns3:dyDescent="0.2">
      <c r="A580" t="s">
        <v>201</v>
      </c>
      <c r="B580" s="3">
        <v>2.4339516824849005E-9</v>
      </c>
      <c r="C580" s="3"/>
      <c r="D580" t="s">
        <v>7</v>
      </c>
      <c r="E580" t="s">
        <v>246</v>
      </c>
      <c r="F580" t="s">
        <v>27</v>
      </c>
      <c r="G580" s="3"/>
    </row>
    <row r="581" spans="1:7" ns3:dyDescent="0.2">
      <c r="A581" t="s">
        <v>236</v>
      </c>
      <c r="B581" s="3">
        <v>1.7633218291630715E-4</v>
      </c>
      <c r="C581" s="3"/>
      <c r="D581" t="s">
        <v>7</v>
      </c>
      <c r="E581" t="s">
        <v>245</v>
      </c>
      <c r="F581" t="s">
        <v>27</v>
      </c>
      <c r="G581" s="3"/>
    </row>
    <row r="582" spans="1:7" ns3:dyDescent="0.2">
      <c r="A582" t="s">
        <v>236</v>
      </c>
      <c r="B582" s="3">
        <v>1.9939516824849007E-5</v>
      </c>
      <c r="C582" s="3"/>
      <c r="D582" t="s">
        <v>7</v>
      </c>
      <c r="E582" t="s">
        <v>246</v>
      </c>
      <c r="F582" t="s">
        <v>27</v>
      </c>
      <c r="G582" s="3"/>
    </row>
    <row r="583" spans="1:7" ns3:dyDescent="0.2">
      <c r="A583" t="s">
        <v>237</v>
      </c>
      <c r="B583" s="3">
        <v>8.6856341673856773E-7</v>
      </c>
      <c r="C583" s="3"/>
      <c r="D583" t="s">
        <v>7</v>
      </c>
      <c r="E583" t="s">
        <v>245</v>
      </c>
      <c r="F583" t="s">
        <v>27</v>
      </c>
      <c r="G583" s="3"/>
    </row>
    <row r="584" spans="1:7" ns3:dyDescent="0.2">
      <c r="A584" t="s">
        <v>237</v>
      </c>
      <c r="B584" s="3">
        <v>3.7890681622088008E-7</v>
      </c>
      <c r="C584" s="3"/>
      <c r="D584" t="s">
        <v>7</v>
      </c>
      <c r="E584" t="s">
        <v>246</v>
      </c>
      <c r="F584" t="s">
        <v>27</v>
      </c>
      <c r="G584" s="3"/>
    </row>
    <row r="585" spans="1:7" ns3:dyDescent="0.2">
      <c r="A585" t="s">
        <v>205</v>
      </c>
      <c r="B585" s="3">
        <v>0.59677135461604824</v>
      </c>
      <c r="C585" s="3"/>
      <c r="D585" t="s">
        <v>17</v>
      </c>
      <c r="E585" t="s">
        <v>246</v>
      </c>
      <c r="F585" t="s">
        <v>27</v>
      </c>
      <c r="G585" s="3"/>
    </row>
    <row r="586" spans="1:7" ns3:dyDescent="0.2">
      <c r="A586" t="s">
        <v>208</v>
      </c>
      <c r="B586" s="3">
        <v>1.6887230371009492E-4</v>
      </c>
      <c r="C586" s="3"/>
      <c r="D586" t="s">
        <v>7</v>
      </c>
      <c r="E586" t="s">
        <v>245</v>
      </c>
      <c r="F586" t="s">
        <v>27</v>
      </c>
      <c r="G586" s="3"/>
    </row>
    <row r="587" spans="1:7" ns3:dyDescent="0.2">
      <c r="A587" t="s">
        <v>208</v>
      </c>
      <c r="B587" s="3">
        <v>6.3663330457290771E-9</v>
      </c>
      <c r="C587" s="3"/>
      <c r="D587" t="s">
        <v>7</v>
      </c>
      <c r="E587" t="s">
        <v>246</v>
      </c>
      <c r="F587" t="s">
        <v>27</v>
      </c>
      <c r="G587" s="3"/>
    </row>
    <row r="588" spans="1:7" ns3:dyDescent="0.2">
      <c r="A588" t="s">
        <v>209</v>
      </c>
      <c r="B588" s="3">
        <v>2.9122950819672128E-5</v>
      </c>
      <c r="C588" s="3"/>
      <c r="D588" t="s">
        <v>7</v>
      </c>
      <c r="E588" t="s">
        <v>245</v>
      </c>
      <c r="F588" t="s">
        <v>27</v>
      </c>
      <c r="G588" s="3"/>
    </row>
    <row r="589" spans="1:7" ns3:dyDescent="0.2">
      <c r="A589" t="s">
        <v>209</v>
      </c>
      <c r="B589" s="3">
        <v>2.8166264020707508E-9</v>
      </c>
      <c r="C589" s="3"/>
      <c r="D589" t="s">
        <v>7</v>
      </c>
      <c r="E589" t="s">
        <v>246</v>
      </c>
      <c r="F589" t="s">
        <v>27</v>
      </c>
      <c r="G589" s="3"/>
    </row>
    <row r="590" spans="1:7" ns3:dyDescent="0.2">
      <c r="A590" t="s">
        <v>210</v>
      </c>
      <c r="B590" s="3">
        <v>5.6117083692838646E-6</v>
      </c>
      <c r="C590" s="3"/>
      <c r="D590" t="s">
        <v>7</v>
      </c>
      <c r="E590" t="s">
        <v>245</v>
      </c>
      <c r="F590" t="s">
        <v>27</v>
      </c>
      <c r="G590" s="3"/>
    </row>
    <row r="591" spans="1:7" ns3:dyDescent="0.2">
      <c r="A591" t="s">
        <v>210</v>
      </c>
      <c r="B591" s="3">
        <v>8.6515616911130283E-10</v>
      </c>
      <c r="C591" s="3"/>
      <c r="D591" t="s">
        <v>7</v>
      </c>
      <c r="E591" t="s">
        <v>246</v>
      </c>
      <c r="F591" t="s">
        <v>27</v>
      </c>
      <c r="G591" s="3"/>
    </row>
    <row r="592" spans="1:7" ns3:dyDescent="0.2">
      <c r="A592" t="s">
        <v>211</v>
      </c>
      <c r="B592" s="3">
        <v>1.5792924935289042E-8</v>
      </c>
      <c r="C592" s="3"/>
      <c r="D592" t="s">
        <v>7</v>
      </c>
      <c r="E592" t="s">
        <v>245</v>
      </c>
      <c r="F592" t="s">
        <v>27</v>
      </c>
      <c r="G592" s="3"/>
    </row>
    <row r="593" spans="1:7" ns3:dyDescent="0.2">
      <c r="A593" t="s">
        <v>211</v>
      </c>
      <c r="B593" s="3">
        <v>4.0014754098360653E-10</v>
      </c>
      <c r="C593" s="3"/>
      <c r="D593" t="s">
        <v>7</v>
      </c>
      <c r="E593" t="s">
        <v>246</v>
      </c>
      <c r="F593" t="s">
        <v>27</v>
      </c>
      <c r="G593" s="3"/>
    </row>
    <row r="594" spans="1:7" ns3:dyDescent="0.2">
      <c r="A594" t="s">
        <v>214</v>
      </c>
      <c r="B594" s="3">
        <v>1.7845815358067297E-6</v>
      </c>
      <c r="C594" s="3"/>
      <c r="D594" t="s">
        <v>7</v>
      </c>
      <c r="E594" t="s">
        <v>245</v>
      </c>
      <c r="F594" t="s">
        <v>27</v>
      </c>
      <c r="G594" s="3"/>
    </row>
    <row r="595" spans="1:7" ns3:dyDescent="0.2">
      <c r="A595" t="s">
        <v>214</v>
      </c>
      <c r="B595" s="3">
        <v>1.2091458153580672E-9</v>
      </c>
      <c r="C595" s="3"/>
      <c r="D595" t="s">
        <v>7</v>
      </c>
      <c r="E595" t="s">
        <v>246</v>
      </c>
      <c r="F595" t="s">
        <v>27</v>
      </c>
      <c r="G595" s="3"/>
    </row>
    <row r="596" spans="1:7" ns3:dyDescent="0.2">
      <c r="A596" t="s">
        <v>238</v>
      </c>
      <c r="B596" s="3">
        <v>2.0806039689387404E-5</v>
      </c>
      <c r="C596" s="3"/>
      <c r="D596" t="s">
        <v>7</v>
      </c>
      <c r="E596" t="s">
        <v>245</v>
      </c>
      <c r="F596" t="s">
        <v>27</v>
      </c>
      <c r="G596" s="3"/>
    </row>
    <row r="597" spans="1:7" ns3:dyDescent="0.2">
      <c r="A597" t="s">
        <v>238</v>
      </c>
      <c r="B597" s="3">
        <v>7.4527610008628123E-6</v>
      </c>
      <c r="C597" s="3"/>
      <c r="D597" t="s">
        <v>7</v>
      </c>
      <c r="E597" t="s">
        <v>246</v>
      </c>
      <c r="F597" t="s">
        <v>27</v>
      </c>
      <c r="G597" s="3"/>
    </row>
    <row r="598" spans="1:7" ns3:dyDescent="0.2">
      <c r="A598" t="s">
        <v>219</v>
      </c>
      <c r="B598" s="3">
        <v>1.4272476272648834E-7</v>
      </c>
      <c r="C598" s="3"/>
      <c r="D598" t="s">
        <v>7</v>
      </c>
      <c r="E598" t="s">
        <v>245</v>
      </c>
      <c r="F598" t="s">
        <v>27</v>
      </c>
      <c r="G598" s="3"/>
    </row>
    <row r="599" spans="1:7" ns3:dyDescent="0.2">
      <c r="A599" t="s">
        <v>219</v>
      </c>
      <c r="B599" s="3">
        <v>3.7054529767040554E-8</v>
      </c>
      <c r="C599" s="3"/>
      <c r="D599" t="s">
        <v>7</v>
      </c>
      <c r="E599" t="s">
        <v>246</v>
      </c>
      <c r="F599" t="s">
        <v>27</v>
      </c>
      <c r="G599" s="3"/>
    </row>
    <row r="600" spans="1:7" ns3:dyDescent="0.2">
      <c r="A600" t="s">
        <v>239</v>
      </c>
      <c r="B600" s="3">
        <v>3.2759879206212252E-5</v>
      </c>
      <c r="C600" s="3"/>
      <c r="D600" t="s">
        <v>7</v>
      </c>
      <c r="E600" t="s">
        <v>245</v>
      </c>
      <c r="F600" t="s">
        <v>27</v>
      </c>
      <c r="G600" s="3"/>
    </row>
    <row r="601" spans="1:7" ns3:dyDescent="0.2">
      <c r="A601" t="s">
        <v>239</v>
      </c>
      <c r="B601" s="3">
        <v>7.3841415012942203E-8</v>
      </c>
      <c r="C601" s="3"/>
      <c r="D601" t="s">
        <v>7</v>
      </c>
      <c r="E601" t="s">
        <v>246</v>
      </c>
      <c r="F601" t="s">
        <v>27</v>
      </c>
      <c r="G601" s="3"/>
    </row>
    <row r="602" spans="1:7" ns3:dyDescent="0.2">
      <c r="A602" t="s">
        <v>240</v>
      </c>
      <c r="B602" s="3">
        <v>8.4943917169974113E-5</v>
      </c>
      <c r="C602" s="3"/>
      <c r="D602" t="s">
        <v>7</v>
      </c>
      <c r="E602" t="s">
        <v>245</v>
      </c>
      <c r="F602" t="s">
        <v>27</v>
      </c>
      <c r="G602" s="3"/>
    </row>
    <row r="603" spans="1:7" ns3:dyDescent="0.2">
      <c r="A603" t="s">
        <v>240</v>
      </c>
      <c r="B603" s="3">
        <v>4.27130284728214E-5</v>
      </c>
      <c r="C603" s="3"/>
      <c r="D603" t="s">
        <v>7</v>
      </c>
      <c r="E603" t="s">
        <v>246</v>
      </c>
      <c r="F603" t="s">
        <v>27</v>
      </c>
      <c r="G603" s="3"/>
    </row>
    <row r="604" spans="1:7" ns3:dyDescent="0.2">
      <c r="A604" t="s">
        <v>221</v>
      </c>
      <c r="B604" s="3">
        <v>7.8293615185504735E-6</v>
      </c>
      <c r="C604" s="3"/>
      <c r="D604" t="s">
        <v>7</v>
      </c>
      <c r="E604" t="s">
        <v>245</v>
      </c>
      <c r="F604" t="s">
        <v>27</v>
      </c>
      <c r="G604" s="3"/>
    </row>
    <row r="605" spans="1:7" ns3:dyDescent="0.2">
      <c r="A605" t="s">
        <v>221</v>
      </c>
      <c r="B605" s="3">
        <v>5.1240638481449521E-9</v>
      </c>
      <c r="C605" s="3"/>
      <c r="D605" t="s">
        <v>7</v>
      </c>
      <c r="E605" t="s">
        <v>246</v>
      </c>
      <c r="F605" t="s">
        <v>27</v>
      </c>
      <c r="G605" s="3"/>
    </row>
    <row r="606" spans="1:7" ns3:dyDescent="0.2">
      <c r="A606" t="s">
        <v>241</v>
      </c>
      <c r="B606" s="3">
        <v>3.1921829163071607E-4</v>
      </c>
      <c r="C606" s="3"/>
      <c r="D606" t="s">
        <v>7</v>
      </c>
      <c r="E606" t="s">
        <v>245</v>
      </c>
      <c r="F606" t="s">
        <v>27</v>
      </c>
      <c r="G606" s="3"/>
    </row>
    <row r="607" spans="1:7" ns3:dyDescent="0.2">
      <c r="A607" t="s">
        <v>241</v>
      </c>
      <c r="B607" s="3">
        <v>5.455867126833477E-5</v>
      </c>
      <c r="C607" s="3"/>
      <c r="D607" t="s">
        <v>7</v>
      </c>
      <c r="E607" t="s">
        <v>246</v>
      </c>
      <c r="F607" t="s">
        <v>27</v>
      </c>
      <c r="G607" s="3"/>
    </row>
    <row r="608" spans="1:7" ns3:dyDescent="0.2">
      <c r="A608" t="s">
        <v>242</v>
      </c>
      <c r="B608" s="3">
        <v>1.7633218291630715E-4</v>
      </c>
      <c r="C608" s="3"/>
      <c r="D608" t="s">
        <v>7</v>
      </c>
      <c r="E608" t="s">
        <v>245</v>
      </c>
      <c r="F608" t="s">
        <v>27</v>
      </c>
      <c r="G608" s="3"/>
    </row>
    <row r="609" spans="1:8" ns3:dyDescent="0.2">
      <c r="A609" t="s">
        <v>242</v>
      </c>
      <c r="B609" s="3">
        <v>1.9939516824849007E-5</v>
      </c>
      <c r="C609" s="3"/>
      <c r="D609" t="s">
        <v>7</v>
      </c>
      <c r="E609" t="s">
        <v>246</v>
      </c>
      <c r="F609" t="s">
        <v>27</v>
      </c>
      <c r="G609" s="3"/>
    </row>
    <row r="610" spans="1:8" ns3:dyDescent="0.2">
      <c r="A610" t="s">
        <v>223</v>
      </c>
      <c r="B610" s="3">
        <v>2.7161173425366694E-8</v>
      </c>
      <c r="C610" s="3"/>
      <c r="D610" t="s">
        <v>7</v>
      </c>
      <c r="E610" t="s">
        <v>245</v>
      </c>
      <c r="F610" t="s">
        <v>27</v>
      </c>
      <c r="G610" s="3"/>
    </row>
    <row r="611" spans="1:8" ns3:dyDescent="0.2">
      <c r="A611" t="s">
        <v>223</v>
      </c>
      <c r="B611" s="3">
        <v>2.5170923209663504E-11</v>
      </c>
      <c r="C611" s="3"/>
      <c r="D611" t="s">
        <v>7</v>
      </c>
      <c r="E611" t="s">
        <v>246</v>
      </c>
      <c r="F611" t="s">
        <v>27</v>
      </c>
      <c r="G611" s="3"/>
    </row>
    <row r="612" spans="1:8" ns3:dyDescent="0.2">
      <c r="A612" t="s">
        <v>224</v>
      </c>
      <c r="B612" s="3">
        <v>1.5402847282139774E-6</v>
      </c>
      <c r="C612" s="3"/>
      <c r="D612" t="s">
        <v>7</v>
      </c>
      <c r="E612" t="s">
        <v>245</v>
      </c>
      <c r="F612" t="s">
        <v>27</v>
      </c>
      <c r="G612" s="3"/>
    </row>
    <row r="613" spans="1:8" ns3:dyDescent="0.2">
      <c r="A613" t="s">
        <v>224</v>
      </c>
      <c r="B613" s="3">
        <v>2.0978774805867127E-9</v>
      </c>
      <c r="C613" s="3"/>
      <c r="D613" t="s">
        <v>7</v>
      </c>
      <c r="E613" t="s">
        <v>246</v>
      </c>
      <c r="F613" t="s">
        <v>27</v>
      </c>
      <c r="G613" s="3"/>
    </row>
    <row r="614" spans="1:8" ns3:dyDescent="0.2">
      <c r="A614" t="s">
        <v>225</v>
      </c>
      <c r="B614" s="3">
        <v>2.6503451251078513E-5</v>
      </c>
      <c r="C614" s="3"/>
      <c r="D614" t="s">
        <v>7</v>
      </c>
      <c r="E614" t="s">
        <v>245</v>
      </c>
      <c r="F614" t="s">
        <v>27</v>
      </c>
      <c r="G614" s="3"/>
    </row>
    <row r="615" spans="1:8" ns3:dyDescent="0.2">
      <c r="A615" t="s">
        <v>225</v>
      </c>
      <c r="B615" s="3">
        <v>1.8029939603106123E-8</v>
      </c>
      <c r="C615" s="3"/>
      <c r="D615" t="s">
        <v>7</v>
      </c>
      <c r="E615" t="s">
        <v>246</v>
      </c>
      <c r="F615" t="s">
        <v>27</v>
      </c>
      <c r="G615" s="3"/>
    </row>
    <row r="616" spans="1:8" ns3:dyDescent="0.2">
      <c r="A616" t="s">
        <v>227</v>
      </c>
      <c r="B616" s="3">
        <v>7.527169974115616E-6</v>
      </c>
      <c r="C616" s="3"/>
      <c r="D616" t="s">
        <v>7</v>
      </c>
      <c r="E616" t="s">
        <v>245</v>
      </c>
      <c r="F616" t="s">
        <v>27</v>
      </c>
      <c r="G616" s="3"/>
    </row>
    <row r="617" spans="1:8" ns3:dyDescent="0.2">
      <c r="A617" t="s">
        <v>227</v>
      </c>
      <c r="B617" s="3">
        <v>2.9688610871440897E-8</v>
      </c>
      <c r="C617" s="3"/>
      <c r="D617" t="s">
        <v>7</v>
      </c>
      <c r="E617" t="s">
        <v>246</v>
      </c>
      <c r="F617" t="s">
        <v>27</v>
      </c>
      <c r="G617" s="3"/>
    </row>
    <row r="618" spans="1:8" ns3:dyDescent="0.2">
      <c r="A618" t="s">
        <v>228</v>
      </c>
      <c r="B618" s="3">
        <v>1.1954684210526315E-4</v>
      </c>
      <c r="C618" s="3"/>
      <c r="D618" t="s">
        <v>37</v>
      </c>
      <c r="E618" t="s">
        <v>246</v>
      </c>
      <c r="F618" t="s">
        <v>27</v>
      </c>
      <c r="G618" s="3"/>
    </row>
    <row r="619" spans="1:8" ns3:dyDescent="0.2">
      <c r="A619" t="s">
        <v>229</v>
      </c>
      <c r="B619" s="3">
        <v>2.2232528041415013E-5</v>
      </c>
      <c r="C619" s="3"/>
      <c r="D619" t="s">
        <v>7</v>
      </c>
      <c r="E619" t="s">
        <v>245</v>
      </c>
      <c r="F619" t="s">
        <v>27</v>
      </c>
      <c r="G619" s="3"/>
    </row>
    <row r="620" spans="1:8" ns3:dyDescent="0.2">
      <c r="A620" t="s">
        <v>229</v>
      </c>
      <c r="B620" s="3">
        <v>3.0247627264883521E-9</v>
      </c>
      <c r="C620" s="3"/>
      <c r="D620" t="s">
        <v>7</v>
      </c>
      <c r="E620" t="s">
        <v>246</v>
      </c>
      <c r="F620" t="s">
        <v>27</v>
      </c>
      <c r="G620" s="3"/>
    </row>
    <row r="621" spans="1:8" ns3:dyDescent="0.2">
      <c r="A621" t="s">
        <v>243</v>
      </c>
      <c r="B621" s="3">
        <v>0.2352899050905953</v>
      </c>
      <c r="C621" s="3"/>
      <c r="D621" t="s">
        <v>7</v>
      </c>
      <c r="E621" t="s">
        <v>111</v>
      </c>
      <c r="F621" t="s">
        <v>27</v>
      </c>
      <c r="G621" s="3"/>
    </row>
    <row r="622" spans="1:8" s="50" customFormat="1" ns3:dyDescent="0.2">
      <c r="A622" s="50" t="s">
        <v>134</v>
      </c>
      <c r="B622" s="50">
        <f>0.9*0.219164797238999</f>
        <v>0.19724831751509911</v>
      </c>
      <c r="C622" s="50" t="s">
        <v>103</v>
      </c>
      <c r="D622" s="50" t="s">
        <v>7</v>
      </c>
      <c r="F622" s="50" t="s">
        <v>18</v>
      </c>
      <c r="H622" s="50" t="s">
        <v>134</v>
      </c>
    </row>
    <row r="623" spans="1:8" s="50" customFormat="1" ns3:dyDescent="0.2">
      <c r="A623" s="50" t="s">
        <v>144</v>
      </c>
      <c r="B623" s="50">
        <f>0.219164797238999-B622</f>
        <v>2.1916479723899901E-2</v>
      </c>
      <c r="D623" s="50" t="s">
        <v>7</v>
      </c>
      <c r="E623" s="50" t="s">
        <v>136</v>
      </c>
      <c r="F623" s="50" t="s">
        <v>27</v>
      </c>
      <c r="G623" s="50" t="s">
        <v>483</v>
      </c>
    </row>
    <row r="624" spans="1:8" s="50" customFormat="1" ns3:dyDescent="0.2">
      <c r="A624" s="50" t="s">
        <v>484</v>
      </c>
      <c r="B624" s="51">
        <f>6.1/43.4*1.1</f>
        <v>0.15460829493087558</v>
      </c>
      <c r="D624" s="50" t="s">
        <v>7</v>
      </c>
      <c r="E624" s="50" t="s">
        <v>485</v>
      </c>
      <c r="F624" s="50" t="s">
        <v>27</v>
      </c>
      <c r="G624" s="50" t="s">
        <v>490</v>
      </c>
    </row>
    <row r="625" spans="1:8" s="50" customFormat="1" ns3:dyDescent="0.2"/>
    <row r="626" spans="1:8" ht="16" ns3:dyDescent="0.2">
      <c r="A626" s="1" t="s">
        <v>0</v>
      </c>
      <c r="B626" s="47" t="s">
        <v>130</v>
      </c>
    </row>
    <row r="627" spans="1:8" ns3:dyDescent="0.2">
      <c r="A627" t="s">
        <v>1</v>
      </c>
      <c r="B627" s="3" t="s">
        <v>104</v>
      </c>
    </row>
    <row r="628" spans="1:8" ns3:dyDescent="0.2">
      <c r="A628" t="s">
        <v>2</v>
      </c>
      <c r="B628" s="3">
        <v>1</v>
      </c>
    </row>
    <row r="629" spans="1:8" ns3:dyDescent="0.2">
      <c r="A629" t="s">
        <v>3</v>
      </c>
      <c r="B629" s="3" t="s">
        <v>130</v>
      </c>
    </row>
    <row r="630" spans="1:8" ns3:dyDescent="0.2">
      <c r="A630" t="s">
        <v>4</v>
      </c>
      <c r="B630" s="3" t="s">
        <v>5</v>
      </c>
    </row>
    <row r="631" spans="1:8" ns3:dyDescent="0.2">
      <c r="A631" t="s">
        <v>6</v>
      </c>
      <c r="B631" s="3" t="s">
        <v>17</v>
      </c>
    </row>
    <row r="632" spans="1:8" ns3:dyDescent="0.2">
      <c r="A632" t="s">
        <v>8</v>
      </c>
      <c r="B632" s="3" t="s">
        <v>122</v>
      </c>
    </row>
    <row r="633" spans="1:8" ns3:dyDescent="0.2">
      <c r="A633" t="s">
        <v>261</v>
      </c>
      <c r="B633" s="23">
        <f>0.33*71%</f>
        <v>0.23430000000000001</v>
      </c>
    </row>
    <row r="634" spans="1:8" ns3:dyDescent="0.2">
      <c r="A634" t="s">
        <v>9</v>
      </c>
      <c r="B634" s="3" t="s">
        <v>262</v>
      </c>
    </row>
    <row r="635" spans="1:8" ht="16" ns3:dyDescent="0.2">
      <c r="A635" s="1" t="s">
        <v>10</v>
      </c>
    </row>
    <row r="636" spans="1:8" ns3:dyDescent="0.2">
      <c r="A636" t="s">
        <v>11</v>
      </c>
      <c r="B636" s="3" t="s">
        <v>12</v>
      </c>
      <c r="C636" t="s">
        <v>1</v>
      </c>
      <c r="D636" t="s">
        <v>6</v>
      </c>
      <c r="E636" t="s">
        <v>13</v>
      </c>
      <c r="F636" t="s">
        <v>4</v>
      </c>
      <c r="G636" t="s">
        <v>9</v>
      </c>
      <c r="H636" t="s">
        <v>3</v>
      </c>
    </row>
    <row r="637" spans="1:8" ns3:dyDescent="0.2">
      <c r="A637" s="3" t="str">
        <f>B626</f>
        <v>heat production, from biowaste, municipal incineration, energy allocation</v>
      </c>
      <c r="B637" s="3">
        <v>1</v>
      </c>
      <c r="C637" s="3" t="str">
        <f>B627</f>
        <v>CH</v>
      </c>
      <c r="D637" s="3" t="str">
        <f>B631</f>
        <v>megajoule</v>
      </c>
      <c r="F637" t="s">
        <v>15</v>
      </c>
      <c r="G637" t="s">
        <v>16</v>
      </c>
      <c r="H637" s="3" t="str">
        <f>B629</f>
        <v>heat production, from biowaste, municipal incineration, energy allocation</v>
      </c>
    </row>
    <row r="638" spans="1:8" s="50" customFormat="1" ns3:dyDescent="0.2">
      <c r="A638" s="50" t="s">
        <v>110</v>
      </c>
      <c r="B638" s="52">
        <f>B672</f>
        <v>0.36093706293706301</v>
      </c>
      <c r="D638" s="50" t="s">
        <v>7</v>
      </c>
      <c r="E638" s="50" t="s">
        <v>111</v>
      </c>
      <c r="F638" s="50" t="s">
        <v>27</v>
      </c>
      <c r="G638" s="50" t="s">
        <v>259</v>
      </c>
    </row>
    <row r="639" spans="1:8" s="50" customFormat="1" ns3:dyDescent="0.2">
      <c r="A639" s="50" t="s">
        <v>149</v>
      </c>
      <c r="B639" s="51">
        <v>3.7516783216783224E-4</v>
      </c>
      <c r="C639" s="50" t="s">
        <v>103</v>
      </c>
      <c r="D639" s="50" t="s">
        <v>7</v>
      </c>
      <c r="F639" t="s">
        <v>18</v>
      </c>
      <c r="G639" s="51"/>
      <c r="H639" s="50" t="s">
        <v>170</v>
      </c>
    </row>
    <row r="640" spans="1:8" s="50" customFormat="1" ns3:dyDescent="0.2">
      <c r="A640" s="50" t="s">
        <v>150</v>
      </c>
      <c r="B640" s="51">
        <v>2.163916083916084E-7</v>
      </c>
      <c r="C640" s="50" t="s">
        <v>103</v>
      </c>
      <c r="D640" s="50" t="s">
        <v>7</v>
      </c>
      <c r="F640" t="s">
        <v>18</v>
      </c>
      <c r="G640" s="51"/>
      <c r="H640" s="50" t="s">
        <v>171</v>
      </c>
    </row>
    <row r="641" spans="1:8" s="50" customFormat="1" ns3:dyDescent="0.2">
      <c r="A641" s="50" t="s">
        <v>168</v>
      </c>
      <c r="B641" s="51">
        <v>3.6936363636363642E-3</v>
      </c>
      <c r="C641" s="50" t="s">
        <v>104</v>
      </c>
      <c r="D641" s="50" t="s">
        <v>7</v>
      </c>
      <c r="F641" t="s">
        <v>18</v>
      </c>
      <c r="G641" s="51"/>
      <c r="H641" s="50" t="s">
        <v>186</v>
      </c>
    </row>
    <row r="642" spans="1:8" s="50" customFormat="1" ns3:dyDescent="0.2">
      <c r="A642" s="50" t="s">
        <v>151</v>
      </c>
      <c r="B642" s="51">
        <v>5.0684615384615388E-5</v>
      </c>
      <c r="C642" s="50" t="s">
        <v>24</v>
      </c>
      <c r="D642" s="50" t="s">
        <v>7</v>
      </c>
      <c r="F642" t="s">
        <v>18</v>
      </c>
      <c r="G642" s="51"/>
      <c r="H642" s="50" t="s">
        <v>172</v>
      </c>
    </row>
    <row r="643" spans="1:8" s="50" customFormat="1" ns3:dyDescent="0.2">
      <c r="A643" s="50" t="s">
        <v>152</v>
      </c>
      <c r="B643" s="51">
        <v>3.920349650349651E-7</v>
      </c>
      <c r="C643" s="50" t="s">
        <v>24</v>
      </c>
      <c r="D643" s="50" t="s">
        <v>7</v>
      </c>
      <c r="F643" t="s">
        <v>18</v>
      </c>
      <c r="G643" s="51"/>
      <c r="H643" s="50" t="s">
        <v>173</v>
      </c>
    </row>
    <row r="644" spans="1:8" s="50" customFormat="1" ns3:dyDescent="0.2">
      <c r="A644" t="s">
        <v>493</v>
      </c>
      <c r="B644" s="51">
        <v>4.796993006993007E-7</v>
      </c>
      <c r="C644" s="50" t="s">
        <v>24</v>
      </c>
      <c r="D644" s="50" t="s">
        <v>7</v>
      </c>
      <c r="F644" t="s">
        <v>18</v>
      </c>
      <c r="G644" s="51"/>
      <c r="H644" t="s">
        <v>494</v>
      </c>
    </row>
    <row r="645" spans="1:8" s="50" customFormat="1" ns3:dyDescent="0.2">
      <c r="A645" s="50" t="s">
        <v>169</v>
      </c>
      <c r="B645" s="51">
        <v>7.0153846153846164E-2</v>
      </c>
      <c r="C645" s="50" t="s">
        <v>104</v>
      </c>
      <c r="D645" s="50" t="s">
        <v>17</v>
      </c>
      <c r="F645" t="s">
        <v>18</v>
      </c>
      <c r="G645" s="51"/>
      <c r="H645" s="50" t="s">
        <v>187</v>
      </c>
    </row>
    <row r="646" spans="1:8" s="50" customFormat="1" ns3:dyDescent="0.2">
      <c r="A646" s="50" t="s">
        <v>153</v>
      </c>
      <c r="B646" s="51">
        <v>2.692517482517483E-4</v>
      </c>
      <c r="C646" s="50" t="s">
        <v>103</v>
      </c>
      <c r="D646" s="50" t="s">
        <v>7</v>
      </c>
      <c r="F646" t="s">
        <v>18</v>
      </c>
      <c r="G646" s="51"/>
      <c r="H646" s="50" t="s">
        <v>174</v>
      </c>
    </row>
    <row r="647" spans="1:8" s="50" customFormat="1" ns3:dyDescent="0.2">
      <c r="A647" s="50" t="s">
        <v>154</v>
      </c>
      <c r="B647" s="51">
        <v>6.5138461538461552E-4</v>
      </c>
      <c r="C647" s="50" t="s">
        <v>103</v>
      </c>
      <c r="D647" s="50" t="s">
        <v>7</v>
      </c>
      <c r="F647" t="s">
        <v>18</v>
      </c>
      <c r="G647" s="51"/>
      <c r="H647" s="50" t="s">
        <v>175</v>
      </c>
    </row>
    <row r="648" spans="1:8" s="50" customFormat="1" ns3:dyDescent="0.2">
      <c r="A648" s="50" t="s">
        <v>155</v>
      </c>
      <c r="B648" s="51">
        <v>7.6062937062937067E-7</v>
      </c>
      <c r="C648" s="50" t="s">
        <v>24</v>
      </c>
      <c r="D648" s="50" t="s">
        <v>7</v>
      </c>
      <c r="F648" t="s">
        <v>18</v>
      </c>
      <c r="G648" s="51"/>
      <c r="H648" t="s">
        <v>474</v>
      </c>
    </row>
    <row r="649" spans="1:8" s="50" customFormat="1" ns3:dyDescent="0.2">
      <c r="A649" s="50" t="s">
        <v>156</v>
      </c>
      <c r="B649" s="51">
        <v>-2.026503496503497E-3</v>
      </c>
      <c r="C649" s="50" t="s">
        <v>24</v>
      </c>
      <c r="D649" s="50" t="s">
        <v>7</v>
      </c>
      <c r="F649" t="s">
        <v>18</v>
      </c>
      <c r="G649" s="51"/>
      <c r="H649" s="50" t="s">
        <v>176</v>
      </c>
    </row>
    <row r="650" spans="1:8" s="50" customFormat="1" ns3:dyDescent="0.2">
      <c r="A650" s="50" t="s">
        <v>157</v>
      </c>
      <c r="B650" s="51">
        <v>1.7482517482517485E-10</v>
      </c>
      <c r="C650" s="50" t="s">
        <v>104</v>
      </c>
      <c r="D650" s="50" t="s">
        <v>6</v>
      </c>
      <c r="F650" t="s">
        <v>18</v>
      </c>
      <c r="G650" s="51"/>
      <c r="H650" s="50" t="s">
        <v>177</v>
      </c>
    </row>
    <row r="651" spans="1:8" s="50" customFormat="1" ns3:dyDescent="0.2">
      <c r="A651" s="50" t="s">
        <v>158</v>
      </c>
      <c r="B651" s="51">
        <v>1.8410489510489514E-2</v>
      </c>
      <c r="C651" s="50" t="s">
        <v>104</v>
      </c>
      <c r="D651" s="50" t="s">
        <v>7</v>
      </c>
      <c r="F651" t="s">
        <v>18</v>
      </c>
      <c r="G651" s="51"/>
      <c r="H651" s="50" t="s">
        <v>158</v>
      </c>
    </row>
    <row r="652" spans="1:8" s="50" customFormat="1" ns3:dyDescent="0.2">
      <c r="A652" s="50" t="s">
        <v>159</v>
      </c>
      <c r="B652" s="51">
        <v>9.9769230769230777E-2</v>
      </c>
      <c r="C652" s="50" t="s">
        <v>104</v>
      </c>
      <c r="D652" s="50" t="s">
        <v>7</v>
      </c>
      <c r="F652" t="s">
        <v>18</v>
      </c>
      <c r="G652" s="51"/>
      <c r="H652" s="50" t="s">
        <v>159</v>
      </c>
    </row>
    <row r="653" spans="1:8" s="50" customFormat="1" ns3:dyDescent="0.2">
      <c r="A653" s="50" t="s">
        <v>160</v>
      </c>
      <c r="B653" s="51">
        <v>9.6503496503496506E-4</v>
      </c>
      <c r="C653" s="50" t="s">
        <v>103</v>
      </c>
      <c r="D653" s="50" t="s">
        <v>7</v>
      </c>
      <c r="F653" t="s">
        <v>18</v>
      </c>
      <c r="G653" s="51"/>
      <c r="H653" s="50" t="s">
        <v>178</v>
      </c>
    </row>
    <row r="654" spans="1:8" s="50" customFormat="1" ns3:dyDescent="0.2">
      <c r="A654" s="50" t="s">
        <v>161</v>
      </c>
      <c r="B654" s="51">
        <v>3.8355244755244758E-11</v>
      </c>
      <c r="C654" s="50" t="s">
        <v>104</v>
      </c>
      <c r="D654" s="50" t="s">
        <v>6</v>
      </c>
      <c r="F654" t="s">
        <v>18</v>
      </c>
      <c r="G654" s="51"/>
      <c r="H654" s="50" t="s">
        <v>179</v>
      </c>
    </row>
    <row r="655" spans="1:8" s="50" customFormat="1" ns3:dyDescent="0.2">
      <c r="A655" s="50" t="s">
        <v>162</v>
      </c>
      <c r="B655" s="51">
        <v>1.7736363636363638E-10</v>
      </c>
      <c r="C655" s="50" t="s">
        <v>104</v>
      </c>
      <c r="D655" s="50" t="s">
        <v>6</v>
      </c>
      <c r="F655" t="s">
        <v>18</v>
      </c>
      <c r="G655" s="51"/>
      <c r="H655" s="50" t="s">
        <v>180</v>
      </c>
    </row>
    <row r="656" spans="1:8" s="50" customFormat="1" ns3:dyDescent="0.2">
      <c r="A656" s="50" t="s">
        <v>163</v>
      </c>
      <c r="B656" s="51">
        <v>7.5587412587412603E-4</v>
      </c>
      <c r="C656" s="3" t="s">
        <v>267</v>
      </c>
      <c r="D656" s="50" t="s">
        <v>7</v>
      </c>
      <c r="F656" t="s">
        <v>18</v>
      </c>
      <c r="G656" s="51"/>
      <c r="H656" s="50" t="s">
        <v>181</v>
      </c>
    </row>
    <row r="657" spans="1:8" s="50" customFormat="1" ns3:dyDescent="0.2">
      <c r="A657" s="50" t="s">
        <v>164</v>
      </c>
      <c r="B657" s="51">
        <v>-2.277762237762238E-7</v>
      </c>
      <c r="C657" s="50" t="s">
        <v>24</v>
      </c>
      <c r="D657" s="50" t="s">
        <v>7</v>
      </c>
      <c r="F657" t="s">
        <v>18</v>
      </c>
      <c r="G657" s="51"/>
      <c r="H657" s="50" t="s">
        <v>182</v>
      </c>
    </row>
    <row r="658" spans="1:8" s="50" customFormat="1" ns3:dyDescent="0.2">
      <c r="A658" s="50" t="s">
        <v>165</v>
      </c>
      <c r="B658" s="51">
        <v>2.3505594405594406E-5</v>
      </c>
      <c r="C658" s="50" t="s">
        <v>103</v>
      </c>
      <c r="D658" s="50" t="s">
        <v>7</v>
      </c>
      <c r="F658" t="s">
        <v>18</v>
      </c>
      <c r="G658" s="51"/>
      <c r="H658" s="50" t="s">
        <v>183</v>
      </c>
    </row>
    <row r="659" spans="1:8" s="50" customFormat="1" ns3:dyDescent="0.2">
      <c r="A659" s="50" t="s">
        <v>81</v>
      </c>
      <c r="B659" s="51">
        <v>4.5658741258741264E-3</v>
      </c>
      <c r="C659" s="50" t="s">
        <v>103</v>
      </c>
      <c r="D659" s="50" t="s">
        <v>28</v>
      </c>
      <c r="F659" t="s">
        <v>18</v>
      </c>
      <c r="G659" s="51"/>
      <c r="H659" s="50" t="s">
        <v>82</v>
      </c>
    </row>
    <row r="660" spans="1:8" s="50" customFormat="1" ns3:dyDescent="0.2">
      <c r="A660" s="50" t="s">
        <v>166</v>
      </c>
      <c r="B660" s="51">
        <v>-9.2342657342657352E-3</v>
      </c>
      <c r="C660" s="50" t="s">
        <v>104</v>
      </c>
      <c r="D660" s="50" t="s">
        <v>7</v>
      </c>
      <c r="F660" t="s">
        <v>18</v>
      </c>
      <c r="G660" s="51"/>
      <c r="H660" s="50" t="s">
        <v>184</v>
      </c>
    </row>
    <row r="661" spans="1:8" s="50" customFormat="1" ns3:dyDescent="0.2">
      <c r="A661" s="50" t="s">
        <v>167</v>
      </c>
      <c r="B661" s="51">
        <v>0.60086013986013997</v>
      </c>
      <c r="C661" s="50" t="s">
        <v>104</v>
      </c>
      <c r="D661" s="50" t="s">
        <v>7</v>
      </c>
      <c r="F661" t="s">
        <v>18</v>
      </c>
      <c r="G661" s="51"/>
      <c r="H661" s="50" t="s">
        <v>185</v>
      </c>
    </row>
    <row r="662" spans="1:8" s="50" customFormat="1" ns3:dyDescent="0.2">
      <c r="A662" s="50" t="s">
        <v>188</v>
      </c>
      <c r="B662" s="51">
        <v>4.9705594405594411E-9</v>
      </c>
      <c r="D662" s="50" t="s">
        <v>7</v>
      </c>
      <c r="E662" s="50" t="s">
        <v>244</v>
      </c>
      <c r="F662" s="50" t="s">
        <v>27</v>
      </c>
      <c r="G662" s="51"/>
    </row>
    <row r="663" spans="1:8" s="50" customFormat="1" ns3:dyDescent="0.2">
      <c r="A663" s="50" t="s">
        <v>189</v>
      </c>
      <c r="B663" s="51">
        <v>4.411048951048952E-7</v>
      </c>
      <c r="D663" s="50" t="s">
        <v>7</v>
      </c>
      <c r="E663" s="50" t="s">
        <v>244</v>
      </c>
      <c r="F663" s="50" t="s">
        <v>27</v>
      </c>
      <c r="G663" s="51"/>
    </row>
    <row r="664" spans="1:8" s="50" customFormat="1" ns3:dyDescent="0.2">
      <c r="A664" s="50" t="s">
        <v>191</v>
      </c>
      <c r="B664" s="51">
        <v>9.5559440559440579E-9</v>
      </c>
      <c r="D664" s="50" t="s">
        <v>7</v>
      </c>
      <c r="E664" s="50" t="s">
        <v>244</v>
      </c>
      <c r="F664" s="50" t="s">
        <v>27</v>
      </c>
      <c r="G664" s="51"/>
    </row>
    <row r="665" spans="1:8" s="50" customFormat="1" ns3:dyDescent="0.2">
      <c r="A665" s="50" t="s">
        <v>193</v>
      </c>
      <c r="B665" s="51">
        <v>2.9103496503496509E-8</v>
      </c>
      <c r="D665" s="50" t="s">
        <v>7</v>
      </c>
      <c r="E665" s="50" t="s">
        <v>244</v>
      </c>
      <c r="F665" s="50" t="s">
        <v>27</v>
      </c>
      <c r="G665" s="51"/>
    </row>
    <row r="666" spans="1:8" s="50" customFormat="1" ns3:dyDescent="0.2">
      <c r="A666" s="50" t="s">
        <v>194</v>
      </c>
      <c r="B666" s="51">
        <v>6.0853846153846158E-11</v>
      </c>
      <c r="D666" s="50" t="s">
        <v>7</v>
      </c>
      <c r="E666" s="50" t="s">
        <v>244</v>
      </c>
      <c r="F666" s="50" t="s">
        <v>27</v>
      </c>
      <c r="G666" s="51"/>
    </row>
    <row r="667" spans="1:8" s="50" customFormat="1" ns3:dyDescent="0.2">
      <c r="A667" t="s">
        <v>477</v>
      </c>
      <c r="B667" s="51">
        <v>1.5376223776223777E-10</v>
      </c>
      <c r="D667" s="50" t="s">
        <v>7</v>
      </c>
      <c r="E667" s="50" t="s">
        <v>244</v>
      </c>
      <c r="F667" s="50" t="s">
        <v>27</v>
      </c>
      <c r="G667" s="51"/>
    </row>
    <row r="668" spans="1:8" s="50" customFormat="1" ns3:dyDescent="0.2">
      <c r="A668" s="50" t="s">
        <v>195</v>
      </c>
      <c r="B668" s="51">
        <v>6.4764335664335677E-13</v>
      </c>
      <c r="D668" s="50" t="s">
        <v>7</v>
      </c>
      <c r="E668" s="50" t="s">
        <v>244</v>
      </c>
      <c r="F668" s="50" t="s">
        <v>27</v>
      </c>
      <c r="G668" s="51"/>
    </row>
    <row r="669" spans="1:8" s="50" customFormat="1" ns3:dyDescent="0.2">
      <c r="A669" s="50" t="s">
        <v>196</v>
      </c>
      <c r="B669" s="51">
        <v>1.8279720279720282E-9</v>
      </c>
      <c r="D669" s="50" t="s">
        <v>7</v>
      </c>
      <c r="E669" s="50" t="s">
        <v>244</v>
      </c>
      <c r="F669" s="50" t="s">
        <v>27</v>
      </c>
      <c r="G669" s="51"/>
    </row>
    <row r="670" spans="1:8" s="50" customFormat="1" ns3:dyDescent="0.2">
      <c r="A670" s="50" t="s">
        <v>197</v>
      </c>
      <c r="B670" s="51">
        <v>4.2903496503496513E-11</v>
      </c>
      <c r="D670" s="50" t="s">
        <v>7</v>
      </c>
      <c r="E670" s="50" t="s">
        <v>244</v>
      </c>
      <c r="F670" s="50" t="s">
        <v>27</v>
      </c>
      <c r="G670" s="51"/>
    </row>
    <row r="671" spans="1:8" s="50" customFormat="1" ns3:dyDescent="0.2">
      <c r="A671" s="50" t="s">
        <v>248</v>
      </c>
      <c r="B671" s="51">
        <v>1.0464335664335666E-4</v>
      </c>
      <c r="D671" s="50" t="s">
        <v>7</v>
      </c>
      <c r="E671" s="50" t="s">
        <v>244</v>
      </c>
      <c r="F671" s="50" t="s">
        <v>27</v>
      </c>
      <c r="G671" s="51"/>
    </row>
    <row r="672" spans="1:8" s="50" customFormat="1" ns3:dyDescent="0.2">
      <c r="A672" s="50" t="s">
        <v>135</v>
      </c>
      <c r="B672" s="51">
        <v>0.36093706293706301</v>
      </c>
      <c r="D672" s="50" t="s">
        <v>7</v>
      </c>
      <c r="E672" s="50" t="s">
        <v>244</v>
      </c>
      <c r="F672" s="50" t="s">
        <v>27</v>
      </c>
      <c r="G672" s="51"/>
    </row>
    <row r="673" spans="1:7" s="50" customFormat="1" ns3:dyDescent="0.2">
      <c r="A673" s="50" t="s">
        <v>249</v>
      </c>
      <c r="B673" s="51">
        <v>4.9472027972027977E-5</v>
      </c>
      <c r="D673" s="50" t="s">
        <v>7</v>
      </c>
      <c r="E673" s="50" t="s">
        <v>244</v>
      </c>
      <c r="F673" s="50" t="s">
        <v>27</v>
      </c>
      <c r="G673" s="51"/>
    </row>
    <row r="674" spans="1:7" s="50" customFormat="1" ns3:dyDescent="0.2">
      <c r="A674" s="50" t="s">
        <v>199</v>
      </c>
      <c r="B674" s="51">
        <v>4.2609090909090916E-9</v>
      </c>
      <c r="D674" s="50" t="s">
        <v>7</v>
      </c>
      <c r="E674" s="50" t="s">
        <v>244</v>
      </c>
      <c r="F674" s="50" t="s">
        <v>27</v>
      </c>
      <c r="G674" s="51"/>
    </row>
    <row r="675" spans="1:7" s="50" customFormat="1" ns3:dyDescent="0.2">
      <c r="A675" s="50" t="s">
        <v>200</v>
      </c>
      <c r="B675" s="51">
        <v>5.5464335664335672E-9</v>
      </c>
      <c r="D675" s="50" t="s">
        <v>7</v>
      </c>
      <c r="E675" s="50" t="s">
        <v>244</v>
      </c>
      <c r="F675" s="50" t="s">
        <v>27</v>
      </c>
      <c r="G675" s="51"/>
    </row>
    <row r="676" spans="1:7" s="50" customFormat="1" ns3:dyDescent="0.2">
      <c r="A676" s="50" t="s">
        <v>201</v>
      </c>
      <c r="B676" s="51">
        <v>1.0055944055944057E-9</v>
      </c>
      <c r="D676" s="50" t="s">
        <v>7</v>
      </c>
      <c r="E676" s="50" t="s">
        <v>244</v>
      </c>
      <c r="F676" s="50" t="s">
        <v>27</v>
      </c>
      <c r="G676" s="51"/>
    </row>
    <row r="677" spans="1:7" s="50" customFormat="1" ns3:dyDescent="0.2">
      <c r="A677" s="50" t="s">
        <v>202</v>
      </c>
      <c r="B677" s="51">
        <v>7.8174825174825175E-6</v>
      </c>
      <c r="D677" s="50" t="s">
        <v>7</v>
      </c>
      <c r="E677" s="50" t="s">
        <v>244</v>
      </c>
      <c r="F677" s="50" t="s">
        <v>27</v>
      </c>
      <c r="G677" s="51"/>
    </row>
    <row r="678" spans="1:7" s="50" customFormat="1" ns3:dyDescent="0.2">
      <c r="A678" s="50" t="s">
        <v>203</v>
      </c>
      <c r="B678" s="51">
        <v>3.6388811188811196E-5</v>
      </c>
      <c r="D678" s="50" t="s">
        <v>7</v>
      </c>
      <c r="E678" s="50" t="s">
        <v>244</v>
      </c>
      <c r="F678" s="50" t="s">
        <v>27</v>
      </c>
      <c r="G678" s="51"/>
    </row>
    <row r="679" spans="1:7" s="50" customFormat="1" ns3:dyDescent="0.2">
      <c r="A679" s="50" t="s">
        <v>204</v>
      </c>
      <c r="B679" s="51">
        <v>5.8202797202797208E-14</v>
      </c>
      <c r="D679" s="50" t="s">
        <v>7</v>
      </c>
      <c r="E679" s="50" t="s">
        <v>244</v>
      </c>
      <c r="F679" s="50" t="s">
        <v>27</v>
      </c>
      <c r="G679" s="51"/>
    </row>
    <row r="680" spans="1:7" s="50" customFormat="1" ns3:dyDescent="0.2">
      <c r="A680" s="50" t="s">
        <v>205</v>
      </c>
      <c r="B680" s="51">
        <v>3.107412587412588</v>
      </c>
      <c r="D680" s="50" t="s">
        <v>17</v>
      </c>
      <c r="E680" s="50" t="s">
        <v>244</v>
      </c>
      <c r="F680" s="50" t="s">
        <v>27</v>
      </c>
      <c r="G680" s="51"/>
    </row>
    <row r="681" spans="1:7" s="50" customFormat="1" ns3:dyDescent="0.2">
      <c r="A681" s="50" t="s">
        <v>206</v>
      </c>
      <c r="B681" s="51">
        <v>1.3922377622377623E-6</v>
      </c>
      <c r="D681" s="50" t="s">
        <v>7</v>
      </c>
      <c r="E681" s="50" t="s">
        <v>244</v>
      </c>
      <c r="F681" s="50" t="s">
        <v>27</v>
      </c>
      <c r="G681" s="51"/>
    </row>
    <row r="682" spans="1:7" s="50" customFormat="1" ns3:dyDescent="0.2">
      <c r="A682" s="50" t="s">
        <v>207</v>
      </c>
      <c r="B682" s="51">
        <v>8.2300699300699306E-7</v>
      </c>
      <c r="D682" s="50" t="s">
        <v>7</v>
      </c>
      <c r="E682" s="50" t="s">
        <v>244</v>
      </c>
      <c r="F682" s="50" t="s">
        <v>27</v>
      </c>
      <c r="G682" s="51"/>
    </row>
    <row r="683" spans="1:7" s="50" customFormat="1" ns3:dyDescent="0.2">
      <c r="A683" s="50" t="s">
        <v>250</v>
      </c>
      <c r="B683" s="51">
        <v>1.8618881118881121E-11</v>
      </c>
      <c r="D683" s="50" t="s">
        <v>7</v>
      </c>
      <c r="E683" s="50" t="s">
        <v>244</v>
      </c>
      <c r="F683" s="50" t="s">
        <v>27</v>
      </c>
      <c r="G683" s="51"/>
    </row>
    <row r="684" spans="1:7" s="50" customFormat="1" ns3:dyDescent="0.2">
      <c r="A684" s="50" t="s">
        <v>208</v>
      </c>
      <c r="B684" s="51">
        <v>6.5587412587412601E-10</v>
      </c>
      <c r="D684" s="50" t="s">
        <v>7</v>
      </c>
      <c r="E684" s="50" t="s">
        <v>244</v>
      </c>
      <c r="F684" s="50" t="s">
        <v>27</v>
      </c>
      <c r="G684" s="51"/>
    </row>
    <row r="685" spans="1:7" s="50" customFormat="1" ns3:dyDescent="0.2">
      <c r="A685" s="50" t="s">
        <v>209</v>
      </c>
      <c r="B685" s="51">
        <v>9.3265734265734285E-10</v>
      </c>
      <c r="D685" s="50" t="s">
        <v>7</v>
      </c>
      <c r="E685" s="50" t="s">
        <v>244</v>
      </c>
      <c r="F685" s="50" t="s">
        <v>27</v>
      </c>
      <c r="G685" s="51"/>
    </row>
    <row r="686" spans="1:7" s="50" customFormat="1" ns3:dyDescent="0.2">
      <c r="A686" s="50" t="s">
        <v>251</v>
      </c>
      <c r="B686" s="51">
        <v>1.8142657342657345E-6</v>
      </c>
      <c r="D686" s="50" t="s">
        <v>7</v>
      </c>
      <c r="E686" s="50" t="s">
        <v>244</v>
      </c>
      <c r="F686" s="50" t="s">
        <v>27</v>
      </c>
      <c r="G686" s="51"/>
    </row>
    <row r="687" spans="1:7" s="50" customFormat="1" ns3:dyDescent="0.2">
      <c r="A687" s="50" t="s">
        <v>210</v>
      </c>
      <c r="B687" s="51">
        <v>5.0088811188811199E-10</v>
      </c>
      <c r="D687" s="50" t="s">
        <v>7</v>
      </c>
      <c r="E687" s="50" t="s">
        <v>244</v>
      </c>
      <c r="F687" s="50" t="s">
        <v>27</v>
      </c>
      <c r="G687" s="51"/>
    </row>
    <row r="688" spans="1:7" s="50" customFormat="1" ns3:dyDescent="0.2">
      <c r="A688" s="50" t="s">
        <v>211</v>
      </c>
      <c r="B688" s="51">
        <v>1.2105594405594406E-9</v>
      </c>
      <c r="D688" s="50" t="s">
        <v>7</v>
      </c>
      <c r="E688" s="50" t="s">
        <v>244</v>
      </c>
      <c r="F688" s="50" t="s">
        <v>27</v>
      </c>
      <c r="G688" s="51"/>
    </row>
    <row r="689" spans="1:7" s="50" customFormat="1" ns3:dyDescent="0.2">
      <c r="A689" s="50" t="s">
        <v>252</v>
      </c>
      <c r="B689" s="51">
        <v>4.365524475524476E-7</v>
      </c>
      <c r="D689" s="50" t="s">
        <v>7</v>
      </c>
      <c r="E689" s="50" t="s">
        <v>244</v>
      </c>
      <c r="F689" s="50" t="s">
        <v>27</v>
      </c>
      <c r="G689" s="51"/>
    </row>
    <row r="690" spans="1:7" s="50" customFormat="1" ns3:dyDescent="0.2">
      <c r="A690" s="50" t="s">
        <v>253</v>
      </c>
      <c r="B690" s="51">
        <v>3.2102097902097908E-10</v>
      </c>
      <c r="D690" s="50" t="s">
        <v>7</v>
      </c>
      <c r="E690" s="50" t="s">
        <v>244</v>
      </c>
      <c r="F690" s="50" t="s">
        <v>27</v>
      </c>
      <c r="G690" s="51"/>
    </row>
    <row r="691" spans="1:7" s="50" customFormat="1" ns3:dyDescent="0.2">
      <c r="A691" s="50" t="s">
        <v>213</v>
      </c>
      <c r="B691" s="51">
        <v>1.3244755244755246E-6</v>
      </c>
      <c r="D691" s="50" t="s">
        <v>7</v>
      </c>
      <c r="E691" s="50" t="s">
        <v>244</v>
      </c>
      <c r="F691" s="50" t="s">
        <v>27</v>
      </c>
      <c r="G691" s="51"/>
    </row>
    <row r="692" spans="1:7" s="50" customFormat="1" ns3:dyDescent="0.2">
      <c r="A692" s="50" t="s">
        <v>214</v>
      </c>
      <c r="B692" s="51">
        <v>4.1529370629370632E-9</v>
      </c>
      <c r="D692" s="50" t="s">
        <v>7</v>
      </c>
      <c r="E692" s="50" t="s">
        <v>244</v>
      </c>
      <c r="F692" s="50" t="s">
        <v>27</v>
      </c>
      <c r="G692" s="51"/>
    </row>
    <row r="693" spans="1:7" s="50" customFormat="1" ns3:dyDescent="0.2">
      <c r="A693" s="50" t="s">
        <v>215</v>
      </c>
      <c r="B693" s="51">
        <v>1.3968531468531471E-4</v>
      </c>
      <c r="D693" s="50" t="s">
        <v>7</v>
      </c>
      <c r="E693" s="50" t="s">
        <v>244</v>
      </c>
      <c r="F693" s="50" t="s">
        <v>27</v>
      </c>
      <c r="G693" s="51"/>
    </row>
    <row r="694" spans="1:7" s="50" customFormat="1" ns3:dyDescent="0.2">
      <c r="A694" s="50" t="s">
        <v>216</v>
      </c>
      <c r="B694" s="51">
        <v>3.4746853146853147E-6</v>
      </c>
      <c r="D694" s="50" t="s">
        <v>7</v>
      </c>
      <c r="E694" s="50" t="s">
        <v>244</v>
      </c>
      <c r="F694" s="50" t="s">
        <v>27</v>
      </c>
      <c r="G694" s="51"/>
    </row>
    <row r="695" spans="1:7" s="50" customFormat="1" ns3:dyDescent="0.2">
      <c r="A695" s="50" t="s">
        <v>217</v>
      </c>
      <c r="B695" s="51">
        <v>1.7460839160839164E-8</v>
      </c>
      <c r="D695" s="50" t="s">
        <v>7</v>
      </c>
      <c r="E695" s="50" t="s">
        <v>244</v>
      </c>
      <c r="F695" s="50" t="s">
        <v>27</v>
      </c>
      <c r="G695" s="51"/>
    </row>
    <row r="696" spans="1:7" s="50" customFormat="1" ns3:dyDescent="0.2">
      <c r="A696" s="50" t="s">
        <v>218</v>
      </c>
      <c r="B696" s="51">
        <v>1.2674125874125875E-11</v>
      </c>
      <c r="D696" s="50" t="s">
        <v>7</v>
      </c>
      <c r="E696" s="50" t="s">
        <v>244</v>
      </c>
      <c r="F696" s="50" t="s">
        <v>27</v>
      </c>
      <c r="G696" s="51"/>
    </row>
    <row r="697" spans="1:7" s="50" customFormat="1" ns3:dyDescent="0.2">
      <c r="A697" s="50" t="s">
        <v>254</v>
      </c>
      <c r="B697" s="51">
        <v>7.004195804195805E-7</v>
      </c>
      <c r="D697" s="50" t="s">
        <v>7</v>
      </c>
      <c r="E697" s="50" t="s">
        <v>244</v>
      </c>
      <c r="F697" s="50" t="s">
        <v>27</v>
      </c>
      <c r="G697" s="51"/>
    </row>
    <row r="698" spans="1:7" s="50" customFormat="1" ns3:dyDescent="0.2">
      <c r="A698" s="50" t="s">
        <v>255</v>
      </c>
      <c r="B698" s="51">
        <v>1.0546853146853148E-5</v>
      </c>
      <c r="D698" s="50" t="s">
        <v>7</v>
      </c>
      <c r="E698" s="50" t="s">
        <v>244</v>
      </c>
      <c r="F698" s="50" t="s">
        <v>27</v>
      </c>
      <c r="G698" s="51"/>
    </row>
    <row r="699" spans="1:7" s="50" customFormat="1" ns3:dyDescent="0.2">
      <c r="A699" s="50" t="s">
        <v>219</v>
      </c>
      <c r="B699" s="51">
        <v>3.6365034965034971E-9</v>
      </c>
      <c r="D699" s="50" t="s">
        <v>7</v>
      </c>
      <c r="E699" s="50" t="s">
        <v>244</v>
      </c>
      <c r="F699" s="50" t="s">
        <v>27</v>
      </c>
      <c r="G699" s="51"/>
    </row>
    <row r="700" spans="1:7" s="50" customFormat="1" ns3:dyDescent="0.2">
      <c r="A700" s="50" t="s">
        <v>239</v>
      </c>
      <c r="B700" s="51">
        <v>3.7981118881118882E-8</v>
      </c>
      <c r="D700" s="50" t="s">
        <v>7</v>
      </c>
      <c r="E700" s="50" t="s">
        <v>244</v>
      </c>
      <c r="F700" s="50" t="s">
        <v>27</v>
      </c>
      <c r="G700" s="51"/>
    </row>
    <row r="701" spans="1:7" s="50" customFormat="1" ns3:dyDescent="0.2">
      <c r="A701" s="50" t="s">
        <v>220</v>
      </c>
      <c r="B701" s="51">
        <v>7.511888111888113E-6</v>
      </c>
      <c r="D701" s="50" t="s">
        <v>7</v>
      </c>
      <c r="E701" s="50" t="s">
        <v>244</v>
      </c>
      <c r="F701" s="50" t="s">
        <v>27</v>
      </c>
      <c r="G701" s="51"/>
    </row>
    <row r="702" spans="1:7" s="50" customFormat="1" ns3:dyDescent="0.2">
      <c r="A702" s="50" t="s">
        <v>222</v>
      </c>
      <c r="B702" s="51">
        <v>9.7251748251748252E-6</v>
      </c>
      <c r="D702" s="50" t="s">
        <v>7</v>
      </c>
      <c r="E702" s="50" t="s">
        <v>244</v>
      </c>
      <c r="F702" s="50" t="s">
        <v>27</v>
      </c>
      <c r="G702" s="51"/>
    </row>
    <row r="703" spans="1:7" s="50" customFormat="1" ns3:dyDescent="0.2">
      <c r="A703" s="50" t="s">
        <v>224</v>
      </c>
      <c r="B703" s="51">
        <v>3.1858041958041962E-12</v>
      </c>
      <c r="D703" s="50" t="s">
        <v>7</v>
      </c>
      <c r="E703" s="50" t="s">
        <v>244</v>
      </c>
      <c r="F703" s="50" t="s">
        <v>27</v>
      </c>
      <c r="G703" s="51"/>
    </row>
    <row r="704" spans="1:7" s="50" customFormat="1" ns3:dyDescent="0.2">
      <c r="A704" s="50" t="s">
        <v>226</v>
      </c>
      <c r="B704" s="51">
        <v>5.8206293706293714E-8</v>
      </c>
      <c r="D704" s="50" t="s">
        <v>7</v>
      </c>
      <c r="E704" s="50" t="s">
        <v>244</v>
      </c>
      <c r="F704" s="50" t="s">
        <v>27</v>
      </c>
      <c r="G704" s="51"/>
    </row>
    <row r="705" spans="1:7" s="50" customFormat="1" ns3:dyDescent="0.2">
      <c r="A705" s="50" t="s">
        <v>227</v>
      </c>
      <c r="B705" s="51">
        <v>3.8789510489510493E-8</v>
      </c>
      <c r="D705" s="50" t="s">
        <v>7</v>
      </c>
      <c r="E705" s="50" t="s">
        <v>244</v>
      </c>
      <c r="F705" s="50" t="s">
        <v>27</v>
      </c>
      <c r="G705" s="51"/>
    </row>
    <row r="706" spans="1:7" s="50" customFormat="1" ns3:dyDescent="0.2">
      <c r="A706" s="50" t="s">
        <v>228</v>
      </c>
      <c r="B706" s="51">
        <v>9.4743286713286736E-4</v>
      </c>
      <c r="D706" s="50" t="s">
        <v>37</v>
      </c>
      <c r="E706" s="50" t="s">
        <v>244</v>
      </c>
      <c r="F706" s="50" t="s">
        <v>27</v>
      </c>
      <c r="G706" s="51"/>
    </row>
    <row r="707" spans="1:7" s="50" customFormat="1" ns3:dyDescent="0.2">
      <c r="A707" s="50" t="s">
        <v>229</v>
      </c>
      <c r="B707" s="51">
        <v>2.3809790209790214E-8</v>
      </c>
      <c r="D707" s="50" t="s">
        <v>7</v>
      </c>
      <c r="E707" s="50" t="s">
        <v>244</v>
      </c>
      <c r="F707" s="50" t="s">
        <v>27</v>
      </c>
      <c r="G707" s="51"/>
    </row>
    <row r="708" spans="1:7" s="50" customFormat="1" ns3:dyDescent="0.2">
      <c r="A708" s="50" t="s">
        <v>188</v>
      </c>
      <c r="B708" s="51">
        <v>4.706363636363637E-3</v>
      </c>
      <c r="D708" s="50" t="s">
        <v>7</v>
      </c>
      <c r="E708" s="50" t="s">
        <v>245</v>
      </c>
      <c r="F708" s="50" t="s">
        <v>27</v>
      </c>
      <c r="G708" s="51"/>
    </row>
    <row r="709" spans="1:7" s="50" customFormat="1" ns3:dyDescent="0.2">
      <c r="A709" s="50" t="s">
        <v>188</v>
      </c>
      <c r="B709" s="51">
        <v>4.5281818181818191E-7</v>
      </c>
      <c r="D709" s="50" t="s">
        <v>7</v>
      </c>
      <c r="E709" s="50" t="s">
        <v>246</v>
      </c>
      <c r="F709" s="50" t="s">
        <v>27</v>
      </c>
      <c r="G709" s="51"/>
    </row>
    <row r="710" spans="1:7" s="50" customFormat="1" ns3:dyDescent="0.2">
      <c r="A710" s="50" t="s">
        <v>190</v>
      </c>
      <c r="B710" s="51">
        <v>5.6463636363636367E-10</v>
      </c>
      <c r="D710" s="50" t="s">
        <v>7</v>
      </c>
      <c r="E710" s="50" t="s">
        <v>245</v>
      </c>
      <c r="F710" s="50" t="s">
        <v>27</v>
      </c>
      <c r="G710" s="51"/>
    </row>
    <row r="711" spans="1:7" s="50" customFormat="1" ns3:dyDescent="0.2">
      <c r="A711" s="50" t="s">
        <v>190</v>
      </c>
      <c r="B711" s="51">
        <v>3.0760139860139866E-10</v>
      </c>
      <c r="D711" s="50" t="s">
        <v>7</v>
      </c>
      <c r="E711" s="50" t="s">
        <v>246</v>
      </c>
      <c r="F711" s="50" t="s">
        <v>27</v>
      </c>
      <c r="G711" s="51"/>
    </row>
    <row r="712" spans="1:7" s="50" customFormat="1" ns3:dyDescent="0.2">
      <c r="A712" s="50" t="s">
        <v>191</v>
      </c>
      <c r="B712" s="51">
        <v>7.437062937062938E-7</v>
      </c>
      <c r="D712" s="50" t="s">
        <v>7</v>
      </c>
      <c r="E712" s="50" t="s">
        <v>245</v>
      </c>
      <c r="F712" s="50" t="s">
        <v>27</v>
      </c>
      <c r="G712" s="51"/>
    </row>
    <row r="713" spans="1:7" s="50" customFormat="1" ns3:dyDescent="0.2">
      <c r="A713" s="50" t="s">
        <v>191</v>
      </c>
      <c r="B713" s="51">
        <v>4.8996503496503498E-7</v>
      </c>
      <c r="D713" s="50" t="s">
        <v>7</v>
      </c>
      <c r="E713" s="50" t="s">
        <v>246</v>
      </c>
      <c r="F713" s="50" t="s">
        <v>27</v>
      </c>
      <c r="G713" s="51"/>
    </row>
    <row r="714" spans="1:7" s="50" customFormat="1" ns3:dyDescent="0.2">
      <c r="A714" s="50" t="s">
        <v>230</v>
      </c>
      <c r="B714" s="51">
        <v>2.4010489510489514E-4</v>
      </c>
      <c r="D714" s="50" t="s">
        <v>7</v>
      </c>
      <c r="E714" s="50" t="s">
        <v>245</v>
      </c>
      <c r="F714" s="50" t="s">
        <v>27</v>
      </c>
      <c r="G714" s="51"/>
    </row>
    <row r="715" spans="1:7" s="50" customFormat="1" ns3:dyDescent="0.2">
      <c r="A715" s="50" t="s">
        <v>230</v>
      </c>
      <c r="B715" s="51">
        <v>7.3692307692307694E-5</v>
      </c>
      <c r="D715" s="50" t="s">
        <v>7</v>
      </c>
      <c r="E715" s="50" t="s">
        <v>246</v>
      </c>
      <c r="F715" s="50" t="s">
        <v>27</v>
      </c>
      <c r="G715" s="51"/>
    </row>
    <row r="716" spans="1:7" s="50" customFormat="1" ns3:dyDescent="0.2">
      <c r="A716" s="50" t="s">
        <v>256</v>
      </c>
      <c r="B716" s="51">
        <v>5.1578321678321687E-6</v>
      </c>
      <c r="D716" s="50" t="s">
        <v>7</v>
      </c>
      <c r="E716" s="50" t="s">
        <v>245</v>
      </c>
      <c r="F716" s="50" t="s">
        <v>27</v>
      </c>
      <c r="G716" s="51"/>
    </row>
    <row r="717" spans="1:7" s="50" customFormat="1" ns3:dyDescent="0.2">
      <c r="A717" s="50" t="s">
        <v>256</v>
      </c>
      <c r="B717" s="51">
        <v>6.4692307692307698E-8</v>
      </c>
      <c r="D717" s="50" t="s">
        <v>7</v>
      </c>
      <c r="E717" s="50" t="s">
        <v>246</v>
      </c>
      <c r="F717" s="50" t="s">
        <v>27</v>
      </c>
      <c r="G717" s="51"/>
    </row>
    <row r="718" spans="1:7" s="50" customFormat="1" ns3:dyDescent="0.2">
      <c r="A718" s="50" t="s">
        <v>196</v>
      </c>
      <c r="B718" s="51">
        <v>1.8972027972027975E-7</v>
      </c>
      <c r="D718" s="50" t="s">
        <v>7</v>
      </c>
      <c r="E718" s="50" t="s">
        <v>245</v>
      </c>
      <c r="F718" s="50" t="s">
        <v>27</v>
      </c>
      <c r="G718" s="51"/>
    </row>
    <row r="719" spans="1:7" s="50" customFormat="1" ns3:dyDescent="0.2">
      <c r="A719" s="50" t="s">
        <v>196</v>
      </c>
      <c r="B719" s="51">
        <v>3.3958741258741262E-6</v>
      </c>
      <c r="D719" s="50" t="s">
        <v>7</v>
      </c>
      <c r="E719" s="50" t="s">
        <v>246</v>
      </c>
      <c r="F719" s="50" t="s">
        <v>27</v>
      </c>
      <c r="G719" s="51"/>
    </row>
    <row r="720" spans="1:7" s="50" customFormat="1" ns3:dyDescent="0.2">
      <c r="A720" s="50" t="s">
        <v>232</v>
      </c>
      <c r="B720" s="51">
        <v>7.3405594405594415E-4</v>
      </c>
      <c r="D720" s="50" t="s">
        <v>7</v>
      </c>
      <c r="E720" s="50" t="s">
        <v>245</v>
      </c>
      <c r="F720" s="50" t="s">
        <v>27</v>
      </c>
      <c r="G720" s="51"/>
    </row>
    <row r="721" spans="1:7" s="50" customFormat="1" ns3:dyDescent="0.2">
      <c r="A721" s="50" t="s">
        <v>232</v>
      </c>
      <c r="B721" s="51">
        <v>7.5300699300699311E-5</v>
      </c>
      <c r="D721" s="50" t="s">
        <v>7</v>
      </c>
      <c r="E721" s="50" t="s">
        <v>246</v>
      </c>
      <c r="F721" s="50" t="s">
        <v>27</v>
      </c>
      <c r="G721" s="51"/>
    </row>
    <row r="722" spans="1:7" s="50" customFormat="1" ns3:dyDescent="0.2">
      <c r="A722" s="50" t="s">
        <v>197</v>
      </c>
      <c r="B722" s="51">
        <v>1.3500000000000002E-8</v>
      </c>
      <c r="D722" s="50" t="s">
        <v>7</v>
      </c>
      <c r="E722" s="50" t="s">
        <v>245</v>
      </c>
      <c r="F722" s="50" t="s">
        <v>27</v>
      </c>
      <c r="G722" s="51"/>
    </row>
    <row r="723" spans="1:7" s="50" customFormat="1" ns3:dyDescent="0.2">
      <c r="A723" s="50" t="s">
        <v>197</v>
      </c>
      <c r="B723" s="51">
        <v>1.4969230769230771E-11</v>
      </c>
      <c r="D723" s="50" t="s">
        <v>7</v>
      </c>
      <c r="E723" s="50" t="s">
        <v>246</v>
      </c>
      <c r="F723" s="50" t="s">
        <v>27</v>
      </c>
      <c r="G723" s="51"/>
    </row>
    <row r="724" spans="1:7" s="50" customFormat="1" ns3:dyDescent="0.2">
      <c r="A724" s="50" t="s">
        <v>233</v>
      </c>
      <c r="B724" s="51">
        <v>1.1287412587412587E-2</v>
      </c>
      <c r="D724" s="50" t="s">
        <v>7</v>
      </c>
      <c r="E724" s="50" t="s">
        <v>245</v>
      </c>
      <c r="F724" s="50" t="s">
        <v>27</v>
      </c>
      <c r="G724" s="51"/>
    </row>
    <row r="725" spans="1:7" s="50" customFormat="1" ns3:dyDescent="0.2">
      <c r="A725" s="50" t="s">
        <v>233</v>
      </c>
      <c r="B725" s="51">
        <v>2.3899300699300701E-4</v>
      </c>
      <c r="D725" s="50" t="s">
        <v>7</v>
      </c>
      <c r="E725" s="50" t="s">
        <v>246</v>
      </c>
      <c r="F725" s="50" t="s">
        <v>27</v>
      </c>
      <c r="G725" s="51"/>
    </row>
    <row r="726" spans="1:7" s="50" customFormat="1" ns3:dyDescent="0.2">
      <c r="A726" s="50" t="s">
        <v>234</v>
      </c>
      <c r="B726" s="51">
        <v>3.0732167832167839E-4</v>
      </c>
      <c r="D726" s="50" t="s">
        <v>7</v>
      </c>
      <c r="E726" s="50" t="s">
        <v>245</v>
      </c>
      <c r="F726" s="50" t="s">
        <v>27</v>
      </c>
      <c r="G726" s="51"/>
    </row>
    <row r="727" spans="1:7" s="50" customFormat="1" ns3:dyDescent="0.2">
      <c r="A727" s="50" t="s">
        <v>234</v>
      </c>
      <c r="B727" s="51">
        <v>2.0723076923076927E-3</v>
      </c>
      <c r="D727" s="50" t="s">
        <v>7</v>
      </c>
      <c r="E727" s="50" t="s">
        <v>246</v>
      </c>
      <c r="F727" s="50" t="s">
        <v>27</v>
      </c>
      <c r="G727" s="51"/>
    </row>
    <row r="728" spans="1:7" s="50" customFormat="1" ns3:dyDescent="0.2">
      <c r="A728" s="50" t="s">
        <v>199</v>
      </c>
      <c r="B728" s="51">
        <v>6.3348951048951054E-10</v>
      </c>
      <c r="D728" s="50" t="s">
        <v>7</v>
      </c>
      <c r="E728" s="50" t="s">
        <v>246</v>
      </c>
      <c r="F728" s="50" t="s">
        <v>27</v>
      </c>
      <c r="G728" s="51"/>
    </row>
    <row r="729" spans="1:7" s="50" customFormat="1" ns3:dyDescent="0.2">
      <c r="A729" s="50" t="s">
        <v>235</v>
      </c>
      <c r="B729" s="51">
        <v>2.7811188811188814E-7</v>
      </c>
      <c r="D729" s="50" t="s">
        <v>7</v>
      </c>
      <c r="E729" s="50" t="s">
        <v>245</v>
      </c>
      <c r="F729" s="50" t="s">
        <v>27</v>
      </c>
      <c r="G729" s="51"/>
    </row>
    <row r="730" spans="1:7" s="50" customFormat="1" ns3:dyDescent="0.2">
      <c r="A730" s="50" t="s">
        <v>235</v>
      </c>
      <c r="B730" s="51">
        <v>8.0622377622377625E-8</v>
      </c>
      <c r="D730" s="50" t="s">
        <v>7</v>
      </c>
      <c r="E730" s="50" t="s">
        <v>246</v>
      </c>
      <c r="F730" s="50" t="s">
        <v>27</v>
      </c>
      <c r="G730" s="51"/>
    </row>
    <row r="731" spans="1:7" s="50" customFormat="1" ns3:dyDescent="0.2">
      <c r="A731" s="50" t="s">
        <v>200</v>
      </c>
      <c r="B731" s="51">
        <v>2.6705594405594408E-6</v>
      </c>
      <c r="D731" s="50" t="s">
        <v>7</v>
      </c>
      <c r="E731" s="50" t="s">
        <v>245</v>
      </c>
      <c r="F731" s="50" t="s">
        <v>27</v>
      </c>
      <c r="G731" s="51"/>
    </row>
    <row r="732" spans="1:7" s="50" customFormat="1" ns3:dyDescent="0.2">
      <c r="A732" s="50" t="s">
        <v>200</v>
      </c>
      <c r="B732" s="51">
        <v>5.068111888111889E-10</v>
      </c>
      <c r="D732" s="50" t="s">
        <v>7</v>
      </c>
      <c r="E732" s="50" t="s">
        <v>246</v>
      </c>
      <c r="F732" s="50" t="s">
        <v>27</v>
      </c>
      <c r="G732" s="51"/>
    </row>
    <row r="733" spans="1:7" s="50" customFormat="1" ns3:dyDescent="0.2">
      <c r="A733" s="50" t="s">
        <v>201</v>
      </c>
      <c r="B733" s="51">
        <v>1.0344755244755247E-5</v>
      </c>
      <c r="D733" s="50" t="s">
        <v>7</v>
      </c>
      <c r="E733" s="50" t="s">
        <v>245</v>
      </c>
      <c r="F733" s="50" t="s">
        <v>27</v>
      </c>
      <c r="G733" s="51"/>
    </row>
    <row r="734" spans="1:7" s="50" customFormat="1" ns3:dyDescent="0.2">
      <c r="A734" s="50" t="s">
        <v>201</v>
      </c>
      <c r="B734" s="51">
        <v>9.5223776223776237E-10</v>
      </c>
      <c r="D734" s="50" t="s">
        <v>7</v>
      </c>
      <c r="E734" s="50" t="s">
        <v>246</v>
      </c>
      <c r="F734" s="50" t="s">
        <v>27</v>
      </c>
      <c r="G734" s="51"/>
    </row>
    <row r="735" spans="1:7" s="50" customFormat="1" ns3:dyDescent="0.2">
      <c r="A735" s="50" t="s">
        <v>236</v>
      </c>
      <c r="B735" s="51">
        <v>2.9046153846153848E-4</v>
      </c>
      <c r="D735" s="50" t="s">
        <v>7</v>
      </c>
      <c r="E735" s="50" t="s">
        <v>245</v>
      </c>
      <c r="F735" s="50" t="s">
        <v>27</v>
      </c>
      <c r="G735" s="51"/>
    </row>
    <row r="736" spans="1:7" s="50" customFormat="1" ns3:dyDescent="0.2">
      <c r="A736" s="50" t="s">
        <v>236</v>
      </c>
      <c r="B736" s="51">
        <v>3.2845454545454547E-5</v>
      </c>
      <c r="D736" s="50" t="s">
        <v>7</v>
      </c>
      <c r="E736" s="50" t="s">
        <v>246</v>
      </c>
      <c r="F736" s="50" t="s">
        <v>27</v>
      </c>
      <c r="G736" s="51"/>
    </row>
    <row r="737" spans="1:7" s="50" customFormat="1" ns3:dyDescent="0.2">
      <c r="A737" s="50" t="s">
        <v>237</v>
      </c>
      <c r="B737" s="51">
        <v>8.1384615384615396E-5</v>
      </c>
      <c r="D737" s="50" t="s">
        <v>7</v>
      </c>
      <c r="E737" s="50" t="s">
        <v>245</v>
      </c>
      <c r="F737" s="50" t="s">
        <v>27</v>
      </c>
      <c r="G737" s="51"/>
    </row>
    <row r="738" spans="1:7" s="50" customFormat="1" ns3:dyDescent="0.2">
      <c r="A738" s="50" t="s">
        <v>237</v>
      </c>
      <c r="B738" s="51">
        <v>3.5504195804195805E-5</v>
      </c>
      <c r="D738" s="50" t="s">
        <v>7</v>
      </c>
      <c r="E738" s="50" t="s">
        <v>246</v>
      </c>
      <c r="F738" s="50" t="s">
        <v>27</v>
      </c>
      <c r="G738" s="51"/>
    </row>
    <row r="739" spans="1:7" s="50" customFormat="1" ns3:dyDescent="0.2">
      <c r="A739" s="50" t="s">
        <v>205</v>
      </c>
      <c r="B739" s="51">
        <v>1.0427272727272729</v>
      </c>
      <c r="D739" s="50" t="s">
        <v>17</v>
      </c>
      <c r="E739" s="50" t="s">
        <v>246</v>
      </c>
      <c r="F739" s="50" t="s">
        <v>27</v>
      </c>
      <c r="G739" s="51"/>
    </row>
    <row r="740" spans="1:7" s="50" customFormat="1" ns3:dyDescent="0.2">
      <c r="A740" s="50" t="s">
        <v>257</v>
      </c>
      <c r="B740" s="51">
        <v>6.2913986013986024E-16</v>
      </c>
      <c r="D740" s="50" t="s">
        <v>7</v>
      </c>
      <c r="E740" s="50" t="s">
        <v>245</v>
      </c>
      <c r="F740" s="50" t="s">
        <v>27</v>
      </c>
      <c r="G740" s="51"/>
    </row>
    <row r="741" spans="1:7" s="50" customFormat="1" ns3:dyDescent="0.2">
      <c r="A741" s="50" t="s">
        <v>257</v>
      </c>
      <c r="B741" s="51">
        <v>3.2719580419580427E-8</v>
      </c>
      <c r="D741" s="50" t="s">
        <v>7</v>
      </c>
      <c r="E741" s="50" t="s">
        <v>246</v>
      </c>
      <c r="F741" s="50" t="s">
        <v>27</v>
      </c>
      <c r="G741" s="51"/>
    </row>
    <row r="742" spans="1:7" s="50" customFormat="1" ns3:dyDescent="0.2">
      <c r="A742" s="50" t="s">
        <v>208</v>
      </c>
      <c r="B742" s="51">
        <v>1.8768531468531472E-4</v>
      </c>
      <c r="D742" s="50" t="s">
        <v>7</v>
      </c>
      <c r="E742" s="50" t="s">
        <v>245</v>
      </c>
      <c r="F742" s="50" t="s">
        <v>27</v>
      </c>
      <c r="G742" s="51"/>
    </row>
    <row r="743" spans="1:7" s="50" customFormat="1" ns3:dyDescent="0.2">
      <c r="A743" s="50" t="s">
        <v>208</v>
      </c>
      <c r="B743" s="51">
        <v>7.7041958041958061E-9</v>
      </c>
      <c r="D743" s="50" t="s">
        <v>7</v>
      </c>
      <c r="E743" s="50" t="s">
        <v>246</v>
      </c>
      <c r="F743" s="50" t="s">
        <v>27</v>
      </c>
      <c r="G743" s="51"/>
    </row>
    <row r="744" spans="1:7" s="50" customFormat="1" ns3:dyDescent="0.2">
      <c r="A744" s="50" t="s">
        <v>209</v>
      </c>
      <c r="B744" s="51">
        <v>7.9706293706293717E-6</v>
      </c>
      <c r="D744" s="50" t="s">
        <v>7</v>
      </c>
      <c r="E744" s="50" t="s">
        <v>245</v>
      </c>
      <c r="F744" s="50" t="s">
        <v>27</v>
      </c>
      <c r="G744" s="51"/>
    </row>
    <row r="745" spans="1:7" s="50" customFormat="1" ns3:dyDescent="0.2">
      <c r="A745" s="50" t="s">
        <v>209</v>
      </c>
      <c r="B745" s="51">
        <v>7.713286713286714E-10</v>
      </c>
      <c r="D745" s="50" t="s">
        <v>7</v>
      </c>
      <c r="E745" s="50" t="s">
        <v>246</v>
      </c>
      <c r="F745" s="50" t="s">
        <v>27</v>
      </c>
      <c r="G745" s="51"/>
    </row>
    <row r="746" spans="1:7" s="50" customFormat="1" ns3:dyDescent="0.2">
      <c r="A746" s="50" t="s">
        <v>251</v>
      </c>
      <c r="B746" s="51">
        <v>1.6019580419580422E-3</v>
      </c>
      <c r="D746" s="50" t="s">
        <v>7</v>
      </c>
      <c r="E746" s="50" t="s">
        <v>245</v>
      </c>
      <c r="F746" s="50" t="s">
        <v>27</v>
      </c>
      <c r="G746" s="51"/>
    </row>
    <row r="747" spans="1:7" s="50" customFormat="1" ns3:dyDescent="0.2">
      <c r="A747" s="50" t="s">
        <v>251</v>
      </c>
      <c r="B747" s="51">
        <v>1.3023076923076926E-5</v>
      </c>
      <c r="D747" s="50" t="s">
        <v>7</v>
      </c>
      <c r="E747" s="50" t="s">
        <v>246</v>
      </c>
      <c r="F747" s="50" t="s">
        <v>27</v>
      </c>
      <c r="G747" s="51"/>
    </row>
    <row r="748" spans="1:7" s="50" customFormat="1" ns3:dyDescent="0.2">
      <c r="A748" s="50" t="s">
        <v>210</v>
      </c>
      <c r="B748" s="51">
        <v>2.0843356643356646E-6</v>
      </c>
      <c r="D748" s="50" t="s">
        <v>7</v>
      </c>
      <c r="E748" s="50" t="s">
        <v>245</v>
      </c>
      <c r="F748" s="50" t="s">
        <v>27</v>
      </c>
      <c r="G748" s="51"/>
    </row>
    <row r="749" spans="1:7" s="50" customFormat="1" ns3:dyDescent="0.2">
      <c r="A749" s="50" t="s">
        <v>210</v>
      </c>
      <c r="B749" s="51">
        <v>3.2862237762237769E-10</v>
      </c>
      <c r="D749" s="50" t="s">
        <v>7</v>
      </c>
      <c r="E749" s="50" t="s">
        <v>246</v>
      </c>
      <c r="F749" s="50" t="s">
        <v>27</v>
      </c>
      <c r="G749" s="51"/>
    </row>
    <row r="750" spans="1:7" s="50" customFormat="1" ns3:dyDescent="0.2">
      <c r="A750" s="50" t="s">
        <v>211</v>
      </c>
      <c r="B750" s="51">
        <v>8.9706293706293715E-9</v>
      </c>
      <c r="D750" s="50" t="s">
        <v>7</v>
      </c>
      <c r="E750" s="50" t="s">
        <v>245</v>
      </c>
      <c r="F750" s="50" t="s">
        <v>27</v>
      </c>
      <c r="G750" s="51"/>
    </row>
    <row r="751" spans="1:7" s="50" customFormat="1" ns3:dyDescent="0.2">
      <c r="A751" s="50" t="s">
        <v>211</v>
      </c>
      <c r="B751" s="51">
        <v>2.2719580419580423E-10</v>
      </c>
      <c r="D751" s="50" t="s">
        <v>7</v>
      </c>
      <c r="E751" s="50" t="s">
        <v>246</v>
      </c>
      <c r="F751" s="50" t="s">
        <v>27</v>
      </c>
      <c r="G751" s="51"/>
    </row>
    <row r="752" spans="1:7" s="50" customFormat="1" ns3:dyDescent="0.2">
      <c r="A752" s="50" t="s">
        <v>253</v>
      </c>
      <c r="B752" s="51">
        <v>1.881048951048951E-7</v>
      </c>
      <c r="D752" s="50" t="s">
        <v>7</v>
      </c>
      <c r="E752" s="50" t="s">
        <v>245</v>
      </c>
      <c r="F752" s="50" t="s">
        <v>27</v>
      </c>
      <c r="G752" s="51"/>
    </row>
    <row r="753" spans="1:7" s="50" customFormat="1" ns3:dyDescent="0.2">
      <c r="A753" s="50" t="s">
        <v>253</v>
      </c>
      <c r="B753" s="51">
        <v>4.0596503496503496E-8</v>
      </c>
      <c r="D753" s="50" t="s">
        <v>7</v>
      </c>
      <c r="E753" s="50" t="s">
        <v>246</v>
      </c>
      <c r="F753" s="50" t="s">
        <v>27</v>
      </c>
      <c r="G753" s="51"/>
    </row>
    <row r="754" spans="1:7" s="50" customFormat="1" ns3:dyDescent="0.2">
      <c r="A754" s="50" t="s">
        <v>214</v>
      </c>
      <c r="B754" s="51">
        <v>3.2625174825174831E-6</v>
      </c>
      <c r="D754" s="50" t="s">
        <v>7</v>
      </c>
      <c r="E754" s="50" t="s">
        <v>245</v>
      </c>
      <c r="F754" s="50" t="s">
        <v>27</v>
      </c>
      <c r="G754" s="51"/>
    </row>
    <row r="755" spans="1:7" s="50" customFormat="1" ns3:dyDescent="0.2">
      <c r="A755" s="50" t="s">
        <v>214</v>
      </c>
      <c r="B755" s="51">
        <v>2.2388811188811192E-9</v>
      </c>
      <c r="D755" s="50" t="s">
        <v>7</v>
      </c>
      <c r="E755" s="50" t="s">
        <v>246</v>
      </c>
      <c r="F755" s="50" t="s">
        <v>27</v>
      </c>
      <c r="G755" s="51"/>
    </row>
    <row r="756" spans="1:7" s="50" customFormat="1" ns3:dyDescent="0.2">
      <c r="A756" s="50" t="s">
        <v>238</v>
      </c>
      <c r="B756" s="51">
        <v>8.7503496503496512E-5</v>
      </c>
      <c r="D756" s="50" t="s">
        <v>7</v>
      </c>
      <c r="E756" s="50" t="s">
        <v>245</v>
      </c>
      <c r="F756" s="50" t="s">
        <v>27</v>
      </c>
      <c r="G756" s="51"/>
    </row>
    <row r="757" spans="1:7" s="50" customFormat="1" ns3:dyDescent="0.2">
      <c r="A757" s="50" t="s">
        <v>238</v>
      </c>
      <c r="B757" s="51">
        <v>3.1345454545454552E-5</v>
      </c>
      <c r="D757" s="50" t="s">
        <v>7</v>
      </c>
      <c r="E757" s="50" t="s">
        <v>246</v>
      </c>
      <c r="F757" s="50" t="s">
        <v>27</v>
      </c>
      <c r="G757" s="51"/>
    </row>
    <row r="758" spans="1:7" s="50" customFormat="1" ns3:dyDescent="0.2">
      <c r="A758" s="50" t="s">
        <v>258</v>
      </c>
      <c r="B758" s="51">
        <v>6.198671328671329E-5</v>
      </c>
      <c r="D758" s="50" t="s">
        <v>7</v>
      </c>
      <c r="E758" s="50" t="s">
        <v>245</v>
      </c>
      <c r="F758" s="50" t="s">
        <v>27</v>
      </c>
      <c r="G758" s="51"/>
    </row>
    <row r="759" spans="1:7" s="50" customFormat="1" ns3:dyDescent="0.2">
      <c r="A759" s="50" t="s">
        <v>258</v>
      </c>
      <c r="B759" s="51">
        <v>1.0262237762237762E-6</v>
      </c>
      <c r="D759" s="50" t="s">
        <v>7</v>
      </c>
      <c r="E759" s="50" t="s">
        <v>246</v>
      </c>
      <c r="F759" s="50" t="s">
        <v>27</v>
      </c>
      <c r="G759" s="51"/>
    </row>
    <row r="760" spans="1:7" s="50" customFormat="1" ns3:dyDescent="0.2">
      <c r="A760" s="50" t="s">
        <v>255</v>
      </c>
      <c r="B760" s="51">
        <v>1.5318181818181821E-3</v>
      </c>
      <c r="D760" s="50" t="s">
        <v>7</v>
      </c>
      <c r="E760" s="50" t="s">
        <v>245</v>
      </c>
      <c r="F760" s="50" t="s">
        <v>27</v>
      </c>
      <c r="G760" s="51"/>
    </row>
    <row r="761" spans="1:7" s="50" customFormat="1" ns3:dyDescent="0.2">
      <c r="A761" s="50" t="s">
        <v>255</v>
      </c>
      <c r="B761" s="51">
        <v>5.7888811188811201E-4</v>
      </c>
      <c r="D761" s="50" t="s">
        <v>7</v>
      </c>
      <c r="E761" s="50" t="s">
        <v>246</v>
      </c>
      <c r="F761" s="50" t="s">
        <v>27</v>
      </c>
      <c r="G761" s="51"/>
    </row>
    <row r="762" spans="1:7" s="50" customFormat="1" ns3:dyDescent="0.2">
      <c r="A762" s="50" t="s">
        <v>219</v>
      </c>
      <c r="B762" s="51">
        <v>2.3391608391608392E-7</v>
      </c>
      <c r="D762" s="50" t="s">
        <v>7</v>
      </c>
      <c r="E762" s="50" t="s">
        <v>245</v>
      </c>
      <c r="F762" s="50" t="s">
        <v>27</v>
      </c>
      <c r="G762" s="51"/>
    </row>
    <row r="763" spans="1:7" s="50" customFormat="1" ns3:dyDescent="0.2">
      <c r="A763" s="50" t="s">
        <v>219</v>
      </c>
      <c r="B763" s="51">
        <v>6.0732867132867136E-8</v>
      </c>
      <c r="D763" s="50" t="s">
        <v>7</v>
      </c>
      <c r="E763" s="50" t="s">
        <v>246</v>
      </c>
      <c r="F763" s="50" t="s">
        <v>27</v>
      </c>
      <c r="G763" s="51"/>
    </row>
    <row r="764" spans="1:7" s="50" customFormat="1" ns3:dyDescent="0.2">
      <c r="A764" s="50" t="s">
        <v>239</v>
      </c>
      <c r="B764" s="51">
        <v>1.800699300699301E-3</v>
      </c>
      <c r="D764" s="50" t="s">
        <v>7</v>
      </c>
      <c r="E764" s="50" t="s">
        <v>245</v>
      </c>
      <c r="F764" s="50" t="s">
        <v>27</v>
      </c>
      <c r="G764" s="51"/>
    </row>
    <row r="765" spans="1:7" s="50" customFormat="1" ns3:dyDescent="0.2">
      <c r="A765" s="50" t="s">
        <v>239</v>
      </c>
      <c r="B765" s="51">
        <v>5.7788811188811194E-6</v>
      </c>
      <c r="D765" s="50" t="s">
        <v>7</v>
      </c>
      <c r="E765" s="50" t="s">
        <v>246</v>
      </c>
      <c r="F765" s="50" t="s">
        <v>27</v>
      </c>
      <c r="G765" s="51"/>
    </row>
    <row r="766" spans="1:7" s="50" customFormat="1" ns3:dyDescent="0.2">
      <c r="A766" s="50" t="s">
        <v>240</v>
      </c>
      <c r="B766" s="51">
        <v>5.9879720279720284E-4</v>
      </c>
      <c r="D766" s="50" t="s">
        <v>7</v>
      </c>
      <c r="E766" s="50" t="s">
        <v>245</v>
      </c>
      <c r="F766" s="50" t="s">
        <v>27</v>
      </c>
      <c r="G766" s="51"/>
    </row>
    <row r="767" spans="1:7" s="50" customFormat="1" ns3:dyDescent="0.2">
      <c r="A767" s="50" t="s">
        <v>240</v>
      </c>
      <c r="B767" s="51">
        <v>3.0109790209790214E-4</v>
      </c>
      <c r="D767" s="50" t="s">
        <v>7</v>
      </c>
      <c r="E767" s="50" t="s">
        <v>246</v>
      </c>
      <c r="F767" s="50" t="s">
        <v>27</v>
      </c>
      <c r="G767" s="51"/>
    </row>
    <row r="768" spans="1:7" s="50" customFormat="1" ns3:dyDescent="0.2">
      <c r="A768" s="50" t="s">
        <v>241</v>
      </c>
      <c r="B768" s="51">
        <v>2.1864335664335669E-3</v>
      </c>
      <c r="D768" s="50" t="s">
        <v>7</v>
      </c>
      <c r="E768" s="50" t="s">
        <v>245</v>
      </c>
      <c r="F768" s="50" t="s">
        <v>27</v>
      </c>
      <c r="G768" s="51"/>
    </row>
    <row r="769" spans="1:7" s="50" customFormat="1" ns3:dyDescent="0.2">
      <c r="A769" s="50" t="s">
        <v>241</v>
      </c>
      <c r="B769" s="51">
        <v>3.7369230769230774E-4</v>
      </c>
      <c r="D769" s="50" t="s">
        <v>7</v>
      </c>
      <c r="E769" s="50" t="s">
        <v>246</v>
      </c>
      <c r="F769" s="50" t="s">
        <v>27</v>
      </c>
      <c r="G769" s="51"/>
    </row>
    <row r="770" spans="1:7" s="50" customFormat="1" ns3:dyDescent="0.2">
      <c r="A770" s="50" t="s">
        <v>242</v>
      </c>
      <c r="B770" s="51">
        <v>2.9046153846153848E-4</v>
      </c>
      <c r="D770" s="50" t="s">
        <v>7</v>
      </c>
      <c r="E770" s="50" t="s">
        <v>245</v>
      </c>
      <c r="F770" s="50" t="s">
        <v>27</v>
      </c>
      <c r="G770" s="51"/>
    </row>
    <row r="771" spans="1:7" s="50" customFormat="1" ns3:dyDescent="0.2">
      <c r="A771" s="50" t="s">
        <v>242</v>
      </c>
      <c r="B771" s="51">
        <v>3.2845454545454547E-5</v>
      </c>
      <c r="D771" s="50" t="s">
        <v>7</v>
      </c>
      <c r="E771" s="50" t="s">
        <v>246</v>
      </c>
      <c r="F771" s="50" t="s">
        <v>27</v>
      </c>
      <c r="G771" s="51"/>
    </row>
    <row r="772" spans="1:7" s="50" customFormat="1" ns3:dyDescent="0.2">
      <c r="A772" s="50" t="s">
        <v>223</v>
      </c>
      <c r="B772" s="51">
        <v>6.9021678321678334E-10</v>
      </c>
      <c r="D772" s="50" t="s">
        <v>7</v>
      </c>
      <c r="E772" s="50" t="s">
        <v>245</v>
      </c>
      <c r="F772" s="50" t="s">
        <v>27</v>
      </c>
      <c r="G772" s="51"/>
    </row>
    <row r="773" spans="1:7" s="50" customFormat="1" ns3:dyDescent="0.2">
      <c r="A773" s="50" t="s">
        <v>223</v>
      </c>
      <c r="B773" s="51">
        <v>1.1523076923076923E-12</v>
      </c>
      <c r="D773" s="50" t="s">
        <v>7</v>
      </c>
      <c r="E773" s="50" t="s">
        <v>246</v>
      </c>
      <c r="F773" s="50" t="s">
        <v>27</v>
      </c>
      <c r="G773" s="51"/>
    </row>
    <row r="774" spans="1:7" s="50" customFormat="1" ns3:dyDescent="0.2">
      <c r="A774" s="50" t="s">
        <v>224</v>
      </c>
      <c r="B774" s="51">
        <v>3.2370629370629375E-6</v>
      </c>
      <c r="D774" s="50" t="s">
        <v>7</v>
      </c>
      <c r="E774" s="50" t="s">
        <v>245</v>
      </c>
      <c r="F774" s="50" t="s">
        <v>27</v>
      </c>
      <c r="G774" s="51"/>
    </row>
    <row r="775" spans="1:7" s="50" customFormat="1" ns3:dyDescent="0.2">
      <c r="A775" s="50" t="s">
        <v>224</v>
      </c>
      <c r="B775" s="51">
        <v>4.4090209790209792E-9</v>
      </c>
      <c r="D775" s="50" t="s">
        <v>7</v>
      </c>
      <c r="E775" s="50" t="s">
        <v>246</v>
      </c>
      <c r="F775" s="50" t="s">
        <v>27</v>
      </c>
      <c r="G775" s="51"/>
    </row>
    <row r="776" spans="1:7" s="50" customFormat="1" ns3:dyDescent="0.2">
      <c r="A776" s="50" t="s">
        <v>227</v>
      </c>
      <c r="B776" s="51">
        <v>7.1440559440559459E-7</v>
      </c>
      <c r="D776" s="50" t="s">
        <v>7</v>
      </c>
      <c r="E776" s="50" t="s">
        <v>245</v>
      </c>
      <c r="F776" s="50" t="s">
        <v>27</v>
      </c>
      <c r="G776" s="51"/>
    </row>
    <row r="777" spans="1:7" s="50" customFormat="1" ns3:dyDescent="0.2">
      <c r="A777" s="50" t="s">
        <v>227</v>
      </c>
      <c r="B777" s="51">
        <v>2.6863636363636366E-9</v>
      </c>
      <c r="D777" s="50" t="s">
        <v>7</v>
      </c>
      <c r="E777" s="50" t="s">
        <v>246</v>
      </c>
      <c r="F777" s="50" t="s">
        <v>27</v>
      </c>
      <c r="G777" s="51"/>
    </row>
    <row r="778" spans="1:7" s="50" customFormat="1" ns3:dyDescent="0.2">
      <c r="A778" s="50" t="s">
        <v>228</v>
      </c>
      <c r="B778" s="51">
        <v>2.0299720279720281E-4</v>
      </c>
      <c r="D778" s="50" t="s">
        <v>37</v>
      </c>
      <c r="E778" s="50" t="s">
        <v>246</v>
      </c>
      <c r="F778" s="50" t="s">
        <v>27</v>
      </c>
      <c r="G778" s="51"/>
    </row>
    <row r="779" spans="1:7" s="50" customFormat="1" ns3:dyDescent="0.2">
      <c r="A779" s="50" t="s">
        <v>229</v>
      </c>
      <c r="B779" s="51">
        <v>1.5952447552447555E-5</v>
      </c>
      <c r="D779" s="50" t="s">
        <v>7</v>
      </c>
      <c r="E779" s="50" t="s">
        <v>245</v>
      </c>
      <c r="F779" s="50" t="s">
        <v>27</v>
      </c>
      <c r="G779" s="51"/>
    </row>
    <row r="780" spans="1:7" s="50" customFormat="1" ns3:dyDescent="0.2">
      <c r="A780" s="50" t="s">
        <v>229</v>
      </c>
      <c r="B780" s="51">
        <v>2.1733566433566435E-9</v>
      </c>
      <c r="D780" s="50" t="s">
        <v>7</v>
      </c>
      <c r="E780" s="50" t="s">
        <v>246</v>
      </c>
      <c r="F780" s="50" t="s">
        <v>27</v>
      </c>
      <c r="G780" s="51"/>
    </row>
    <row r="781" spans="1:7" s="50" customFormat="1" ns3:dyDescent="0.2">
      <c r="A781" s="50" t="s">
        <v>243</v>
      </c>
      <c r="B781" s="51">
        <v>0.33606993006993013</v>
      </c>
      <c r="D781" s="50" t="s">
        <v>7</v>
      </c>
      <c r="E781" s="50" t="s">
        <v>111</v>
      </c>
      <c r="F781" s="50" t="s">
        <v>27</v>
      </c>
      <c r="G781" s="51"/>
    </row>
    <row r="782" spans="1:7" s="50" customFormat="1" ns3:dyDescent="0.2">
      <c r="A782" s="50" t="s">
        <v>35</v>
      </c>
      <c r="B782" s="51">
        <f>(1/1.01)*0.71*6.09</f>
        <v>4.2810891089108907</v>
      </c>
      <c r="D782" s="50" t="s">
        <v>17</v>
      </c>
      <c r="E782" s="50" t="s">
        <v>36</v>
      </c>
      <c r="F782" s="50" t="s">
        <v>27</v>
      </c>
      <c r="G782" s="51"/>
    </row>
    <row r="784" spans="1:7" ht="16" ns3:dyDescent="0.2">
      <c r="A784" s="1" t="s">
        <v>0</v>
      </c>
      <c r="B784" s="47" t="s">
        <v>131</v>
      </c>
    </row>
    <row r="785" spans="1:8" ns3:dyDescent="0.2">
      <c r="A785" t="s">
        <v>1</v>
      </c>
      <c r="B785" s="3" t="s">
        <v>104</v>
      </c>
    </row>
    <row r="786" spans="1:8" ns3:dyDescent="0.2">
      <c r="A786" t="s">
        <v>2</v>
      </c>
      <c r="B786" s="3">
        <v>1</v>
      </c>
    </row>
    <row r="787" spans="1:8" ns3:dyDescent="0.2">
      <c r="A787" t="s">
        <v>3</v>
      </c>
      <c r="B787" s="3" t="s">
        <v>132</v>
      </c>
    </row>
    <row r="788" spans="1:8" ns3:dyDescent="0.2">
      <c r="A788" t="s">
        <v>4</v>
      </c>
      <c r="B788" s="3" t="s">
        <v>5</v>
      </c>
    </row>
    <row r="789" spans="1:8" ns3:dyDescent="0.2">
      <c r="A789" t="s">
        <v>6</v>
      </c>
      <c r="B789" s="3" t="s">
        <v>126</v>
      </c>
    </row>
    <row r="790" spans="1:8" ns3:dyDescent="0.2">
      <c r="A790" t="s">
        <v>8</v>
      </c>
      <c r="B790" s="3" t="s">
        <v>122</v>
      </c>
    </row>
    <row r="791" spans="1:8" ns3:dyDescent="0.2">
      <c r="A791" t="s">
        <v>261</v>
      </c>
      <c r="B791" s="23">
        <f>0.33*29%</f>
        <v>9.5699999999999993E-2</v>
      </c>
    </row>
    <row r="792" spans="1:8" ns3:dyDescent="0.2">
      <c r="A792" t="s">
        <v>9</v>
      </c>
      <c r="B792" s="3" t="s">
        <v>260</v>
      </c>
    </row>
    <row r="793" spans="1:8" ht="16" ns3:dyDescent="0.2">
      <c r="A793" s="1" t="s">
        <v>10</v>
      </c>
    </row>
    <row r="794" spans="1:8" ns3:dyDescent="0.2">
      <c r="A794" t="s">
        <v>11</v>
      </c>
      <c r="B794" s="3" t="s">
        <v>12</v>
      </c>
      <c r="C794" t="s">
        <v>1</v>
      </c>
      <c r="D794" t="s">
        <v>6</v>
      </c>
      <c r="E794" t="s">
        <v>13</v>
      </c>
      <c r="F794" t="s">
        <v>4</v>
      </c>
      <c r="G794" t="s">
        <v>9</v>
      </c>
      <c r="H794" t="s">
        <v>3</v>
      </c>
    </row>
    <row r="795" spans="1:8" ns3:dyDescent="0.2">
      <c r="A795" s="3" t="str">
        <f>B784</f>
        <v>electricity production, from biowaste, municipal incineration, energy allocation</v>
      </c>
      <c r="B795" s="3">
        <v>1</v>
      </c>
      <c r="C795" s="3" t="str">
        <f>B785</f>
        <v>CH</v>
      </c>
      <c r="D795" s="3" t="str">
        <f>B789</f>
        <v>kilowatt hour</v>
      </c>
      <c r="F795" t="s">
        <v>15</v>
      </c>
      <c r="G795" t="s">
        <v>16</v>
      </c>
      <c r="H795" s="3" t="str">
        <f>B787</f>
        <v>electricity, from biowaste, municipal incineration, energy allocation</v>
      </c>
    </row>
    <row r="796" spans="1:8" s="50" customFormat="1" ns3:dyDescent="0.2">
      <c r="A796" s="50" t="s">
        <v>110</v>
      </c>
      <c r="B796" s="52">
        <f>B830</f>
        <v>1.2993734265734267</v>
      </c>
      <c r="D796" s="50" t="s">
        <v>7</v>
      </c>
      <c r="E796" s="50" t="s">
        <v>111</v>
      </c>
      <c r="F796" s="50" t="s">
        <v>27</v>
      </c>
      <c r="G796" s="50" t="s">
        <v>259</v>
      </c>
    </row>
    <row r="797" spans="1:8" s="50" customFormat="1" ns3:dyDescent="0.2">
      <c r="A797" s="50" t="s">
        <v>149</v>
      </c>
      <c r="B797" s="51">
        <v>1.3506041958041958E-3</v>
      </c>
      <c r="C797" s="50" t="s">
        <v>103</v>
      </c>
      <c r="D797" s="50" t="s">
        <v>7</v>
      </c>
      <c r="F797" t="s">
        <v>18</v>
      </c>
      <c r="G797" s="51"/>
      <c r="H797" s="50" t="s">
        <v>170</v>
      </c>
    </row>
    <row r="798" spans="1:8" s="50" customFormat="1" ns3:dyDescent="0.2">
      <c r="A798" s="50" t="s">
        <v>150</v>
      </c>
      <c r="B798" s="51">
        <v>7.7900979020979017E-7</v>
      </c>
      <c r="C798" s="50" t="s">
        <v>103</v>
      </c>
      <c r="D798" s="50" t="s">
        <v>7</v>
      </c>
      <c r="F798" t="s">
        <v>18</v>
      </c>
      <c r="G798" s="51"/>
      <c r="H798" s="50" t="s">
        <v>171</v>
      </c>
    </row>
    <row r="799" spans="1:8" s="50" customFormat="1" ns3:dyDescent="0.2">
      <c r="A799" s="50" t="s">
        <v>168</v>
      </c>
      <c r="B799" s="51">
        <v>1.3297090909090909E-2</v>
      </c>
      <c r="C799" s="50" t="s">
        <v>104</v>
      </c>
      <c r="D799" s="50" t="s">
        <v>7</v>
      </c>
      <c r="F799" t="s">
        <v>18</v>
      </c>
      <c r="G799" s="51"/>
      <c r="H799" s="50" t="s">
        <v>186</v>
      </c>
    </row>
    <row r="800" spans="1:8" s="50" customFormat="1" ns3:dyDescent="0.2">
      <c r="A800" s="50" t="s">
        <v>151</v>
      </c>
      <c r="B800" s="51">
        <v>1.8246461538461538E-4</v>
      </c>
      <c r="C800" s="50" t="s">
        <v>24</v>
      </c>
      <c r="D800" s="50" t="s">
        <v>7</v>
      </c>
      <c r="F800" t="s">
        <v>18</v>
      </c>
      <c r="G800" s="51"/>
      <c r="H800" s="50" t="s">
        <v>172</v>
      </c>
    </row>
    <row r="801" spans="1:8" s="50" customFormat="1" ns3:dyDescent="0.2">
      <c r="A801" s="50" t="s">
        <v>152</v>
      </c>
      <c r="B801" s="51">
        <v>1.4113258741258742E-6</v>
      </c>
      <c r="C801" s="50" t="s">
        <v>24</v>
      </c>
      <c r="D801" s="50" t="s">
        <v>7</v>
      </c>
      <c r="F801" t="s">
        <v>18</v>
      </c>
      <c r="G801" s="51"/>
      <c r="H801" s="50" t="s">
        <v>173</v>
      </c>
    </row>
    <row r="802" spans="1:8" s="50" customFormat="1" ns3:dyDescent="0.2">
      <c r="A802" t="s">
        <v>493</v>
      </c>
      <c r="B802" s="51">
        <v>1.7269174825174825E-6</v>
      </c>
      <c r="C802" s="50" t="s">
        <v>24</v>
      </c>
      <c r="D802" s="50" t="s">
        <v>7</v>
      </c>
      <c r="F802" t="s">
        <v>18</v>
      </c>
      <c r="G802" s="51"/>
      <c r="H802" t="s">
        <v>494</v>
      </c>
    </row>
    <row r="803" spans="1:8" s="50" customFormat="1" ns3:dyDescent="0.2">
      <c r="A803" s="50" t="s">
        <v>169</v>
      </c>
      <c r="B803" s="51">
        <v>0.25255384615384618</v>
      </c>
      <c r="C803" s="50" t="s">
        <v>104</v>
      </c>
      <c r="D803" s="50" t="s">
        <v>17</v>
      </c>
      <c r="F803" t="s">
        <v>18</v>
      </c>
      <c r="G803" s="51"/>
      <c r="H803" s="50" t="s">
        <v>187</v>
      </c>
    </row>
    <row r="804" spans="1:8" s="50" customFormat="1" ns3:dyDescent="0.2">
      <c r="A804" s="50" t="s">
        <v>153</v>
      </c>
      <c r="B804" s="51">
        <v>9.6930629370629373E-4</v>
      </c>
      <c r="C804" s="50" t="s">
        <v>103</v>
      </c>
      <c r="D804" s="50" t="s">
        <v>7</v>
      </c>
      <c r="F804" t="s">
        <v>18</v>
      </c>
      <c r="G804" s="51"/>
      <c r="H804" s="50" t="s">
        <v>174</v>
      </c>
    </row>
    <row r="805" spans="1:8" s="50" customFormat="1" ns3:dyDescent="0.2">
      <c r="A805" s="50" t="s">
        <v>154</v>
      </c>
      <c r="B805" s="51">
        <v>2.3449846153846157E-3</v>
      </c>
      <c r="C805" s="50" t="s">
        <v>103</v>
      </c>
      <c r="D805" s="50" t="s">
        <v>7</v>
      </c>
      <c r="F805" t="s">
        <v>18</v>
      </c>
      <c r="G805" s="51"/>
      <c r="H805" s="50" t="s">
        <v>175</v>
      </c>
    </row>
    <row r="806" spans="1:8" s="50" customFormat="1" ns3:dyDescent="0.2">
      <c r="A806" s="50" t="s">
        <v>155</v>
      </c>
      <c r="B806" s="51">
        <v>2.7382657342657343E-6</v>
      </c>
      <c r="C806" s="50" t="s">
        <v>24</v>
      </c>
      <c r="D806" s="50" t="s">
        <v>7</v>
      </c>
      <c r="F806" t="s">
        <v>18</v>
      </c>
      <c r="G806" s="51"/>
      <c r="H806" t="s">
        <v>474</v>
      </c>
    </row>
    <row r="807" spans="1:8" s="50" customFormat="1" ns3:dyDescent="0.2">
      <c r="A807" s="50" t="s">
        <v>156</v>
      </c>
      <c r="B807" s="51">
        <v>-7.2954125874125876E-3</v>
      </c>
      <c r="C807" s="50" t="s">
        <v>24</v>
      </c>
      <c r="D807" s="50" t="s">
        <v>7</v>
      </c>
      <c r="F807" t="s">
        <v>18</v>
      </c>
      <c r="G807" s="51"/>
      <c r="H807" s="50" t="s">
        <v>176</v>
      </c>
    </row>
    <row r="808" spans="1:8" s="50" customFormat="1" ns3:dyDescent="0.2">
      <c r="A808" s="50" t="s">
        <v>157</v>
      </c>
      <c r="B808" s="51">
        <v>6.2937062937062938E-10</v>
      </c>
      <c r="C808" s="50" t="s">
        <v>104</v>
      </c>
      <c r="D808" s="50" t="s">
        <v>6</v>
      </c>
      <c r="F808" t="s">
        <v>18</v>
      </c>
      <c r="G808" s="51"/>
      <c r="H808" s="50" t="s">
        <v>177</v>
      </c>
    </row>
    <row r="809" spans="1:8" s="50" customFormat="1" ns3:dyDescent="0.2">
      <c r="A809" s="50" t="s">
        <v>158</v>
      </c>
      <c r="B809" s="51">
        <v>6.6277762237762244E-2</v>
      </c>
      <c r="C809" s="50" t="s">
        <v>104</v>
      </c>
      <c r="D809" s="50" t="s">
        <v>7</v>
      </c>
      <c r="F809" t="s">
        <v>18</v>
      </c>
      <c r="G809" s="51"/>
      <c r="H809" s="50" t="s">
        <v>158</v>
      </c>
    </row>
    <row r="810" spans="1:8" s="50" customFormat="1" ns3:dyDescent="0.2">
      <c r="A810" s="50" t="s">
        <v>159</v>
      </c>
      <c r="B810" s="51">
        <v>0.35916923076923074</v>
      </c>
      <c r="C810" s="50" t="s">
        <v>104</v>
      </c>
      <c r="D810" s="50" t="s">
        <v>7</v>
      </c>
      <c r="F810" t="s">
        <v>18</v>
      </c>
      <c r="G810" s="51"/>
      <c r="H810" s="50" t="s">
        <v>159</v>
      </c>
    </row>
    <row r="811" spans="1:8" s="50" customFormat="1" ns3:dyDescent="0.2">
      <c r="A811" s="50" t="s">
        <v>160</v>
      </c>
      <c r="B811" s="51">
        <v>3.4741258741258739E-3</v>
      </c>
      <c r="C811" s="50" t="s">
        <v>103</v>
      </c>
      <c r="D811" s="50" t="s">
        <v>7</v>
      </c>
      <c r="F811" t="s">
        <v>18</v>
      </c>
      <c r="G811" s="51"/>
      <c r="H811" s="50" t="s">
        <v>178</v>
      </c>
    </row>
    <row r="812" spans="1:8" s="50" customFormat="1" ns3:dyDescent="0.2">
      <c r="A812" s="50" t="s">
        <v>161</v>
      </c>
      <c r="B812" s="51">
        <v>1.3807888111888113E-10</v>
      </c>
      <c r="C812" s="50" t="s">
        <v>104</v>
      </c>
      <c r="D812" s="50" t="s">
        <v>6</v>
      </c>
      <c r="F812" t="s">
        <v>18</v>
      </c>
      <c r="G812" s="51"/>
      <c r="H812" s="50" t="s">
        <v>179</v>
      </c>
    </row>
    <row r="813" spans="1:8" s="50" customFormat="1" ns3:dyDescent="0.2">
      <c r="A813" s="50" t="s">
        <v>162</v>
      </c>
      <c r="B813" s="51">
        <v>6.3850909090909091E-10</v>
      </c>
      <c r="C813" s="50" t="s">
        <v>104</v>
      </c>
      <c r="D813" s="50" t="s">
        <v>6</v>
      </c>
      <c r="F813" t="s">
        <v>18</v>
      </c>
      <c r="G813" s="51"/>
      <c r="H813" s="50" t="s">
        <v>180</v>
      </c>
    </row>
    <row r="814" spans="1:8" s="50" customFormat="1" ns3:dyDescent="0.2">
      <c r="A814" s="50" t="s">
        <v>163</v>
      </c>
      <c r="B814" s="51">
        <v>2.7211468531468533E-3</v>
      </c>
      <c r="C814" s="3" t="s">
        <v>267</v>
      </c>
      <c r="D814" s="50" t="s">
        <v>7</v>
      </c>
      <c r="F814" t="s">
        <v>18</v>
      </c>
      <c r="G814" s="51"/>
      <c r="H814" s="50" t="s">
        <v>181</v>
      </c>
    </row>
    <row r="815" spans="1:8" s="50" customFormat="1" ns3:dyDescent="0.2">
      <c r="A815" s="50" t="s">
        <v>164</v>
      </c>
      <c r="B815" s="51">
        <v>-8.199944055944056E-7</v>
      </c>
      <c r="C815" s="50" t="s">
        <v>24</v>
      </c>
      <c r="D815" s="50" t="s">
        <v>7</v>
      </c>
      <c r="F815" t="s">
        <v>18</v>
      </c>
      <c r="G815" s="51"/>
      <c r="H815" s="50" t="s">
        <v>182</v>
      </c>
    </row>
    <row r="816" spans="1:8" s="50" customFormat="1" ns3:dyDescent="0.2">
      <c r="A816" s="50" t="s">
        <v>165</v>
      </c>
      <c r="B816" s="51">
        <v>8.4620139860139854E-5</v>
      </c>
      <c r="C816" s="50" t="s">
        <v>103</v>
      </c>
      <c r="D816" s="50" t="s">
        <v>7</v>
      </c>
      <c r="F816" t="s">
        <v>18</v>
      </c>
      <c r="G816" s="51"/>
      <c r="H816" s="50" t="s">
        <v>183</v>
      </c>
    </row>
    <row r="817" spans="1:8" s="50" customFormat="1" ns3:dyDescent="0.2">
      <c r="A817" s="50" t="s">
        <v>81</v>
      </c>
      <c r="B817" s="51">
        <v>1.6437146853146851E-2</v>
      </c>
      <c r="C817" s="50" t="s">
        <v>103</v>
      </c>
      <c r="D817" s="50" t="s">
        <v>28</v>
      </c>
      <c r="F817" t="s">
        <v>18</v>
      </c>
      <c r="G817" s="51"/>
      <c r="H817" s="50" t="s">
        <v>82</v>
      </c>
    </row>
    <row r="818" spans="1:8" s="50" customFormat="1" ns3:dyDescent="0.2">
      <c r="A818" s="50" t="s">
        <v>166</v>
      </c>
      <c r="B818" s="51">
        <v>-3.324335664335664E-2</v>
      </c>
      <c r="C818" s="50" t="s">
        <v>104</v>
      </c>
      <c r="D818" s="50" t="s">
        <v>7</v>
      </c>
      <c r="F818" t="s">
        <v>18</v>
      </c>
      <c r="G818" s="51"/>
      <c r="H818" s="50" t="s">
        <v>184</v>
      </c>
    </row>
    <row r="819" spans="1:8" s="50" customFormat="1" ns3:dyDescent="0.2">
      <c r="A819" s="50" t="s">
        <v>167</v>
      </c>
      <c r="B819" s="51">
        <v>2.1630965034965035</v>
      </c>
      <c r="C819" s="50" t="s">
        <v>104</v>
      </c>
      <c r="D819" s="50" t="s">
        <v>7</v>
      </c>
      <c r="F819" t="s">
        <v>18</v>
      </c>
      <c r="G819" s="51"/>
      <c r="H819" s="50" t="s">
        <v>185</v>
      </c>
    </row>
    <row r="820" spans="1:8" s="50" customFormat="1" ns3:dyDescent="0.2">
      <c r="A820" s="50" t="s">
        <v>188</v>
      </c>
      <c r="B820" s="51">
        <v>1.7894013986013986E-8</v>
      </c>
      <c r="D820" s="50" t="s">
        <v>7</v>
      </c>
      <c r="E820" s="50" t="s">
        <v>244</v>
      </c>
      <c r="F820" s="50" t="s">
        <v>27</v>
      </c>
      <c r="G820" s="51"/>
    </row>
    <row r="821" spans="1:8" s="50" customFormat="1" ns3:dyDescent="0.2">
      <c r="A821" s="50" t="s">
        <v>189</v>
      </c>
      <c r="B821" s="51">
        <v>1.5879776223776225E-6</v>
      </c>
      <c r="D821" s="50" t="s">
        <v>7</v>
      </c>
      <c r="E821" s="50" t="s">
        <v>244</v>
      </c>
      <c r="F821" s="50" t="s">
        <v>27</v>
      </c>
      <c r="G821" s="51"/>
    </row>
    <row r="822" spans="1:8" s="50" customFormat="1" ns3:dyDescent="0.2">
      <c r="A822" s="50" t="s">
        <v>191</v>
      </c>
      <c r="B822" s="51">
        <v>3.44013986013986E-8</v>
      </c>
      <c r="D822" s="50" t="s">
        <v>7</v>
      </c>
      <c r="E822" s="50" t="s">
        <v>244</v>
      </c>
      <c r="F822" s="50" t="s">
        <v>27</v>
      </c>
      <c r="G822" s="51"/>
    </row>
    <row r="823" spans="1:8" s="50" customFormat="1" ns3:dyDescent="0.2">
      <c r="A823" s="50" t="s">
        <v>193</v>
      </c>
      <c r="B823" s="51">
        <v>1.0477258741258742E-7</v>
      </c>
      <c r="D823" s="50" t="s">
        <v>7</v>
      </c>
      <c r="E823" s="50" t="s">
        <v>244</v>
      </c>
      <c r="F823" s="50" t="s">
        <v>27</v>
      </c>
      <c r="G823" s="51"/>
    </row>
    <row r="824" spans="1:8" s="50" customFormat="1" ns3:dyDescent="0.2">
      <c r="A824" s="50" t="s">
        <v>194</v>
      </c>
      <c r="B824" s="51">
        <v>2.1907384615384614E-10</v>
      </c>
      <c r="D824" s="50" t="s">
        <v>7</v>
      </c>
      <c r="E824" s="50" t="s">
        <v>244</v>
      </c>
      <c r="F824" s="50" t="s">
        <v>27</v>
      </c>
      <c r="G824" s="51"/>
    </row>
    <row r="825" spans="1:8" s="50" customFormat="1" ns3:dyDescent="0.2">
      <c r="A825" t="s">
        <v>477</v>
      </c>
      <c r="B825" s="51">
        <v>5.5354405594405596E-10</v>
      </c>
      <c r="D825" s="50" t="s">
        <v>7</v>
      </c>
      <c r="E825" s="50" t="s">
        <v>244</v>
      </c>
      <c r="F825" s="50" t="s">
        <v>27</v>
      </c>
      <c r="G825" s="51"/>
    </row>
    <row r="826" spans="1:8" s="50" customFormat="1" ns3:dyDescent="0.2">
      <c r="A826" s="50" t="s">
        <v>195</v>
      </c>
      <c r="B826" s="51">
        <v>2.331516083916084E-12</v>
      </c>
      <c r="D826" s="50" t="s">
        <v>7</v>
      </c>
      <c r="E826" s="50" t="s">
        <v>244</v>
      </c>
      <c r="F826" s="50" t="s">
        <v>27</v>
      </c>
      <c r="G826" s="51"/>
    </row>
    <row r="827" spans="1:8" s="50" customFormat="1" ns3:dyDescent="0.2">
      <c r="A827" s="50" t="s">
        <v>196</v>
      </c>
      <c r="B827" s="51">
        <v>6.5806993006993006E-9</v>
      </c>
      <c r="D827" s="50" t="s">
        <v>7</v>
      </c>
      <c r="E827" s="50" t="s">
        <v>244</v>
      </c>
      <c r="F827" s="50" t="s">
        <v>27</v>
      </c>
      <c r="G827" s="51"/>
    </row>
    <row r="828" spans="1:8" s="50" customFormat="1" ns3:dyDescent="0.2">
      <c r="A828" s="50" t="s">
        <v>197</v>
      </c>
      <c r="B828" s="51">
        <v>1.5445258741258742E-10</v>
      </c>
      <c r="D828" s="50" t="s">
        <v>7</v>
      </c>
      <c r="E828" s="50" t="s">
        <v>244</v>
      </c>
      <c r="F828" s="50" t="s">
        <v>27</v>
      </c>
      <c r="G828" s="51"/>
    </row>
    <row r="829" spans="1:8" s="50" customFormat="1" ns3:dyDescent="0.2">
      <c r="A829" s="50" t="s">
        <v>248</v>
      </c>
      <c r="B829" s="51">
        <v>3.7671608391608396E-4</v>
      </c>
      <c r="D829" s="50" t="s">
        <v>7</v>
      </c>
      <c r="E829" s="50" t="s">
        <v>244</v>
      </c>
      <c r="F829" s="50" t="s">
        <v>27</v>
      </c>
      <c r="G829" s="51"/>
    </row>
    <row r="830" spans="1:8" s="50" customFormat="1" ns3:dyDescent="0.2">
      <c r="A830" s="50" t="s">
        <v>135</v>
      </c>
      <c r="B830" s="51">
        <v>1.2993734265734267</v>
      </c>
      <c r="D830" s="50" t="s">
        <v>7</v>
      </c>
      <c r="E830" s="50" t="s">
        <v>244</v>
      </c>
      <c r="F830" s="50" t="s">
        <v>27</v>
      </c>
      <c r="G830" s="51"/>
    </row>
    <row r="831" spans="1:8" s="50" customFormat="1" ns3:dyDescent="0.2">
      <c r="A831" s="50" t="s">
        <v>249</v>
      </c>
      <c r="B831" s="51">
        <v>1.780993006993007E-4</v>
      </c>
      <c r="D831" s="50" t="s">
        <v>7</v>
      </c>
      <c r="E831" s="50" t="s">
        <v>244</v>
      </c>
      <c r="F831" s="50" t="s">
        <v>27</v>
      </c>
      <c r="G831" s="51"/>
    </row>
    <row r="832" spans="1:8" s="50" customFormat="1" ns3:dyDescent="0.2">
      <c r="A832" s="50" t="s">
        <v>199</v>
      </c>
      <c r="B832" s="51">
        <v>1.5339272727272729E-8</v>
      </c>
      <c r="D832" s="50" t="s">
        <v>7</v>
      </c>
      <c r="E832" s="50" t="s">
        <v>244</v>
      </c>
      <c r="F832" s="50" t="s">
        <v>27</v>
      </c>
      <c r="G832" s="51"/>
    </row>
    <row r="833" spans="1:7" s="50" customFormat="1" ns3:dyDescent="0.2">
      <c r="A833" s="50" t="s">
        <v>200</v>
      </c>
      <c r="B833" s="51">
        <v>1.9967160839160839E-8</v>
      </c>
      <c r="D833" s="50" t="s">
        <v>7</v>
      </c>
      <c r="E833" s="50" t="s">
        <v>244</v>
      </c>
      <c r="F833" s="50" t="s">
        <v>27</v>
      </c>
      <c r="G833" s="51"/>
    </row>
    <row r="834" spans="1:7" s="50" customFormat="1" ns3:dyDescent="0.2">
      <c r="A834" s="50" t="s">
        <v>201</v>
      </c>
      <c r="B834" s="51">
        <v>3.6201398601398602E-9</v>
      </c>
      <c r="D834" s="50" t="s">
        <v>7</v>
      </c>
      <c r="E834" s="50" t="s">
        <v>244</v>
      </c>
      <c r="F834" s="50" t="s">
        <v>27</v>
      </c>
      <c r="G834" s="51"/>
    </row>
    <row r="835" spans="1:7" s="50" customFormat="1" ns3:dyDescent="0.2">
      <c r="A835" s="50" t="s">
        <v>202</v>
      </c>
      <c r="B835" s="51">
        <v>2.8142937062937061E-5</v>
      </c>
      <c r="D835" s="50" t="s">
        <v>7</v>
      </c>
      <c r="E835" s="50" t="s">
        <v>244</v>
      </c>
      <c r="F835" s="50" t="s">
        <v>27</v>
      </c>
      <c r="G835" s="51"/>
    </row>
    <row r="836" spans="1:7" s="50" customFormat="1" ns3:dyDescent="0.2">
      <c r="A836" s="50" t="s">
        <v>203</v>
      </c>
      <c r="B836" s="51">
        <v>1.3099972027972028E-4</v>
      </c>
      <c r="D836" s="50" t="s">
        <v>7</v>
      </c>
      <c r="E836" s="50" t="s">
        <v>244</v>
      </c>
      <c r="F836" s="50" t="s">
        <v>27</v>
      </c>
      <c r="G836" s="51"/>
    </row>
    <row r="837" spans="1:7" s="50" customFormat="1" ns3:dyDescent="0.2">
      <c r="A837" s="50" t="s">
        <v>204</v>
      </c>
      <c r="B837" s="51">
        <v>2.0953006993006993E-13</v>
      </c>
      <c r="D837" s="50" t="s">
        <v>7</v>
      </c>
      <c r="E837" s="50" t="s">
        <v>244</v>
      </c>
      <c r="F837" s="50" t="s">
        <v>27</v>
      </c>
      <c r="G837" s="51"/>
    </row>
    <row r="838" spans="1:7" s="50" customFormat="1" ns3:dyDescent="0.2">
      <c r="A838" s="50" t="s">
        <v>205</v>
      </c>
      <c r="B838" s="51">
        <v>11.186685314685315</v>
      </c>
      <c r="D838" s="50" t="s">
        <v>17</v>
      </c>
      <c r="E838" s="50" t="s">
        <v>244</v>
      </c>
      <c r="F838" s="50" t="s">
        <v>27</v>
      </c>
      <c r="G838" s="51"/>
    </row>
    <row r="839" spans="1:7" s="50" customFormat="1" ns3:dyDescent="0.2">
      <c r="A839" s="50" t="s">
        <v>206</v>
      </c>
      <c r="B839" s="51">
        <v>5.0120559440559441E-6</v>
      </c>
      <c r="D839" s="50" t="s">
        <v>7</v>
      </c>
      <c r="E839" s="50" t="s">
        <v>244</v>
      </c>
      <c r="F839" s="50" t="s">
        <v>27</v>
      </c>
      <c r="G839" s="51"/>
    </row>
    <row r="840" spans="1:7" s="50" customFormat="1" ns3:dyDescent="0.2">
      <c r="A840" s="50" t="s">
        <v>207</v>
      </c>
      <c r="B840" s="51">
        <v>2.9628251748251747E-6</v>
      </c>
      <c r="D840" s="50" t="s">
        <v>7</v>
      </c>
      <c r="E840" s="50" t="s">
        <v>244</v>
      </c>
      <c r="F840" s="50" t="s">
        <v>27</v>
      </c>
      <c r="G840" s="51"/>
    </row>
    <row r="841" spans="1:7" s="50" customFormat="1" ns3:dyDescent="0.2">
      <c r="A841" s="50" t="s">
        <v>250</v>
      </c>
      <c r="B841" s="51">
        <v>6.7027972027972023E-11</v>
      </c>
      <c r="D841" s="50" t="s">
        <v>7</v>
      </c>
      <c r="E841" s="50" t="s">
        <v>244</v>
      </c>
      <c r="F841" s="50" t="s">
        <v>27</v>
      </c>
      <c r="G841" s="51"/>
    </row>
    <row r="842" spans="1:7" s="50" customFormat="1" ns3:dyDescent="0.2">
      <c r="A842" s="50" t="s">
        <v>208</v>
      </c>
      <c r="B842" s="51">
        <v>2.3611468531468532E-9</v>
      </c>
      <c r="D842" s="50" t="s">
        <v>7</v>
      </c>
      <c r="E842" s="50" t="s">
        <v>244</v>
      </c>
      <c r="F842" s="50" t="s">
        <v>27</v>
      </c>
      <c r="G842" s="51"/>
    </row>
    <row r="843" spans="1:7" s="50" customFormat="1" ns3:dyDescent="0.2">
      <c r="A843" s="50" t="s">
        <v>209</v>
      </c>
      <c r="B843" s="51">
        <v>3.3575664335664339E-9</v>
      </c>
      <c r="D843" s="50" t="s">
        <v>7</v>
      </c>
      <c r="E843" s="50" t="s">
        <v>244</v>
      </c>
      <c r="F843" s="50" t="s">
        <v>27</v>
      </c>
      <c r="G843" s="51"/>
    </row>
    <row r="844" spans="1:7" s="50" customFormat="1" ns3:dyDescent="0.2">
      <c r="A844" s="50" t="s">
        <v>251</v>
      </c>
      <c r="B844" s="51">
        <v>6.5313566433566434E-6</v>
      </c>
      <c r="D844" s="50" t="s">
        <v>7</v>
      </c>
      <c r="E844" s="50" t="s">
        <v>244</v>
      </c>
      <c r="F844" s="50" t="s">
        <v>27</v>
      </c>
      <c r="G844" s="51"/>
    </row>
    <row r="845" spans="1:7" s="50" customFormat="1" ns3:dyDescent="0.2">
      <c r="A845" s="50" t="s">
        <v>210</v>
      </c>
      <c r="B845" s="51">
        <v>1.8031972027972029E-9</v>
      </c>
      <c r="D845" s="50" t="s">
        <v>7</v>
      </c>
      <c r="E845" s="50" t="s">
        <v>244</v>
      </c>
      <c r="F845" s="50" t="s">
        <v>27</v>
      </c>
      <c r="G845" s="51"/>
    </row>
    <row r="846" spans="1:7" s="50" customFormat="1" ns3:dyDescent="0.2">
      <c r="A846" s="50" t="s">
        <v>211</v>
      </c>
      <c r="B846" s="51">
        <v>4.3580139860139859E-9</v>
      </c>
      <c r="D846" s="50" t="s">
        <v>7</v>
      </c>
      <c r="E846" s="50" t="s">
        <v>244</v>
      </c>
      <c r="F846" s="50" t="s">
        <v>27</v>
      </c>
      <c r="G846" s="51"/>
    </row>
    <row r="847" spans="1:7" s="50" customFormat="1" ns3:dyDescent="0.2">
      <c r="A847" s="50" t="s">
        <v>252</v>
      </c>
      <c r="B847" s="51">
        <v>1.5715888111888111E-6</v>
      </c>
      <c r="D847" s="50" t="s">
        <v>7</v>
      </c>
      <c r="E847" s="50" t="s">
        <v>244</v>
      </c>
      <c r="F847" s="50" t="s">
        <v>27</v>
      </c>
      <c r="G847" s="51"/>
    </row>
    <row r="848" spans="1:7" s="50" customFormat="1" ns3:dyDescent="0.2">
      <c r="A848" s="50" t="s">
        <v>253</v>
      </c>
      <c r="B848" s="51">
        <v>1.1556755244755246E-9</v>
      </c>
      <c r="D848" s="50" t="s">
        <v>7</v>
      </c>
      <c r="E848" s="50" t="s">
        <v>244</v>
      </c>
      <c r="F848" s="50" t="s">
        <v>27</v>
      </c>
      <c r="G848" s="51"/>
    </row>
    <row r="849" spans="1:7" s="50" customFormat="1" ns3:dyDescent="0.2">
      <c r="A849" s="50" t="s">
        <v>213</v>
      </c>
      <c r="B849" s="51">
        <v>4.768111888111888E-6</v>
      </c>
      <c r="D849" s="50" t="s">
        <v>7</v>
      </c>
      <c r="E849" s="50" t="s">
        <v>244</v>
      </c>
      <c r="F849" s="50" t="s">
        <v>27</v>
      </c>
      <c r="G849" s="51"/>
    </row>
    <row r="850" spans="1:7" s="50" customFormat="1" ns3:dyDescent="0.2">
      <c r="A850" s="50" t="s">
        <v>214</v>
      </c>
      <c r="B850" s="51">
        <v>1.4950573426573428E-8</v>
      </c>
      <c r="D850" s="50" t="s">
        <v>7</v>
      </c>
      <c r="E850" s="50" t="s">
        <v>244</v>
      </c>
      <c r="F850" s="50" t="s">
        <v>27</v>
      </c>
      <c r="G850" s="51"/>
    </row>
    <row r="851" spans="1:7" s="50" customFormat="1" ns3:dyDescent="0.2">
      <c r="A851" s="50" t="s">
        <v>215</v>
      </c>
      <c r="B851" s="51">
        <v>5.0286713286713293E-4</v>
      </c>
      <c r="D851" s="50" t="s">
        <v>7</v>
      </c>
      <c r="E851" s="50" t="s">
        <v>244</v>
      </c>
      <c r="F851" s="50" t="s">
        <v>27</v>
      </c>
      <c r="G851" s="51"/>
    </row>
    <row r="852" spans="1:7" s="50" customFormat="1" ns3:dyDescent="0.2">
      <c r="A852" s="50" t="s">
        <v>216</v>
      </c>
      <c r="B852" s="51">
        <v>1.2508867132867133E-5</v>
      </c>
      <c r="D852" s="50" t="s">
        <v>7</v>
      </c>
      <c r="E852" s="50" t="s">
        <v>244</v>
      </c>
      <c r="F852" s="50" t="s">
        <v>27</v>
      </c>
      <c r="G852" s="51"/>
    </row>
    <row r="853" spans="1:7" s="50" customFormat="1" ns3:dyDescent="0.2">
      <c r="A853" s="50" t="s">
        <v>217</v>
      </c>
      <c r="B853" s="51">
        <v>6.2859020979020983E-8</v>
      </c>
      <c r="D853" s="50" t="s">
        <v>7</v>
      </c>
      <c r="E853" s="50" t="s">
        <v>244</v>
      </c>
      <c r="F853" s="50" t="s">
        <v>27</v>
      </c>
      <c r="G853" s="51"/>
    </row>
    <row r="854" spans="1:7" s="50" customFormat="1" ns3:dyDescent="0.2">
      <c r="A854" s="50" t="s">
        <v>218</v>
      </c>
      <c r="B854" s="51">
        <v>4.5626853146853149E-11</v>
      </c>
      <c r="D854" s="50" t="s">
        <v>7</v>
      </c>
      <c r="E854" s="50" t="s">
        <v>244</v>
      </c>
      <c r="F854" s="50" t="s">
        <v>27</v>
      </c>
      <c r="G854" s="51"/>
    </row>
    <row r="855" spans="1:7" s="50" customFormat="1" ns3:dyDescent="0.2">
      <c r="A855" s="50" t="s">
        <v>254</v>
      </c>
      <c r="B855" s="51">
        <v>2.5215104895104896E-6</v>
      </c>
      <c r="D855" s="50" t="s">
        <v>7</v>
      </c>
      <c r="E855" s="50" t="s">
        <v>244</v>
      </c>
      <c r="F855" s="50" t="s">
        <v>27</v>
      </c>
      <c r="G855" s="51"/>
    </row>
    <row r="856" spans="1:7" s="50" customFormat="1" ns3:dyDescent="0.2">
      <c r="A856" s="50" t="s">
        <v>255</v>
      </c>
      <c r="B856" s="51">
        <v>3.796867132867133E-5</v>
      </c>
      <c r="D856" s="50" t="s">
        <v>7</v>
      </c>
      <c r="E856" s="50" t="s">
        <v>244</v>
      </c>
      <c r="F856" s="50" t="s">
        <v>27</v>
      </c>
      <c r="G856" s="51"/>
    </row>
    <row r="857" spans="1:7" s="50" customFormat="1" ns3:dyDescent="0.2">
      <c r="A857" s="50" t="s">
        <v>219</v>
      </c>
      <c r="B857" s="51">
        <v>1.3091412587412588E-8</v>
      </c>
      <c r="D857" s="50" t="s">
        <v>7</v>
      </c>
      <c r="E857" s="50" t="s">
        <v>244</v>
      </c>
      <c r="F857" s="50" t="s">
        <v>27</v>
      </c>
      <c r="G857" s="51"/>
    </row>
    <row r="858" spans="1:7" s="50" customFormat="1" ns3:dyDescent="0.2">
      <c r="A858" s="50" t="s">
        <v>239</v>
      </c>
      <c r="B858" s="51">
        <v>1.3673202797202796E-7</v>
      </c>
      <c r="D858" s="50" t="s">
        <v>7</v>
      </c>
      <c r="E858" s="50" t="s">
        <v>244</v>
      </c>
      <c r="F858" s="50" t="s">
        <v>27</v>
      </c>
      <c r="G858" s="51"/>
    </row>
    <row r="859" spans="1:7" s="50" customFormat="1" ns3:dyDescent="0.2">
      <c r="A859" s="50" t="s">
        <v>220</v>
      </c>
      <c r="B859" s="51">
        <v>2.7042797202797204E-5</v>
      </c>
      <c r="D859" s="50" t="s">
        <v>7</v>
      </c>
      <c r="E859" s="50" t="s">
        <v>244</v>
      </c>
      <c r="F859" s="50" t="s">
        <v>27</v>
      </c>
      <c r="G859" s="51"/>
    </row>
    <row r="860" spans="1:7" s="50" customFormat="1" ns3:dyDescent="0.2">
      <c r="A860" s="50" t="s">
        <v>222</v>
      </c>
      <c r="B860" s="51">
        <v>3.5010629370629369E-5</v>
      </c>
      <c r="D860" s="50" t="s">
        <v>7</v>
      </c>
      <c r="E860" s="50" t="s">
        <v>244</v>
      </c>
      <c r="F860" s="50" t="s">
        <v>27</v>
      </c>
      <c r="G860" s="51"/>
    </row>
    <row r="861" spans="1:7" s="50" customFormat="1" ns3:dyDescent="0.2">
      <c r="A861" s="50" t="s">
        <v>224</v>
      </c>
      <c r="B861" s="51">
        <v>1.1468895104895105E-11</v>
      </c>
      <c r="D861" s="50" t="s">
        <v>7</v>
      </c>
      <c r="E861" s="50" t="s">
        <v>244</v>
      </c>
      <c r="F861" s="50" t="s">
        <v>27</v>
      </c>
      <c r="G861" s="51"/>
    </row>
    <row r="862" spans="1:7" s="50" customFormat="1" ns3:dyDescent="0.2">
      <c r="A862" s="50" t="s">
        <v>226</v>
      </c>
      <c r="B862" s="51">
        <v>2.0954265734265734E-7</v>
      </c>
      <c r="D862" s="50" t="s">
        <v>7</v>
      </c>
      <c r="E862" s="50" t="s">
        <v>244</v>
      </c>
      <c r="F862" s="50" t="s">
        <v>27</v>
      </c>
      <c r="G862" s="51"/>
    </row>
    <row r="863" spans="1:7" s="50" customFormat="1" ns3:dyDescent="0.2">
      <c r="A863" s="50" t="s">
        <v>227</v>
      </c>
      <c r="B863" s="51">
        <v>1.3964223776223776E-7</v>
      </c>
      <c r="D863" s="50" t="s">
        <v>7</v>
      </c>
      <c r="E863" s="50" t="s">
        <v>244</v>
      </c>
      <c r="F863" s="50" t="s">
        <v>27</v>
      </c>
      <c r="G863" s="51"/>
    </row>
    <row r="864" spans="1:7" s="50" customFormat="1" ns3:dyDescent="0.2">
      <c r="A864" s="50" t="s">
        <v>228</v>
      </c>
      <c r="B864" s="51">
        <v>3.4107583216783218E-3</v>
      </c>
      <c r="D864" s="50" t="s">
        <v>37</v>
      </c>
      <c r="E864" s="50" t="s">
        <v>244</v>
      </c>
      <c r="F864" s="50" t="s">
        <v>27</v>
      </c>
      <c r="G864" s="51"/>
    </row>
    <row r="865" spans="1:7" s="50" customFormat="1" ns3:dyDescent="0.2">
      <c r="A865" s="50" t="s">
        <v>229</v>
      </c>
      <c r="B865" s="51">
        <v>8.571524475524476E-8</v>
      </c>
      <c r="D865" s="50" t="s">
        <v>7</v>
      </c>
      <c r="E865" s="50" t="s">
        <v>244</v>
      </c>
      <c r="F865" s="50" t="s">
        <v>27</v>
      </c>
      <c r="G865" s="51"/>
    </row>
    <row r="866" spans="1:7" s="50" customFormat="1" ns3:dyDescent="0.2">
      <c r="A866" s="50" t="s">
        <v>188</v>
      </c>
      <c r="B866" s="51">
        <v>1.6942909090909092E-2</v>
      </c>
      <c r="D866" s="50" t="s">
        <v>7</v>
      </c>
      <c r="E866" s="50" t="s">
        <v>245</v>
      </c>
      <c r="F866" s="50" t="s">
        <v>27</v>
      </c>
      <c r="G866" s="51"/>
    </row>
    <row r="867" spans="1:7" s="50" customFormat="1" ns3:dyDescent="0.2">
      <c r="A867" s="50" t="s">
        <v>188</v>
      </c>
      <c r="B867" s="51">
        <v>1.6301454545454547E-6</v>
      </c>
      <c r="D867" s="50" t="s">
        <v>7</v>
      </c>
      <c r="E867" s="50" t="s">
        <v>246</v>
      </c>
      <c r="F867" s="50" t="s">
        <v>27</v>
      </c>
      <c r="G867" s="51"/>
    </row>
    <row r="868" spans="1:7" s="50" customFormat="1" ns3:dyDescent="0.2">
      <c r="A868" s="50" t="s">
        <v>190</v>
      </c>
      <c r="B868" s="51">
        <v>2.0326909090909091E-9</v>
      </c>
      <c r="D868" s="50" t="s">
        <v>7</v>
      </c>
      <c r="E868" s="50" t="s">
        <v>245</v>
      </c>
      <c r="F868" s="50" t="s">
        <v>27</v>
      </c>
      <c r="G868" s="51"/>
    </row>
    <row r="869" spans="1:7" s="50" customFormat="1" ns3:dyDescent="0.2">
      <c r="A869" s="50" t="s">
        <v>190</v>
      </c>
      <c r="B869" s="51">
        <v>1.1073650349650351E-9</v>
      </c>
      <c r="D869" s="50" t="s">
        <v>7</v>
      </c>
      <c r="E869" s="50" t="s">
        <v>246</v>
      </c>
      <c r="F869" s="50" t="s">
        <v>27</v>
      </c>
      <c r="G869" s="51"/>
    </row>
    <row r="870" spans="1:7" s="50" customFormat="1" ns3:dyDescent="0.2">
      <c r="A870" s="50" t="s">
        <v>191</v>
      </c>
      <c r="B870" s="51">
        <v>2.6773426573426577E-6</v>
      </c>
      <c r="D870" s="50" t="s">
        <v>7</v>
      </c>
      <c r="E870" s="50" t="s">
        <v>245</v>
      </c>
      <c r="F870" s="50" t="s">
        <v>27</v>
      </c>
      <c r="G870" s="51"/>
    </row>
    <row r="871" spans="1:7" s="50" customFormat="1" ns3:dyDescent="0.2">
      <c r="A871" s="50" t="s">
        <v>191</v>
      </c>
      <c r="B871" s="51">
        <v>1.7638741258741259E-6</v>
      </c>
      <c r="D871" s="50" t="s">
        <v>7</v>
      </c>
      <c r="E871" s="50" t="s">
        <v>246</v>
      </c>
      <c r="F871" s="50" t="s">
        <v>27</v>
      </c>
      <c r="G871" s="51"/>
    </row>
    <row r="872" spans="1:7" s="50" customFormat="1" ns3:dyDescent="0.2">
      <c r="A872" s="50" t="s">
        <v>230</v>
      </c>
      <c r="B872" s="51">
        <v>8.6437762237762247E-4</v>
      </c>
      <c r="D872" s="50" t="s">
        <v>7</v>
      </c>
      <c r="E872" s="50" t="s">
        <v>245</v>
      </c>
      <c r="F872" s="50" t="s">
        <v>27</v>
      </c>
      <c r="G872" s="51"/>
    </row>
    <row r="873" spans="1:7" s="50" customFormat="1" ns3:dyDescent="0.2">
      <c r="A873" s="50" t="s">
        <v>230</v>
      </c>
      <c r="B873" s="51">
        <v>2.652923076923077E-4</v>
      </c>
      <c r="D873" s="50" t="s">
        <v>7</v>
      </c>
      <c r="E873" s="50" t="s">
        <v>246</v>
      </c>
      <c r="F873" s="50" t="s">
        <v>27</v>
      </c>
      <c r="G873" s="51"/>
    </row>
    <row r="874" spans="1:7" s="50" customFormat="1" ns3:dyDescent="0.2">
      <c r="A874" s="50" t="s">
        <v>256</v>
      </c>
      <c r="B874" s="51">
        <v>1.8568195804195807E-5</v>
      </c>
      <c r="D874" s="50" t="s">
        <v>7</v>
      </c>
      <c r="E874" s="50" t="s">
        <v>245</v>
      </c>
      <c r="F874" s="50" t="s">
        <v>27</v>
      </c>
      <c r="G874" s="51"/>
    </row>
    <row r="875" spans="1:7" s="50" customFormat="1" ns3:dyDescent="0.2">
      <c r="A875" s="50" t="s">
        <v>256</v>
      </c>
      <c r="B875" s="51">
        <v>2.3289230769230768E-7</v>
      </c>
      <c r="D875" s="50" t="s">
        <v>7</v>
      </c>
      <c r="E875" s="50" t="s">
        <v>246</v>
      </c>
      <c r="F875" s="50" t="s">
        <v>27</v>
      </c>
      <c r="G875" s="51"/>
    </row>
    <row r="876" spans="1:7" s="50" customFormat="1" ns3:dyDescent="0.2">
      <c r="A876" s="50" t="s">
        <v>196</v>
      </c>
      <c r="B876" s="51">
        <v>6.8299300699300701E-7</v>
      </c>
      <c r="D876" s="50" t="s">
        <v>7</v>
      </c>
      <c r="E876" s="50" t="s">
        <v>245</v>
      </c>
      <c r="F876" s="50" t="s">
        <v>27</v>
      </c>
      <c r="G876" s="51"/>
    </row>
    <row r="877" spans="1:7" s="50" customFormat="1" ns3:dyDescent="0.2">
      <c r="A877" s="50" t="s">
        <v>196</v>
      </c>
      <c r="B877" s="51">
        <v>1.2225146853146853E-5</v>
      </c>
      <c r="D877" s="50" t="s">
        <v>7</v>
      </c>
      <c r="E877" s="50" t="s">
        <v>246</v>
      </c>
      <c r="F877" s="50" t="s">
        <v>27</v>
      </c>
      <c r="G877" s="51"/>
    </row>
    <row r="878" spans="1:7" s="50" customFormat="1" ns3:dyDescent="0.2">
      <c r="A878" s="50" t="s">
        <v>232</v>
      </c>
      <c r="B878" s="51">
        <v>2.6426013986013985E-3</v>
      </c>
      <c r="D878" s="50" t="s">
        <v>7</v>
      </c>
      <c r="E878" s="50" t="s">
        <v>245</v>
      </c>
      <c r="F878" s="50" t="s">
        <v>27</v>
      </c>
      <c r="G878" s="51"/>
    </row>
    <row r="879" spans="1:7" s="50" customFormat="1" ns3:dyDescent="0.2">
      <c r="A879" s="50" t="s">
        <v>232</v>
      </c>
      <c r="B879" s="51">
        <v>2.7108251748251747E-4</v>
      </c>
      <c r="D879" s="50" t="s">
        <v>7</v>
      </c>
      <c r="E879" s="50" t="s">
        <v>246</v>
      </c>
      <c r="F879" s="50" t="s">
        <v>27</v>
      </c>
      <c r="G879" s="51"/>
    </row>
    <row r="880" spans="1:7" s="50" customFormat="1" ns3:dyDescent="0.2">
      <c r="A880" s="50" t="s">
        <v>197</v>
      </c>
      <c r="B880" s="51">
        <v>4.8599999999999998E-8</v>
      </c>
      <c r="D880" s="50" t="s">
        <v>7</v>
      </c>
      <c r="E880" s="50" t="s">
        <v>245</v>
      </c>
      <c r="F880" s="50" t="s">
        <v>27</v>
      </c>
      <c r="G880" s="51"/>
    </row>
    <row r="881" spans="1:7" s="50" customFormat="1" ns3:dyDescent="0.2">
      <c r="A881" s="50" t="s">
        <v>197</v>
      </c>
      <c r="B881" s="51">
        <v>5.3889230769230771E-11</v>
      </c>
      <c r="D881" s="50" t="s">
        <v>7</v>
      </c>
      <c r="E881" s="50" t="s">
        <v>246</v>
      </c>
      <c r="F881" s="50" t="s">
        <v>27</v>
      </c>
      <c r="G881" s="51"/>
    </row>
    <row r="882" spans="1:7" s="50" customFormat="1" ns3:dyDescent="0.2">
      <c r="A882" s="50" t="s">
        <v>233</v>
      </c>
      <c r="B882" s="51">
        <v>4.0634685314685309E-2</v>
      </c>
      <c r="D882" s="50" t="s">
        <v>7</v>
      </c>
      <c r="E882" s="50" t="s">
        <v>245</v>
      </c>
      <c r="F882" s="50" t="s">
        <v>27</v>
      </c>
      <c r="G882" s="51"/>
    </row>
    <row r="883" spans="1:7" s="50" customFormat="1" ns3:dyDescent="0.2">
      <c r="A883" s="50" t="s">
        <v>233</v>
      </c>
      <c r="B883" s="51">
        <v>8.6037482517482518E-4</v>
      </c>
      <c r="D883" s="50" t="s">
        <v>7</v>
      </c>
      <c r="E883" s="50" t="s">
        <v>246</v>
      </c>
      <c r="F883" s="50" t="s">
        <v>27</v>
      </c>
      <c r="G883" s="51"/>
    </row>
    <row r="884" spans="1:7" s="50" customFormat="1" ns3:dyDescent="0.2">
      <c r="A884" s="50" t="s">
        <v>234</v>
      </c>
      <c r="B884" s="51">
        <v>1.1063580419580421E-3</v>
      </c>
      <c r="D884" s="50" t="s">
        <v>7</v>
      </c>
      <c r="E884" s="50" t="s">
        <v>245</v>
      </c>
      <c r="F884" s="50" t="s">
        <v>27</v>
      </c>
      <c r="G884" s="51"/>
    </row>
    <row r="885" spans="1:7" s="50" customFormat="1" ns3:dyDescent="0.2">
      <c r="A885" s="50" t="s">
        <v>234</v>
      </c>
      <c r="B885" s="51">
        <v>7.4603076923076932E-3</v>
      </c>
      <c r="D885" s="50" t="s">
        <v>7</v>
      </c>
      <c r="E885" s="50" t="s">
        <v>246</v>
      </c>
      <c r="F885" s="50" t="s">
        <v>27</v>
      </c>
      <c r="G885" s="51"/>
    </row>
    <row r="886" spans="1:7" s="50" customFormat="1" ns3:dyDescent="0.2">
      <c r="A886" s="50" t="s">
        <v>199</v>
      </c>
      <c r="B886" s="51">
        <v>2.2805622377622377E-9</v>
      </c>
      <c r="D886" s="50" t="s">
        <v>7</v>
      </c>
      <c r="E886" s="50" t="s">
        <v>246</v>
      </c>
      <c r="F886" s="50" t="s">
        <v>27</v>
      </c>
      <c r="G886" s="51"/>
    </row>
    <row r="887" spans="1:7" s="50" customFormat="1" ns3:dyDescent="0.2">
      <c r="A887" s="50" t="s">
        <v>235</v>
      </c>
      <c r="B887" s="51">
        <v>1.0012027972027972E-6</v>
      </c>
      <c r="D887" s="50" t="s">
        <v>7</v>
      </c>
      <c r="E887" s="50" t="s">
        <v>245</v>
      </c>
      <c r="F887" s="50" t="s">
        <v>27</v>
      </c>
      <c r="G887" s="51"/>
    </row>
    <row r="888" spans="1:7" s="50" customFormat="1" ns3:dyDescent="0.2">
      <c r="A888" s="50" t="s">
        <v>235</v>
      </c>
      <c r="B888" s="51">
        <v>2.9024055944055941E-7</v>
      </c>
      <c r="D888" s="50" t="s">
        <v>7</v>
      </c>
      <c r="E888" s="50" t="s">
        <v>246</v>
      </c>
      <c r="F888" s="50" t="s">
        <v>27</v>
      </c>
      <c r="G888" s="51"/>
    </row>
    <row r="889" spans="1:7" s="50" customFormat="1" ns3:dyDescent="0.2">
      <c r="A889" s="50" t="s">
        <v>200</v>
      </c>
      <c r="B889" s="51">
        <v>9.6140139860139865E-6</v>
      </c>
      <c r="D889" s="50" t="s">
        <v>7</v>
      </c>
      <c r="E889" s="50" t="s">
        <v>245</v>
      </c>
      <c r="F889" s="50" t="s">
        <v>27</v>
      </c>
      <c r="G889" s="51"/>
    </row>
    <row r="890" spans="1:7" s="50" customFormat="1" ns3:dyDescent="0.2">
      <c r="A890" s="50" t="s">
        <v>200</v>
      </c>
      <c r="B890" s="51">
        <v>1.8245202797202798E-9</v>
      </c>
      <c r="D890" s="50" t="s">
        <v>7</v>
      </c>
      <c r="E890" s="50" t="s">
        <v>246</v>
      </c>
      <c r="F890" s="50" t="s">
        <v>27</v>
      </c>
      <c r="G890" s="51"/>
    </row>
    <row r="891" spans="1:7" s="50" customFormat="1" ns3:dyDescent="0.2">
      <c r="A891" s="50" t="s">
        <v>201</v>
      </c>
      <c r="B891" s="51">
        <v>3.7241118881118882E-5</v>
      </c>
      <c r="D891" s="50" t="s">
        <v>7</v>
      </c>
      <c r="E891" s="50" t="s">
        <v>245</v>
      </c>
      <c r="F891" s="50" t="s">
        <v>27</v>
      </c>
      <c r="G891" s="51"/>
    </row>
    <row r="892" spans="1:7" s="50" customFormat="1" ns3:dyDescent="0.2">
      <c r="A892" s="50" t="s">
        <v>201</v>
      </c>
      <c r="B892" s="51">
        <v>3.428055944055944E-9</v>
      </c>
      <c r="D892" s="50" t="s">
        <v>7</v>
      </c>
      <c r="E892" s="50" t="s">
        <v>246</v>
      </c>
      <c r="F892" s="50" t="s">
        <v>27</v>
      </c>
      <c r="G892" s="51"/>
    </row>
    <row r="893" spans="1:7" s="50" customFormat="1" ns3:dyDescent="0.2">
      <c r="A893" s="50" t="s">
        <v>236</v>
      </c>
      <c r="B893" s="51">
        <v>1.0456615384615384E-3</v>
      </c>
      <c r="D893" s="50" t="s">
        <v>7</v>
      </c>
      <c r="E893" s="50" t="s">
        <v>245</v>
      </c>
      <c r="F893" s="50" t="s">
        <v>27</v>
      </c>
      <c r="G893" s="51"/>
    </row>
    <row r="894" spans="1:7" s="50" customFormat="1" ns3:dyDescent="0.2">
      <c r="A894" s="50" t="s">
        <v>236</v>
      </c>
      <c r="B894" s="51">
        <v>1.1824363636363636E-4</v>
      </c>
      <c r="D894" s="50" t="s">
        <v>7</v>
      </c>
      <c r="E894" s="50" t="s">
        <v>246</v>
      </c>
      <c r="F894" s="50" t="s">
        <v>27</v>
      </c>
      <c r="G894" s="51"/>
    </row>
    <row r="895" spans="1:7" s="50" customFormat="1" ns3:dyDescent="0.2">
      <c r="A895" s="50" t="s">
        <v>237</v>
      </c>
      <c r="B895" s="51">
        <v>2.9298461538461538E-4</v>
      </c>
      <c r="D895" s="50" t="s">
        <v>7</v>
      </c>
      <c r="E895" s="50" t="s">
        <v>245</v>
      </c>
      <c r="F895" s="50" t="s">
        <v>27</v>
      </c>
      <c r="G895" s="51"/>
    </row>
    <row r="896" spans="1:7" s="50" customFormat="1" ns3:dyDescent="0.2">
      <c r="A896" s="50" t="s">
        <v>237</v>
      </c>
      <c r="B896" s="51">
        <v>1.278151048951049E-4</v>
      </c>
      <c r="D896" s="50" t="s">
        <v>7</v>
      </c>
      <c r="E896" s="50" t="s">
        <v>246</v>
      </c>
      <c r="F896" s="50" t="s">
        <v>27</v>
      </c>
      <c r="G896" s="51"/>
    </row>
    <row r="897" spans="1:7" s="50" customFormat="1" ns3:dyDescent="0.2">
      <c r="A897" s="50" t="s">
        <v>205</v>
      </c>
      <c r="B897" s="51">
        <v>3.7538181818181822</v>
      </c>
      <c r="D897" s="50" t="s">
        <v>17</v>
      </c>
      <c r="E897" s="50" t="s">
        <v>246</v>
      </c>
      <c r="F897" s="50" t="s">
        <v>27</v>
      </c>
      <c r="G897" s="51"/>
    </row>
    <row r="898" spans="1:7" s="50" customFormat="1" ns3:dyDescent="0.2">
      <c r="A898" s="50" t="s">
        <v>257</v>
      </c>
      <c r="B898" s="51">
        <v>2.2649034965034967E-15</v>
      </c>
      <c r="D898" s="50" t="s">
        <v>7</v>
      </c>
      <c r="E898" s="50" t="s">
        <v>245</v>
      </c>
      <c r="F898" s="50" t="s">
        <v>27</v>
      </c>
      <c r="G898" s="51"/>
    </row>
    <row r="899" spans="1:7" s="50" customFormat="1" ns3:dyDescent="0.2">
      <c r="A899" s="50" t="s">
        <v>257</v>
      </c>
      <c r="B899" s="51">
        <v>1.1779048951048952E-7</v>
      </c>
      <c r="D899" s="50" t="s">
        <v>7</v>
      </c>
      <c r="E899" s="50" t="s">
        <v>246</v>
      </c>
      <c r="F899" s="50" t="s">
        <v>27</v>
      </c>
      <c r="G899" s="51"/>
    </row>
    <row r="900" spans="1:7" s="50" customFormat="1" ns3:dyDescent="0.2">
      <c r="A900" s="50" t="s">
        <v>208</v>
      </c>
      <c r="B900" s="51">
        <v>6.756671328671329E-4</v>
      </c>
      <c r="D900" s="50" t="s">
        <v>7</v>
      </c>
      <c r="E900" s="50" t="s">
        <v>245</v>
      </c>
      <c r="F900" s="50" t="s">
        <v>27</v>
      </c>
      <c r="G900" s="51"/>
    </row>
    <row r="901" spans="1:7" s="50" customFormat="1" ns3:dyDescent="0.2">
      <c r="A901" s="50" t="s">
        <v>208</v>
      </c>
      <c r="B901" s="51">
        <v>2.7735104895104896E-8</v>
      </c>
      <c r="D901" s="50" t="s">
        <v>7</v>
      </c>
      <c r="E901" s="50" t="s">
        <v>246</v>
      </c>
      <c r="F901" s="50" t="s">
        <v>27</v>
      </c>
      <c r="G901" s="51"/>
    </row>
    <row r="902" spans="1:7" s="50" customFormat="1" ns3:dyDescent="0.2">
      <c r="A902" s="50" t="s">
        <v>209</v>
      </c>
      <c r="B902" s="51">
        <v>2.8694265734265735E-5</v>
      </c>
      <c r="D902" s="50" t="s">
        <v>7</v>
      </c>
      <c r="E902" s="50" t="s">
        <v>245</v>
      </c>
      <c r="F902" s="50" t="s">
        <v>27</v>
      </c>
      <c r="G902" s="51"/>
    </row>
    <row r="903" spans="1:7" s="50" customFormat="1" ns3:dyDescent="0.2">
      <c r="A903" s="50" t="s">
        <v>209</v>
      </c>
      <c r="B903" s="51">
        <v>2.7767832167832169E-9</v>
      </c>
      <c r="D903" s="50" t="s">
        <v>7</v>
      </c>
      <c r="E903" s="50" t="s">
        <v>246</v>
      </c>
      <c r="F903" s="50" t="s">
        <v>27</v>
      </c>
      <c r="G903" s="51"/>
    </row>
    <row r="904" spans="1:7" s="50" customFormat="1" ns3:dyDescent="0.2">
      <c r="A904" s="50" t="s">
        <v>251</v>
      </c>
      <c r="B904" s="51">
        <v>5.7670489510489508E-3</v>
      </c>
      <c r="D904" s="50" t="s">
        <v>7</v>
      </c>
      <c r="E904" s="50" t="s">
        <v>245</v>
      </c>
      <c r="F904" s="50" t="s">
        <v>27</v>
      </c>
      <c r="G904" s="51"/>
    </row>
    <row r="905" spans="1:7" s="50" customFormat="1" ns3:dyDescent="0.2">
      <c r="A905" s="50" t="s">
        <v>251</v>
      </c>
      <c r="B905" s="51">
        <v>4.6883076923076929E-5</v>
      </c>
      <c r="D905" s="50" t="s">
        <v>7</v>
      </c>
      <c r="E905" s="50" t="s">
        <v>246</v>
      </c>
      <c r="F905" s="50" t="s">
        <v>27</v>
      </c>
      <c r="G905" s="51"/>
    </row>
    <row r="906" spans="1:7" s="50" customFormat="1" ns3:dyDescent="0.2">
      <c r="A906" s="50" t="s">
        <v>210</v>
      </c>
      <c r="B906" s="51">
        <v>7.5036083916083917E-6</v>
      </c>
      <c r="D906" s="50" t="s">
        <v>7</v>
      </c>
      <c r="E906" s="50" t="s">
        <v>245</v>
      </c>
      <c r="F906" s="50" t="s">
        <v>27</v>
      </c>
      <c r="G906" s="51"/>
    </row>
    <row r="907" spans="1:7" s="50" customFormat="1" ns3:dyDescent="0.2">
      <c r="A907" s="50" t="s">
        <v>210</v>
      </c>
      <c r="B907" s="51">
        <v>1.1830405594405597E-9</v>
      </c>
      <c r="D907" s="50" t="s">
        <v>7</v>
      </c>
      <c r="E907" s="50" t="s">
        <v>246</v>
      </c>
      <c r="F907" s="50" t="s">
        <v>27</v>
      </c>
      <c r="G907" s="51"/>
    </row>
    <row r="908" spans="1:7" s="50" customFormat="1" ns3:dyDescent="0.2">
      <c r="A908" s="50" t="s">
        <v>211</v>
      </c>
      <c r="B908" s="51">
        <v>3.2294265734265737E-8</v>
      </c>
      <c r="D908" s="50" t="s">
        <v>7</v>
      </c>
      <c r="E908" s="50" t="s">
        <v>245</v>
      </c>
      <c r="F908" s="50" t="s">
        <v>27</v>
      </c>
      <c r="G908" s="51"/>
    </row>
    <row r="909" spans="1:7" s="50" customFormat="1" ns3:dyDescent="0.2">
      <c r="A909" s="50" t="s">
        <v>211</v>
      </c>
      <c r="B909" s="51">
        <v>8.1790489510489511E-10</v>
      </c>
      <c r="D909" s="50" t="s">
        <v>7</v>
      </c>
      <c r="E909" s="50" t="s">
        <v>246</v>
      </c>
      <c r="F909" s="50" t="s">
        <v>27</v>
      </c>
      <c r="G909" s="51"/>
    </row>
    <row r="910" spans="1:7" s="50" customFormat="1" ns3:dyDescent="0.2">
      <c r="A910" s="50" t="s">
        <v>253</v>
      </c>
      <c r="B910" s="51">
        <v>6.7717762237762231E-7</v>
      </c>
      <c r="D910" s="50" t="s">
        <v>7</v>
      </c>
      <c r="E910" s="50" t="s">
        <v>245</v>
      </c>
      <c r="F910" s="50" t="s">
        <v>27</v>
      </c>
      <c r="G910" s="51"/>
    </row>
    <row r="911" spans="1:7" s="50" customFormat="1" ns3:dyDescent="0.2">
      <c r="A911" s="50" t="s">
        <v>253</v>
      </c>
      <c r="B911" s="51">
        <v>1.4614741258741259E-7</v>
      </c>
      <c r="D911" s="50" t="s">
        <v>7</v>
      </c>
      <c r="E911" s="50" t="s">
        <v>246</v>
      </c>
      <c r="F911" s="50" t="s">
        <v>27</v>
      </c>
      <c r="G911" s="51"/>
    </row>
    <row r="912" spans="1:7" s="50" customFormat="1" ns3:dyDescent="0.2">
      <c r="A912" s="50" t="s">
        <v>214</v>
      </c>
      <c r="B912" s="51">
        <v>1.1745062937062937E-5</v>
      </c>
      <c r="D912" s="50" t="s">
        <v>7</v>
      </c>
      <c r="E912" s="50" t="s">
        <v>245</v>
      </c>
      <c r="F912" s="50" t="s">
        <v>27</v>
      </c>
      <c r="G912" s="51"/>
    </row>
    <row r="913" spans="1:7" s="50" customFormat="1" ns3:dyDescent="0.2">
      <c r="A913" s="50" t="s">
        <v>214</v>
      </c>
      <c r="B913" s="51">
        <v>8.059972027972029E-9</v>
      </c>
      <c r="D913" s="50" t="s">
        <v>7</v>
      </c>
      <c r="E913" s="50" t="s">
        <v>246</v>
      </c>
      <c r="F913" s="50" t="s">
        <v>27</v>
      </c>
      <c r="G913" s="51"/>
    </row>
    <row r="914" spans="1:7" s="50" customFormat="1" ns3:dyDescent="0.2">
      <c r="A914" s="50" t="s">
        <v>238</v>
      </c>
      <c r="B914" s="51">
        <v>3.1501258741258742E-4</v>
      </c>
      <c r="D914" s="50" t="s">
        <v>7</v>
      </c>
      <c r="E914" s="50" t="s">
        <v>245</v>
      </c>
      <c r="F914" s="50" t="s">
        <v>27</v>
      </c>
      <c r="G914" s="51"/>
    </row>
    <row r="915" spans="1:7" s="50" customFormat="1" ns3:dyDescent="0.2">
      <c r="A915" s="50" t="s">
        <v>238</v>
      </c>
      <c r="B915" s="51">
        <v>1.1284363636363638E-4</v>
      </c>
      <c r="D915" s="50" t="s">
        <v>7</v>
      </c>
      <c r="E915" s="50" t="s">
        <v>246</v>
      </c>
      <c r="F915" s="50" t="s">
        <v>27</v>
      </c>
      <c r="G915" s="51"/>
    </row>
    <row r="916" spans="1:7" s="50" customFormat="1" ns3:dyDescent="0.2">
      <c r="A916" s="50" t="s">
        <v>258</v>
      </c>
      <c r="B916" s="51">
        <v>2.2315216783216782E-4</v>
      </c>
      <c r="D916" s="50" t="s">
        <v>7</v>
      </c>
      <c r="E916" s="50" t="s">
        <v>245</v>
      </c>
      <c r="F916" s="50" t="s">
        <v>27</v>
      </c>
      <c r="G916" s="51"/>
    </row>
    <row r="917" spans="1:7" s="50" customFormat="1" ns3:dyDescent="0.2">
      <c r="A917" s="50" t="s">
        <v>258</v>
      </c>
      <c r="B917" s="51">
        <v>3.6944055944055944E-6</v>
      </c>
      <c r="D917" s="50" t="s">
        <v>7</v>
      </c>
      <c r="E917" s="50" t="s">
        <v>246</v>
      </c>
      <c r="F917" s="50" t="s">
        <v>27</v>
      </c>
      <c r="G917" s="51"/>
    </row>
    <row r="918" spans="1:7" s="50" customFormat="1" ns3:dyDescent="0.2">
      <c r="A918" s="50" t="s">
        <v>255</v>
      </c>
      <c r="B918" s="51">
        <v>5.5145454545454551E-3</v>
      </c>
      <c r="D918" s="50" t="s">
        <v>7</v>
      </c>
      <c r="E918" s="50" t="s">
        <v>245</v>
      </c>
      <c r="F918" s="50" t="s">
        <v>27</v>
      </c>
      <c r="G918" s="51"/>
    </row>
    <row r="919" spans="1:7" s="50" customFormat="1" ns3:dyDescent="0.2">
      <c r="A919" s="50" t="s">
        <v>255</v>
      </c>
      <c r="B919" s="51">
        <v>2.0839972027972028E-3</v>
      </c>
      <c r="D919" s="50" t="s">
        <v>7</v>
      </c>
      <c r="E919" s="50" t="s">
        <v>246</v>
      </c>
      <c r="F919" s="50" t="s">
        <v>27</v>
      </c>
      <c r="G919" s="51"/>
    </row>
    <row r="920" spans="1:7" s="50" customFormat="1" ns3:dyDescent="0.2">
      <c r="A920" s="50" t="s">
        <v>219</v>
      </c>
      <c r="B920" s="51">
        <v>8.4209790209790204E-7</v>
      </c>
      <c r="D920" s="50" t="s">
        <v>7</v>
      </c>
      <c r="E920" s="50" t="s">
        <v>245</v>
      </c>
      <c r="F920" s="50" t="s">
        <v>27</v>
      </c>
      <c r="G920" s="51"/>
    </row>
    <row r="921" spans="1:7" s="50" customFormat="1" ns3:dyDescent="0.2">
      <c r="A921" s="50" t="s">
        <v>219</v>
      </c>
      <c r="B921" s="51">
        <v>2.1863832167832167E-7</v>
      </c>
      <c r="D921" s="50" t="s">
        <v>7</v>
      </c>
      <c r="E921" s="50" t="s">
        <v>246</v>
      </c>
      <c r="F921" s="50" t="s">
        <v>27</v>
      </c>
      <c r="G921" s="51"/>
    </row>
    <row r="922" spans="1:7" s="50" customFormat="1" ns3:dyDescent="0.2">
      <c r="A922" s="50" t="s">
        <v>239</v>
      </c>
      <c r="B922" s="51">
        <v>6.4825174825174827E-3</v>
      </c>
      <c r="D922" s="50" t="s">
        <v>7</v>
      </c>
      <c r="E922" s="50" t="s">
        <v>245</v>
      </c>
      <c r="F922" s="50" t="s">
        <v>27</v>
      </c>
      <c r="G922" s="51"/>
    </row>
    <row r="923" spans="1:7" s="50" customFormat="1" ns3:dyDescent="0.2">
      <c r="A923" s="50" t="s">
        <v>239</v>
      </c>
      <c r="B923" s="51">
        <v>2.0803972027972029E-5</v>
      </c>
      <c r="D923" s="50" t="s">
        <v>7</v>
      </c>
      <c r="E923" s="50" t="s">
        <v>246</v>
      </c>
      <c r="F923" s="50" t="s">
        <v>27</v>
      </c>
      <c r="G923" s="51"/>
    </row>
    <row r="924" spans="1:7" s="50" customFormat="1" ns3:dyDescent="0.2">
      <c r="A924" s="50" t="s">
        <v>240</v>
      </c>
      <c r="B924" s="51">
        <v>2.1556699300699302E-3</v>
      </c>
      <c r="D924" s="50" t="s">
        <v>7</v>
      </c>
      <c r="E924" s="50" t="s">
        <v>245</v>
      </c>
      <c r="F924" s="50" t="s">
        <v>27</v>
      </c>
      <c r="G924" s="51"/>
    </row>
    <row r="925" spans="1:7" s="50" customFormat="1" ns3:dyDescent="0.2">
      <c r="A925" s="50" t="s">
        <v>240</v>
      </c>
      <c r="B925" s="51">
        <v>1.0839524475524476E-3</v>
      </c>
      <c r="D925" s="50" t="s">
        <v>7</v>
      </c>
      <c r="E925" s="50" t="s">
        <v>246</v>
      </c>
      <c r="F925" s="50" t="s">
        <v>27</v>
      </c>
      <c r="G925" s="51"/>
    </row>
    <row r="926" spans="1:7" s="50" customFormat="1" ns3:dyDescent="0.2">
      <c r="A926" s="50" t="s">
        <v>241</v>
      </c>
      <c r="B926" s="51">
        <v>7.8711608391608401E-3</v>
      </c>
      <c r="D926" s="50" t="s">
        <v>7</v>
      </c>
      <c r="E926" s="50" t="s">
        <v>245</v>
      </c>
      <c r="F926" s="50" t="s">
        <v>27</v>
      </c>
      <c r="G926" s="51"/>
    </row>
    <row r="927" spans="1:7" s="50" customFormat="1" ns3:dyDescent="0.2">
      <c r="A927" s="50" t="s">
        <v>241</v>
      </c>
      <c r="B927" s="51">
        <v>1.3452923076923077E-3</v>
      </c>
      <c r="D927" s="50" t="s">
        <v>7</v>
      </c>
      <c r="E927" s="50" t="s">
        <v>246</v>
      </c>
      <c r="F927" s="50" t="s">
        <v>27</v>
      </c>
      <c r="G927" s="51"/>
    </row>
    <row r="928" spans="1:7" s="50" customFormat="1" ns3:dyDescent="0.2">
      <c r="A928" s="50" t="s">
        <v>242</v>
      </c>
      <c r="B928" s="51">
        <v>1.0456615384615384E-3</v>
      </c>
      <c r="D928" s="50" t="s">
        <v>7</v>
      </c>
      <c r="E928" s="50" t="s">
        <v>245</v>
      </c>
      <c r="F928" s="50" t="s">
        <v>27</v>
      </c>
      <c r="G928" s="51"/>
    </row>
    <row r="929" spans="1:7" s="50" customFormat="1" ns3:dyDescent="0.2">
      <c r="A929" s="50" t="s">
        <v>242</v>
      </c>
      <c r="B929" s="51">
        <v>1.1824363636363636E-4</v>
      </c>
      <c r="D929" s="50" t="s">
        <v>7</v>
      </c>
      <c r="E929" s="50" t="s">
        <v>246</v>
      </c>
      <c r="F929" s="50" t="s">
        <v>27</v>
      </c>
      <c r="G929" s="51"/>
    </row>
    <row r="930" spans="1:7" s="50" customFormat="1" ns3:dyDescent="0.2">
      <c r="A930" s="50" t="s">
        <v>223</v>
      </c>
      <c r="B930" s="51">
        <v>2.4847804195804196E-9</v>
      </c>
      <c r="D930" s="50" t="s">
        <v>7</v>
      </c>
      <c r="E930" s="50" t="s">
        <v>245</v>
      </c>
      <c r="F930" s="50" t="s">
        <v>27</v>
      </c>
      <c r="G930" s="51"/>
    </row>
    <row r="931" spans="1:7" s="50" customFormat="1" ns3:dyDescent="0.2">
      <c r="A931" s="50" t="s">
        <v>223</v>
      </c>
      <c r="B931" s="51">
        <v>4.1483076923076925E-12</v>
      </c>
      <c r="D931" s="50" t="s">
        <v>7</v>
      </c>
      <c r="E931" s="50" t="s">
        <v>246</v>
      </c>
      <c r="F931" s="50" t="s">
        <v>27</v>
      </c>
      <c r="G931" s="51"/>
    </row>
    <row r="932" spans="1:7" s="50" customFormat="1" ns3:dyDescent="0.2">
      <c r="A932" s="50" t="s">
        <v>224</v>
      </c>
      <c r="B932" s="51">
        <v>1.1653426573426574E-5</v>
      </c>
      <c r="D932" s="50" t="s">
        <v>7</v>
      </c>
      <c r="E932" s="50" t="s">
        <v>245</v>
      </c>
      <c r="F932" s="50" t="s">
        <v>27</v>
      </c>
      <c r="G932" s="51"/>
    </row>
    <row r="933" spans="1:7" s="50" customFormat="1" ns3:dyDescent="0.2">
      <c r="A933" s="50" t="s">
        <v>224</v>
      </c>
      <c r="B933" s="51">
        <v>1.5872475524475522E-8</v>
      </c>
      <c r="D933" s="50" t="s">
        <v>7</v>
      </c>
      <c r="E933" s="50" t="s">
        <v>246</v>
      </c>
      <c r="F933" s="50" t="s">
        <v>27</v>
      </c>
      <c r="G933" s="51"/>
    </row>
    <row r="934" spans="1:7" s="50" customFormat="1" ns3:dyDescent="0.2">
      <c r="A934" s="50" t="s">
        <v>227</v>
      </c>
      <c r="B934" s="51">
        <v>2.5718601398601402E-6</v>
      </c>
      <c r="D934" s="50" t="s">
        <v>7</v>
      </c>
      <c r="E934" s="50" t="s">
        <v>245</v>
      </c>
      <c r="F934" s="50" t="s">
        <v>27</v>
      </c>
      <c r="G934" s="51"/>
    </row>
    <row r="935" spans="1:7" s="50" customFormat="1" ns3:dyDescent="0.2">
      <c r="A935" s="50" t="s">
        <v>227</v>
      </c>
      <c r="B935" s="51">
        <v>9.6709090909090917E-9</v>
      </c>
      <c r="D935" s="50" t="s">
        <v>7</v>
      </c>
      <c r="E935" s="50" t="s">
        <v>246</v>
      </c>
      <c r="F935" s="50" t="s">
        <v>27</v>
      </c>
      <c r="G935" s="51"/>
    </row>
    <row r="936" spans="1:7" s="50" customFormat="1" ns3:dyDescent="0.2">
      <c r="A936" s="50" t="s">
        <v>228</v>
      </c>
      <c r="B936" s="51">
        <v>7.3078993006993006E-4</v>
      </c>
      <c r="D936" s="50" t="s">
        <v>37</v>
      </c>
      <c r="E936" s="50" t="s">
        <v>246</v>
      </c>
      <c r="F936" s="50" t="s">
        <v>27</v>
      </c>
      <c r="G936" s="51"/>
    </row>
    <row r="937" spans="1:7" s="50" customFormat="1" ns3:dyDescent="0.2">
      <c r="A937" s="50" t="s">
        <v>229</v>
      </c>
      <c r="B937" s="51">
        <v>5.7428811188811191E-5</v>
      </c>
      <c r="D937" s="50" t="s">
        <v>7</v>
      </c>
      <c r="E937" s="50" t="s">
        <v>245</v>
      </c>
      <c r="F937" s="50" t="s">
        <v>27</v>
      </c>
      <c r="G937" s="51"/>
    </row>
    <row r="938" spans="1:7" s="50" customFormat="1" ns3:dyDescent="0.2">
      <c r="A938" s="50" t="s">
        <v>229</v>
      </c>
      <c r="B938" s="51">
        <v>7.8240839160839163E-9</v>
      </c>
      <c r="D938" s="50" t="s">
        <v>7</v>
      </c>
      <c r="E938" s="50" t="s">
        <v>246</v>
      </c>
      <c r="F938" s="50" t="s">
        <v>27</v>
      </c>
      <c r="G938" s="51"/>
    </row>
    <row r="939" spans="1:7" s="50" customFormat="1" ns3:dyDescent="0.2">
      <c r="A939" s="50" t="s">
        <v>243</v>
      </c>
      <c r="B939" s="51">
        <v>1.2098517482517483</v>
      </c>
      <c r="D939" s="50" t="s">
        <v>7</v>
      </c>
      <c r="E939" s="50" t="s">
        <v>111</v>
      </c>
      <c r="F939" s="50" t="s">
        <v>27</v>
      </c>
      <c r="G939" s="51"/>
    </row>
    <row r="940" spans="1:7" s="50" customFormat="1" ns3:dyDescent="0.2">
      <c r="A940" s="50" t="s">
        <v>35</v>
      </c>
      <c r="B940" s="51">
        <f>(1/0.42)*0.29*6.09</f>
        <v>4.2050000000000001</v>
      </c>
      <c r="D940" s="50" t="s">
        <v>17</v>
      </c>
      <c r="E940" s="50" t="s">
        <v>36</v>
      </c>
      <c r="F940" s="50" t="s">
        <v>27</v>
      </c>
      <c r="G940" s="51"/>
    </row>
    <row r="941" spans="1:7" s="50" customFormat="1" ns3:dyDescent="0.2">
      <c r="B941" s="52"/>
    </row>
    <row r="942" spans="1:7" s="50" customFormat="1" ht="16" ns3:dyDescent="0.2">
      <c r="A942" s="49" t="s">
        <v>0</v>
      </c>
      <c r="B942" s="49" t="s">
        <v>137</v>
      </c>
    </row>
    <row r="943" spans="1:7" s="50" customFormat="1" ns3:dyDescent="0.2">
      <c r="A943" s="50" t="s">
        <v>1</v>
      </c>
      <c r="B943" s="50" t="s">
        <v>104</v>
      </c>
    </row>
    <row r="944" spans="1:7" s="50" customFormat="1" ns3:dyDescent="0.2">
      <c r="A944" s="50" t="s">
        <v>2</v>
      </c>
      <c r="B944" s="50">
        <v>1</v>
      </c>
    </row>
    <row r="945" spans="1:8" s="50" customFormat="1" ns3:dyDescent="0.2">
      <c r="A945" s="50" t="s">
        <v>9</v>
      </c>
      <c r="B945" s="50" t="s">
        <v>133</v>
      </c>
    </row>
    <row r="946" spans="1:8" s="50" customFormat="1" ns3:dyDescent="0.2">
      <c r="A946" s="50" t="s">
        <v>3</v>
      </c>
      <c r="B946" s="3" t="s">
        <v>132</v>
      </c>
    </row>
    <row r="947" spans="1:8" s="50" customFormat="1" ns3:dyDescent="0.2">
      <c r="A947" s="50" t="s">
        <v>4</v>
      </c>
      <c r="B947" s="50" t="s">
        <v>5</v>
      </c>
    </row>
    <row r="948" spans="1:8" ns3:dyDescent="0.2">
      <c r="A948" t="s">
        <v>261</v>
      </c>
      <c r="B948" s="23">
        <f>0.33*29%*90%</f>
        <v>8.6129999999999998E-2</v>
      </c>
    </row>
    <row r="949" spans="1:8" s="50" customFormat="1" ns3:dyDescent="0.2">
      <c r="A949" s="50" t="s">
        <v>6</v>
      </c>
      <c r="B949" s="50" t="s">
        <v>126</v>
      </c>
    </row>
    <row r="950" spans="1:8" s="50" customFormat="1" ht="16" ns3:dyDescent="0.2">
      <c r="A950" s="49" t="s">
        <v>10</v>
      </c>
    </row>
    <row r="951" spans="1:8" s="50" customFormat="1" ns3:dyDescent="0.2">
      <c r="A951" s="50" t="s">
        <v>11</v>
      </c>
      <c r="B951" s="50" t="s">
        <v>12</v>
      </c>
      <c r="C951" s="50" t="s">
        <v>1</v>
      </c>
      <c r="D951" s="50" t="s">
        <v>6</v>
      </c>
      <c r="E951" s="50" t="s">
        <v>13</v>
      </c>
      <c r="F951" s="50" t="s">
        <v>4</v>
      </c>
      <c r="G951" s="50" t="s">
        <v>9</v>
      </c>
      <c r="H951" s="50" t="s">
        <v>3</v>
      </c>
    </row>
    <row r="952" spans="1:8" s="50" customFormat="1" ns3:dyDescent="0.2">
      <c r="A952" s="50" t="str">
        <f>B942</f>
        <v>electricity production, at co-generation biowaste-fired power plant, post, pipeline 200km, storage 1000m</v>
      </c>
      <c r="B952" s="50">
        <v>1</v>
      </c>
      <c r="C952" s="50" t="str">
        <f>B943</f>
        <v>CH</v>
      </c>
      <c r="D952" s="50" t="s">
        <v>126</v>
      </c>
      <c r="F952" s="50" t="s">
        <v>15</v>
      </c>
      <c r="G952" s="50" t="s">
        <v>16</v>
      </c>
      <c r="H952" s="51" t="str">
        <f>B946</f>
        <v>electricity, from biowaste, municipal incineration, energy allocation</v>
      </c>
    </row>
    <row r="953" spans="1:8" s="50" customFormat="1" ns3:dyDescent="0.2">
      <c r="A953" s="50" t="s">
        <v>134</v>
      </c>
      <c r="B953" s="50">
        <f>0.9*1.42931076923077</f>
        <v>1.2863796923076931</v>
      </c>
      <c r="C953" s="50" t="s">
        <v>103</v>
      </c>
      <c r="D953" s="50" t="s">
        <v>7</v>
      </c>
      <c r="F953" s="50" t="s">
        <v>18</v>
      </c>
      <c r="H953" s="50" t="s">
        <v>134</v>
      </c>
    </row>
    <row r="954" spans="1:8" s="50" customFormat="1" ns3:dyDescent="0.2">
      <c r="A954" s="50" t="s">
        <v>110</v>
      </c>
      <c r="B954" s="51">
        <v>1.4293107692307701</v>
      </c>
      <c r="D954" s="50" t="s">
        <v>7</v>
      </c>
      <c r="E954" s="50" t="s">
        <v>111</v>
      </c>
      <c r="F954" s="50" t="s">
        <v>27</v>
      </c>
      <c r="G954" s="52"/>
    </row>
    <row r="955" spans="1:8" s="50" customFormat="1" ns3:dyDescent="0.2">
      <c r="A955" s="50" t="s">
        <v>149</v>
      </c>
      <c r="B955" s="51">
        <v>1.4856646153846155E-3</v>
      </c>
      <c r="C955" s="50" t="s">
        <v>103</v>
      </c>
      <c r="D955" s="50" t="s">
        <v>7</v>
      </c>
      <c r="F955" t="s">
        <v>18</v>
      </c>
      <c r="G955" s="51"/>
      <c r="H955" s="50" t="s">
        <v>170</v>
      </c>
    </row>
    <row r="956" spans="1:8" s="50" customFormat="1" ns3:dyDescent="0.2">
      <c r="A956" s="50" t="s">
        <v>150</v>
      </c>
      <c r="B956" s="51">
        <v>8.5691076923076925E-7</v>
      </c>
      <c r="C956" s="50" t="s">
        <v>103</v>
      </c>
      <c r="D956" s="50" t="s">
        <v>7</v>
      </c>
      <c r="F956" t="s">
        <v>18</v>
      </c>
      <c r="G956" s="51"/>
      <c r="H956" s="50" t="s">
        <v>171</v>
      </c>
    </row>
    <row r="957" spans="1:8" s="50" customFormat="1" ns3:dyDescent="0.2">
      <c r="A957" s="50" t="s">
        <v>168</v>
      </c>
      <c r="B957" s="51">
        <v>1.4626800000000002E-2</v>
      </c>
      <c r="C957" s="50" t="s">
        <v>104</v>
      </c>
      <c r="D957" s="50" t="s">
        <v>7</v>
      </c>
      <c r="F957" t="s">
        <v>18</v>
      </c>
      <c r="G957" s="51"/>
      <c r="H957" s="50" t="s">
        <v>186</v>
      </c>
    </row>
    <row r="958" spans="1:8" s="50" customFormat="1" ns3:dyDescent="0.2">
      <c r="A958" s="50" t="s">
        <v>151</v>
      </c>
      <c r="B958" s="51">
        <v>2.0071107692307694E-4</v>
      </c>
      <c r="C958" s="50" t="s">
        <v>24</v>
      </c>
      <c r="D958" s="50" t="s">
        <v>7</v>
      </c>
      <c r="F958" t="s">
        <v>18</v>
      </c>
      <c r="G958" s="51"/>
      <c r="H958" s="50" t="s">
        <v>172</v>
      </c>
    </row>
    <row r="959" spans="1:8" s="50" customFormat="1" ns3:dyDescent="0.2">
      <c r="A959" s="50" t="s">
        <v>152</v>
      </c>
      <c r="B959" s="51">
        <v>1.5524584615384618E-6</v>
      </c>
      <c r="C959" s="50" t="s">
        <v>24</v>
      </c>
      <c r="D959" s="50" t="s">
        <v>7</v>
      </c>
      <c r="F959" t="s">
        <v>18</v>
      </c>
      <c r="G959" s="51"/>
      <c r="H959" s="50" t="s">
        <v>173</v>
      </c>
    </row>
    <row r="960" spans="1:8" s="50" customFormat="1" ns3:dyDescent="0.2">
      <c r="A960" t="s">
        <v>493</v>
      </c>
      <c r="B960" s="51">
        <v>1.8996092307692309E-6</v>
      </c>
      <c r="C960" s="50" t="s">
        <v>24</v>
      </c>
      <c r="D960" s="50" t="s">
        <v>7</v>
      </c>
      <c r="F960" t="s">
        <v>18</v>
      </c>
      <c r="G960" s="51"/>
      <c r="H960" t="s">
        <v>494</v>
      </c>
    </row>
    <row r="961" spans="1:8" s="50" customFormat="1" ns3:dyDescent="0.2">
      <c r="A961" s="50" t="s">
        <v>169</v>
      </c>
      <c r="B961" s="51">
        <v>0.27780923076923081</v>
      </c>
      <c r="C961" s="50" t="s">
        <v>104</v>
      </c>
      <c r="D961" s="50" t="s">
        <v>17</v>
      </c>
      <c r="F961" t="s">
        <v>18</v>
      </c>
      <c r="G961" s="51"/>
      <c r="H961" s="50" t="s">
        <v>187</v>
      </c>
    </row>
    <row r="962" spans="1:8" s="50" customFormat="1" ns3:dyDescent="0.2">
      <c r="A962" s="50" t="s">
        <v>153</v>
      </c>
      <c r="B962" s="51">
        <v>1.0662369230769232E-3</v>
      </c>
      <c r="C962" s="50" t="s">
        <v>103</v>
      </c>
      <c r="D962" s="50" t="s">
        <v>7</v>
      </c>
      <c r="F962" t="s">
        <v>18</v>
      </c>
      <c r="G962" s="51"/>
      <c r="H962" s="50" t="s">
        <v>174</v>
      </c>
    </row>
    <row r="963" spans="1:8" s="50" customFormat="1" ns3:dyDescent="0.2">
      <c r="A963" s="50" t="s">
        <v>154</v>
      </c>
      <c r="B963" s="51">
        <v>2.5794830769230773E-3</v>
      </c>
      <c r="C963" s="50" t="s">
        <v>103</v>
      </c>
      <c r="D963" s="50" t="s">
        <v>7</v>
      </c>
      <c r="F963" t="s">
        <v>18</v>
      </c>
      <c r="G963" s="51"/>
      <c r="H963" s="50" t="s">
        <v>175</v>
      </c>
    </row>
    <row r="964" spans="1:8" s="50" customFormat="1" ns3:dyDescent="0.2">
      <c r="A964" s="50" t="s">
        <v>155</v>
      </c>
      <c r="B964" s="51">
        <v>3.0120923076923081E-6</v>
      </c>
      <c r="C964" s="50" t="s">
        <v>24</v>
      </c>
      <c r="D964" s="50" t="s">
        <v>7</v>
      </c>
      <c r="F964" t="s">
        <v>18</v>
      </c>
      <c r="G964" s="51"/>
      <c r="H964" t="s">
        <v>474</v>
      </c>
    </row>
    <row r="965" spans="1:8" s="50" customFormat="1" ns3:dyDescent="0.2">
      <c r="A965" s="50" t="s">
        <v>156</v>
      </c>
      <c r="B965" s="51">
        <v>-8.0249538461538462E-3</v>
      </c>
      <c r="C965" s="50" t="s">
        <v>24</v>
      </c>
      <c r="D965" s="50" t="s">
        <v>7</v>
      </c>
      <c r="F965" t="s">
        <v>18</v>
      </c>
      <c r="G965" s="51"/>
      <c r="H965" s="50" t="s">
        <v>176</v>
      </c>
    </row>
    <row r="966" spans="1:8" s="50" customFormat="1" ns3:dyDescent="0.2">
      <c r="A966" s="50" t="s">
        <v>157</v>
      </c>
      <c r="B966" s="51">
        <v>6.9230769230769237E-10</v>
      </c>
      <c r="C966" s="50" t="s">
        <v>104</v>
      </c>
      <c r="D966" s="50" t="s">
        <v>6</v>
      </c>
      <c r="F966" t="s">
        <v>18</v>
      </c>
      <c r="G966" s="51"/>
      <c r="H966" s="50" t="s">
        <v>177</v>
      </c>
    </row>
    <row r="967" spans="1:8" s="50" customFormat="1" ns3:dyDescent="0.2">
      <c r="A967" s="50" t="s">
        <v>158</v>
      </c>
      <c r="B967" s="51">
        <v>7.290553846153848E-2</v>
      </c>
      <c r="C967" s="50" t="s">
        <v>104</v>
      </c>
      <c r="D967" s="50" t="s">
        <v>7</v>
      </c>
      <c r="F967" t="s">
        <v>18</v>
      </c>
      <c r="G967" s="51"/>
      <c r="H967" s="50" t="s">
        <v>158</v>
      </c>
    </row>
    <row r="968" spans="1:8" s="50" customFormat="1" ns3:dyDescent="0.2">
      <c r="A968" s="50" t="s">
        <v>159</v>
      </c>
      <c r="B968" s="51">
        <v>0.39508615384615386</v>
      </c>
      <c r="C968" s="50" t="s">
        <v>104</v>
      </c>
      <c r="D968" s="50" t="s">
        <v>7</v>
      </c>
      <c r="F968" t="s">
        <v>18</v>
      </c>
      <c r="G968" s="51"/>
      <c r="H968" s="50" t="s">
        <v>159</v>
      </c>
    </row>
    <row r="969" spans="1:8" s="50" customFormat="1" ns3:dyDescent="0.2">
      <c r="A969" s="50" t="s">
        <v>160</v>
      </c>
      <c r="B969" s="51">
        <v>3.8215384615384617E-3</v>
      </c>
      <c r="C969" s="50" t="s">
        <v>103</v>
      </c>
      <c r="D969" s="50" t="s">
        <v>7</v>
      </c>
      <c r="F969" t="s">
        <v>18</v>
      </c>
      <c r="G969" s="51"/>
      <c r="H969" s="50" t="s">
        <v>178</v>
      </c>
    </row>
    <row r="970" spans="1:8" s="50" customFormat="1" ns3:dyDescent="0.2">
      <c r="A970" s="50" t="s">
        <v>161</v>
      </c>
      <c r="B970" s="51">
        <v>1.5188676923076925E-10</v>
      </c>
      <c r="C970" s="50" t="s">
        <v>104</v>
      </c>
      <c r="D970" s="50" t="s">
        <v>6</v>
      </c>
      <c r="F970" t="s">
        <v>18</v>
      </c>
      <c r="G970" s="51"/>
      <c r="H970" s="50" t="s">
        <v>179</v>
      </c>
    </row>
    <row r="971" spans="1:8" s="50" customFormat="1" ns3:dyDescent="0.2">
      <c r="A971" s="50" t="s">
        <v>162</v>
      </c>
      <c r="B971" s="51">
        <v>7.0236000000000004E-10</v>
      </c>
      <c r="C971" s="50" t="s">
        <v>104</v>
      </c>
      <c r="D971" s="50" t="s">
        <v>6</v>
      </c>
      <c r="F971" t="s">
        <v>18</v>
      </c>
      <c r="G971" s="51"/>
      <c r="H971" s="50" t="s">
        <v>180</v>
      </c>
    </row>
    <row r="972" spans="1:8" s="50" customFormat="1" ns3:dyDescent="0.2">
      <c r="A972" s="50" t="s">
        <v>163</v>
      </c>
      <c r="B972" s="51">
        <v>2.9932615384615389E-3</v>
      </c>
      <c r="C972" s="3" t="s">
        <v>267</v>
      </c>
      <c r="D972" s="50" t="s">
        <v>7</v>
      </c>
      <c r="F972" t="s">
        <v>18</v>
      </c>
      <c r="G972" s="51"/>
      <c r="H972" s="50" t="s">
        <v>181</v>
      </c>
    </row>
    <row r="973" spans="1:8" s="50" customFormat="1" ns3:dyDescent="0.2">
      <c r="A973" s="50" t="s">
        <v>164</v>
      </c>
      <c r="B973" s="51">
        <v>-9.0199384615384619E-7</v>
      </c>
      <c r="C973" s="50" t="s">
        <v>24</v>
      </c>
      <c r="D973" s="50" t="s">
        <v>7</v>
      </c>
      <c r="F973" t="s">
        <v>18</v>
      </c>
      <c r="G973" s="51"/>
      <c r="H973" s="50" t="s">
        <v>182</v>
      </c>
    </row>
    <row r="974" spans="1:8" s="50" customFormat="1" ns3:dyDescent="0.2">
      <c r="A974" s="50" t="s">
        <v>165</v>
      </c>
      <c r="B974" s="51">
        <v>9.3082153846153848E-5</v>
      </c>
      <c r="C974" s="50" t="s">
        <v>103</v>
      </c>
      <c r="D974" s="50" t="s">
        <v>7</v>
      </c>
      <c r="F974" t="s">
        <v>18</v>
      </c>
      <c r="G974" s="51"/>
      <c r="H974" s="50" t="s">
        <v>183</v>
      </c>
    </row>
    <row r="975" spans="1:8" s="50" customFormat="1" ns3:dyDescent="0.2">
      <c r="A975" s="50" t="s">
        <v>81</v>
      </c>
      <c r="B975" s="51">
        <v>1.8080861538461539E-2</v>
      </c>
      <c r="C975" s="50" t="s">
        <v>103</v>
      </c>
      <c r="D975" s="50" t="s">
        <v>28</v>
      </c>
      <c r="F975" t="s">
        <v>18</v>
      </c>
      <c r="G975" s="51"/>
      <c r="H975" s="50" t="s">
        <v>82</v>
      </c>
    </row>
    <row r="976" spans="1:8" s="50" customFormat="1" ns3:dyDescent="0.2">
      <c r="A976" s="50" t="s">
        <v>166</v>
      </c>
      <c r="B976" s="51">
        <v>-3.6567692307692308E-2</v>
      </c>
      <c r="C976" s="50" t="s">
        <v>104</v>
      </c>
      <c r="D976" s="50" t="s">
        <v>7</v>
      </c>
      <c r="F976" t="s">
        <v>18</v>
      </c>
      <c r="G976" s="51"/>
      <c r="H976" s="50" t="s">
        <v>184</v>
      </c>
    </row>
    <row r="977" spans="1:8" s="50" customFormat="1" ns3:dyDescent="0.2">
      <c r="A977" s="50" t="s">
        <v>167</v>
      </c>
      <c r="B977" s="51">
        <v>2.3794061538461539</v>
      </c>
      <c r="C977" s="50" t="s">
        <v>104</v>
      </c>
      <c r="D977" s="50" t="s">
        <v>7</v>
      </c>
      <c r="F977" t="s">
        <v>18</v>
      </c>
      <c r="G977" s="51"/>
      <c r="H977" s="50" t="s">
        <v>185</v>
      </c>
    </row>
    <row r="978" spans="1:8" s="50" customFormat="1" ns3:dyDescent="0.2">
      <c r="A978" s="50" t="s">
        <v>188</v>
      </c>
      <c r="B978" s="51">
        <v>1.9683415384615385E-8</v>
      </c>
      <c r="D978" s="50" t="s">
        <v>7</v>
      </c>
      <c r="E978" s="50" t="s">
        <v>244</v>
      </c>
      <c r="F978" s="50" t="s">
        <v>27</v>
      </c>
      <c r="G978" s="51"/>
    </row>
    <row r="979" spans="1:8" s="50" customFormat="1" ns3:dyDescent="0.2">
      <c r="A979" s="50" t="s">
        <v>189</v>
      </c>
      <c r="B979" s="51">
        <v>1.7467753846153849E-6</v>
      </c>
      <c r="D979" s="50" t="s">
        <v>7</v>
      </c>
      <c r="E979" s="50" t="s">
        <v>244</v>
      </c>
      <c r="F979" s="50" t="s">
        <v>27</v>
      </c>
      <c r="G979" s="51"/>
    </row>
    <row r="980" spans="1:8" s="50" customFormat="1" ns3:dyDescent="0.2">
      <c r="A980" s="50" t="s">
        <v>191</v>
      </c>
      <c r="B980" s="51">
        <v>3.784153846153846E-8</v>
      </c>
      <c r="D980" s="50" t="s">
        <v>7</v>
      </c>
      <c r="E980" s="50" t="s">
        <v>244</v>
      </c>
      <c r="F980" s="50" t="s">
        <v>27</v>
      </c>
      <c r="G980" s="51"/>
    </row>
    <row r="981" spans="1:8" s="50" customFormat="1" ns3:dyDescent="0.2">
      <c r="A981" s="50" t="s">
        <v>193</v>
      </c>
      <c r="B981" s="51">
        <v>1.1524984615384617E-7</v>
      </c>
      <c r="D981" s="50" t="s">
        <v>7</v>
      </c>
      <c r="E981" s="50" t="s">
        <v>244</v>
      </c>
      <c r="F981" s="50" t="s">
        <v>27</v>
      </c>
      <c r="G981" s="51"/>
    </row>
    <row r="982" spans="1:8" s="50" customFormat="1" ns3:dyDescent="0.2">
      <c r="A982" s="50" t="s">
        <v>194</v>
      </c>
      <c r="B982" s="51">
        <v>2.409812307692308E-10</v>
      </c>
      <c r="D982" s="50" t="s">
        <v>7</v>
      </c>
      <c r="E982" s="50" t="s">
        <v>244</v>
      </c>
      <c r="F982" s="50" t="s">
        <v>27</v>
      </c>
      <c r="G982" s="51"/>
    </row>
    <row r="983" spans="1:8" s="50" customFormat="1" ns3:dyDescent="0.2">
      <c r="A983" t="s">
        <v>477</v>
      </c>
      <c r="B983" s="51">
        <v>6.0889846153846164E-10</v>
      </c>
      <c r="D983" s="50" t="s">
        <v>7</v>
      </c>
      <c r="E983" s="50" t="s">
        <v>244</v>
      </c>
      <c r="F983" s="50" t="s">
        <v>27</v>
      </c>
      <c r="G983" s="51"/>
    </row>
    <row r="984" spans="1:8" s="50" customFormat="1" ns3:dyDescent="0.2">
      <c r="A984" s="50" t="s">
        <v>195</v>
      </c>
      <c r="B984" s="51">
        <v>2.5646676923076926E-12</v>
      </c>
      <c r="D984" s="50" t="s">
        <v>7</v>
      </c>
      <c r="E984" s="50" t="s">
        <v>244</v>
      </c>
      <c r="F984" s="50" t="s">
        <v>27</v>
      </c>
      <c r="G984" s="51"/>
    </row>
    <row r="985" spans="1:8" s="50" customFormat="1" ns3:dyDescent="0.2">
      <c r="A985" s="50" t="s">
        <v>196</v>
      </c>
      <c r="B985" s="51">
        <v>7.2387692307692315E-9</v>
      </c>
      <c r="D985" s="50" t="s">
        <v>7</v>
      </c>
      <c r="E985" s="50" t="s">
        <v>244</v>
      </c>
      <c r="F985" s="50" t="s">
        <v>27</v>
      </c>
      <c r="G985" s="51"/>
    </row>
    <row r="986" spans="1:8" s="50" customFormat="1" ns3:dyDescent="0.2">
      <c r="A986" s="50" t="s">
        <v>197</v>
      </c>
      <c r="B986" s="51">
        <v>1.6989784615384617E-10</v>
      </c>
      <c r="D986" s="50" t="s">
        <v>7</v>
      </c>
      <c r="E986" s="50" t="s">
        <v>244</v>
      </c>
      <c r="F986" s="50" t="s">
        <v>27</v>
      </c>
      <c r="G986" s="51"/>
    </row>
    <row r="987" spans="1:8" s="50" customFormat="1" ns3:dyDescent="0.2">
      <c r="A987" s="50" t="s">
        <v>248</v>
      </c>
      <c r="B987" s="51">
        <v>4.143876923076924E-4</v>
      </c>
      <c r="D987" s="50" t="s">
        <v>7</v>
      </c>
      <c r="E987" s="50" t="s">
        <v>244</v>
      </c>
      <c r="F987" s="50" t="s">
        <v>27</v>
      </c>
      <c r="G987" s="51"/>
    </row>
    <row r="988" spans="1:8" s="50" customFormat="1" ns3:dyDescent="0.2">
      <c r="A988" s="50" t="s">
        <v>135</v>
      </c>
      <c r="B988" s="51">
        <f>1.42931076923077-B953</f>
        <v>0.14293107692307694</v>
      </c>
      <c r="D988" s="50" t="s">
        <v>7</v>
      </c>
      <c r="E988" s="50" t="s">
        <v>244</v>
      </c>
      <c r="F988" s="50" t="s">
        <v>27</v>
      </c>
      <c r="G988" s="51"/>
    </row>
    <row r="989" spans="1:8" s="50" customFormat="1" ns3:dyDescent="0.2">
      <c r="A989" s="50" t="s">
        <v>249</v>
      </c>
      <c r="B989" s="51">
        <v>1.9590923076923079E-4</v>
      </c>
      <c r="D989" s="50" t="s">
        <v>7</v>
      </c>
      <c r="E989" s="50" t="s">
        <v>244</v>
      </c>
      <c r="F989" s="50" t="s">
        <v>27</v>
      </c>
      <c r="G989" s="51"/>
    </row>
    <row r="990" spans="1:8" s="50" customFormat="1" ns3:dyDescent="0.2">
      <c r="A990" s="50" t="s">
        <v>199</v>
      </c>
      <c r="B990" s="51">
        <v>1.6873200000000002E-8</v>
      </c>
      <c r="D990" s="50" t="s">
        <v>7</v>
      </c>
      <c r="E990" s="50" t="s">
        <v>244</v>
      </c>
      <c r="F990" s="50" t="s">
        <v>27</v>
      </c>
      <c r="G990" s="51"/>
    </row>
    <row r="991" spans="1:8" s="50" customFormat="1" ns3:dyDescent="0.2">
      <c r="A991" s="50" t="s">
        <v>200</v>
      </c>
      <c r="B991" s="51">
        <v>2.1963876923076926E-8</v>
      </c>
      <c r="D991" s="50" t="s">
        <v>7</v>
      </c>
      <c r="E991" s="50" t="s">
        <v>244</v>
      </c>
      <c r="F991" s="50" t="s">
        <v>27</v>
      </c>
      <c r="G991" s="51"/>
    </row>
    <row r="992" spans="1:8" s="50" customFormat="1" ns3:dyDescent="0.2">
      <c r="A992" s="50" t="s">
        <v>201</v>
      </c>
      <c r="B992" s="51">
        <v>3.9821538461538467E-9</v>
      </c>
      <c r="D992" s="50" t="s">
        <v>7</v>
      </c>
      <c r="E992" s="50" t="s">
        <v>244</v>
      </c>
      <c r="F992" s="50" t="s">
        <v>27</v>
      </c>
      <c r="G992" s="51"/>
    </row>
    <row r="993" spans="1:7" s="50" customFormat="1" ns3:dyDescent="0.2">
      <c r="A993" s="50" t="s">
        <v>202</v>
      </c>
      <c r="B993" s="51">
        <v>3.0957230769230766E-5</v>
      </c>
      <c r="D993" s="50" t="s">
        <v>7</v>
      </c>
      <c r="E993" s="50" t="s">
        <v>244</v>
      </c>
      <c r="F993" s="50" t="s">
        <v>27</v>
      </c>
      <c r="G993" s="51"/>
    </row>
    <row r="994" spans="1:7" s="50" customFormat="1" ns3:dyDescent="0.2">
      <c r="A994" s="50" t="s">
        <v>203</v>
      </c>
      <c r="B994" s="51">
        <v>1.4409969230769231E-4</v>
      </c>
      <c r="D994" s="50" t="s">
        <v>7</v>
      </c>
      <c r="E994" s="50" t="s">
        <v>244</v>
      </c>
      <c r="F994" s="50" t="s">
        <v>27</v>
      </c>
      <c r="G994" s="51"/>
    </row>
    <row r="995" spans="1:7" s="50" customFormat="1" ns3:dyDescent="0.2">
      <c r="A995" s="50" t="s">
        <v>204</v>
      </c>
      <c r="B995" s="51">
        <v>2.3048307692307694E-13</v>
      </c>
      <c r="D995" s="50" t="s">
        <v>7</v>
      </c>
      <c r="E995" s="50" t="s">
        <v>244</v>
      </c>
      <c r="F995" s="50" t="s">
        <v>27</v>
      </c>
      <c r="G995" s="51"/>
    </row>
    <row r="996" spans="1:7" s="50" customFormat="1" ns3:dyDescent="0.2">
      <c r="A996" s="50" t="s">
        <v>205</v>
      </c>
      <c r="B996" s="51">
        <v>12.305353846153848</v>
      </c>
      <c r="D996" s="50" t="s">
        <v>17</v>
      </c>
      <c r="E996" s="50" t="s">
        <v>244</v>
      </c>
      <c r="F996" s="50" t="s">
        <v>27</v>
      </c>
      <c r="G996" s="51"/>
    </row>
    <row r="997" spans="1:7" s="50" customFormat="1" ns3:dyDescent="0.2">
      <c r="A997" s="50" t="s">
        <v>206</v>
      </c>
      <c r="B997" s="51">
        <v>5.5132615384615392E-6</v>
      </c>
      <c r="D997" s="50" t="s">
        <v>7</v>
      </c>
      <c r="E997" s="50" t="s">
        <v>244</v>
      </c>
      <c r="F997" s="50" t="s">
        <v>27</v>
      </c>
      <c r="G997" s="51"/>
    </row>
    <row r="998" spans="1:7" s="50" customFormat="1" ns3:dyDescent="0.2">
      <c r="A998" s="50" t="s">
        <v>207</v>
      </c>
      <c r="B998" s="51">
        <v>3.2591076923076926E-6</v>
      </c>
      <c r="D998" s="50" t="s">
        <v>7</v>
      </c>
      <c r="E998" s="50" t="s">
        <v>244</v>
      </c>
      <c r="F998" s="50" t="s">
        <v>27</v>
      </c>
      <c r="G998" s="51"/>
    </row>
    <row r="999" spans="1:7" s="50" customFormat="1" ns3:dyDescent="0.2">
      <c r="A999" s="50" t="s">
        <v>250</v>
      </c>
      <c r="B999" s="51">
        <v>7.3730769230769237E-11</v>
      </c>
      <c r="D999" s="50" t="s">
        <v>7</v>
      </c>
      <c r="E999" s="50" t="s">
        <v>244</v>
      </c>
      <c r="F999" s="50" t="s">
        <v>27</v>
      </c>
      <c r="G999" s="51"/>
    </row>
    <row r="1000" spans="1:7" s="50" customFormat="1" ns3:dyDescent="0.2">
      <c r="A1000" s="50" t="s">
        <v>208</v>
      </c>
      <c r="B1000" s="51">
        <v>2.5972615384615388E-9</v>
      </c>
      <c r="D1000" s="50" t="s">
        <v>7</v>
      </c>
      <c r="E1000" s="50" t="s">
        <v>244</v>
      </c>
      <c r="F1000" s="50" t="s">
        <v>27</v>
      </c>
      <c r="G1000" s="51"/>
    </row>
    <row r="1001" spans="1:7" s="50" customFormat="1" ns3:dyDescent="0.2">
      <c r="A1001" s="50" t="s">
        <v>209</v>
      </c>
      <c r="B1001" s="51">
        <v>3.6933230769230774E-9</v>
      </c>
      <c r="D1001" s="50" t="s">
        <v>7</v>
      </c>
      <c r="E1001" s="50" t="s">
        <v>244</v>
      </c>
      <c r="F1001" s="50" t="s">
        <v>27</v>
      </c>
      <c r="G1001" s="51"/>
    </row>
    <row r="1002" spans="1:7" s="50" customFormat="1" ns3:dyDescent="0.2">
      <c r="A1002" s="50" t="s">
        <v>251</v>
      </c>
      <c r="B1002" s="51">
        <v>7.1844923076923085E-6</v>
      </c>
      <c r="D1002" s="50" t="s">
        <v>7</v>
      </c>
      <c r="E1002" s="50" t="s">
        <v>244</v>
      </c>
      <c r="F1002" s="50" t="s">
        <v>27</v>
      </c>
      <c r="G1002" s="51"/>
    </row>
    <row r="1003" spans="1:7" s="50" customFormat="1" ns3:dyDescent="0.2">
      <c r="A1003" s="50" t="s">
        <v>210</v>
      </c>
      <c r="B1003" s="51">
        <v>1.9835169230769234E-9</v>
      </c>
      <c r="D1003" s="50" t="s">
        <v>7</v>
      </c>
      <c r="E1003" s="50" t="s">
        <v>244</v>
      </c>
      <c r="F1003" s="50" t="s">
        <v>27</v>
      </c>
      <c r="G1003" s="51"/>
    </row>
    <row r="1004" spans="1:7" s="50" customFormat="1" ns3:dyDescent="0.2">
      <c r="A1004" s="50" t="s">
        <v>211</v>
      </c>
      <c r="B1004" s="51">
        <v>4.7938153846153849E-9</v>
      </c>
      <c r="D1004" s="50" t="s">
        <v>7</v>
      </c>
      <c r="E1004" s="50" t="s">
        <v>244</v>
      </c>
      <c r="F1004" s="50" t="s">
        <v>27</v>
      </c>
      <c r="G1004" s="51"/>
    </row>
    <row r="1005" spans="1:7" s="50" customFormat="1" ns3:dyDescent="0.2">
      <c r="A1005" s="50" t="s">
        <v>252</v>
      </c>
      <c r="B1005" s="51">
        <v>1.7287476923076924E-6</v>
      </c>
      <c r="D1005" s="50" t="s">
        <v>7</v>
      </c>
      <c r="E1005" s="50" t="s">
        <v>244</v>
      </c>
      <c r="F1005" s="50" t="s">
        <v>27</v>
      </c>
      <c r="G1005" s="51"/>
    </row>
    <row r="1006" spans="1:7" s="50" customFormat="1" ns3:dyDescent="0.2">
      <c r="A1006" s="50" t="s">
        <v>253</v>
      </c>
      <c r="B1006" s="51">
        <v>1.271243076923077E-9</v>
      </c>
      <c r="D1006" s="50" t="s">
        <v>7</v>
      </c>
      <c r="E1006" s="50" t="s">
        <v>244</v>
      </c>
      <c r="F1006" s="50" t="s">
        <v>27</v>
      </c>
      <c r="G1006" s="51"/>
    </row>
    <row r="1007" spans="1:7" s="50" customFormat="1" ns3:dyDescent="0.2">
      <c r="A1007" s="50" t="s">
        <v>213</v>
      </c>
      <c r="B1007" s="51">
        <v>5.2449230769230768E-6</v>
      </c>
      <c r="D1007" s="50" t="s">
        <v>7</v>
      </c>
      <c r="E1007" s="50" t="s">
        <v>244</v>
      </c>
      <c r="F1007" s="50" t="s">
        <v>27</v>
      </c>
      <c r="G1007" s="51"/>
    </row>
    <row r="1008" spans="1:7" s="50" customFormat="1" ns3:dyDescent="0.2">
      <c r="A1008" s="50" t="s">
        <v>214</v>
      </c>
      <c r="B1008" s="51">
        <v>1.6445630769230772E-8</v>
      </c>
      <c r="D1008" s="50" t="s">
        <v>7</v>
      </c>
      <c r="E1008" s="50" t="s">
        <v>244</v>
      </c>
      <c r="F1008" s="50" t="s">
        <v>27</v>
      </c>
      <c r="G1008" s="51"/>
    </row>
    <row r="1009" spans="1:7" s="50" customFormat="1" ns3:dyDescent="0.2">
      <c r="A1009" s="50" t="s">
        <v>215</v>
      </c>
      <c r="B1009" s="51">
        <v>5.5315384615384623E-4</v>
      </c>
      <c r="D1009" s="50" t="s">
        <v>7</v>
      </c>
      <c r="E1009" s="50" t="s">
        <v>244</v>
      </c>
      <c r="F1009" s="50" t="s">
        <v>27</v>
      </c>
      <c r="G1009" s="51"/>
    </row>
    <row r="1010" spans="1:7" s="50" customFormat="1" ns3:dyDescent="0.2">
      <c r="A1010" s="50" t="s">
        <v>216</v>
      </c>
      <c r="B1010" s="51">
        <v>1.3759753846153847E-5</v>
      </c>
      <c r="D1010" s="50" t="s">
        <v>7</v>
      </c>
      <c r="E1010" s="50" t="s">
        <v>244</v>
      </c>
      <c r="F1010" s="50" t="s">
        <v>27</v>
      </c>
      <c r="G1010" s="51"/>
    </row>
    <row r="1011" spans="1:7" s="50" customFormat="1" ns3:dyDescent="0.2">
      <c r="A1011" s="50" t="s">
        <v>217</v>
      </c>
      <c r="B1011" s="51">
        <v>6.9144923076923085E-8</v>
      </c>
      <c r="D1011" s="50" t="s">
        <v>7</v>
      </c>
      <c r="E1011" s="50" t="s">
        <v>244</v>
      </c>
      <c r="F1011" s="50" t="s">
        <v>27</v>
      </c>
      <c r="G1011" s="51"/>
    </row>
    <row r="1012" spans="1:7" s="50" customFormat="1" ns3:dyDescent="0.2">
      <c r="A1012" s="50" t="s">
        <v>218</v>
      </c>
      <c r="B1012" s="51">
        <v>5.0189538461538465E-11</v>
      </c>
      <c r="D1012" s="50" t="s">
        <v>7</v>
      </c>
      <c r="E1012" s="50" t="s">
        <v>244</v>
      </c>
      <c r="F1012" s="50" t="s">
        <v>27</v>
      </c>
      <c r="G1012" s="51"/>
    </row>
    <row r="1013" spans="1:7" s="50" customFormat="1" ns3:dyDescent="0.2">
      <c r="A1013" s="50" t="s">
        <v>254</v>
      </c>
      <c r="B1013" s="51">
        <v>2.7736615384615388E-6</v>
      </c>
      <c r="D1013" s="50" t="s">
        <v>7</v>
      </c>
      <c r="E1013" s="50" t="s">
        <v>244</v>
      </c>
      <c r="F1013" s="50" t="s">
        <v>27</v>
      </c>
      <c r="G1013" s="51"/>
    </row>
    <row r="1014" spans="1:7" s="50" customFormat="1" ns3:dyDescent="0.2">
      <c r="A1014" s="50" t="s">
        <v>255</v>
      </c>
      <c r="B1014" s="51">
        <v>4.1765538461538464E-5</v>
      </c>
      <c r="D1014" s="50" t="s">
        <v>7</v>
      </c>
      <c r="E1014" s="50" t="s">
        <v>244</v>
      </c>
      <c r="F1014" s="50" t="s">
        <v>27</v>
      </c>
      <c r="G1014" s="51"/>
    </row>
    <row r="1015" spans="1:7" s="50" customFormat="1" ns3:dyDescent="0.2">
      <c r="A1015" s="50" t="s">
        <v>219</v>
      </c>
      <c r="B1015" s="51">
        <v>1.4400553846153849E-8</v>
      </c>
      <c r="D1015" s="50" t="s">
        <v>7</v>
      </c>
      <c r="E1015" s="50" t="s">
        <v>244</v>
      </c>
      <c r="F1015" s="50" t="s">
        <v>27</v>
      </c>
      <c r="G1015" s="51"/>
    </row>
    <row r="1016" spans="1:7" s="50" customFormat="1" ns3:dyDescent="0.2">
      <c r="A1016" s="50" t="s">
        <v>239</v>
      </c>
      <c r="B1016" s="51">
        <v>1.5040523076923076E-7</v>
      </c>
      <c r="D1016" s="50" t="s">
        <v>7</v>
      </c>
      <c r="E1016" s="50" t="s">
        <v>244</v>
      </c>
      <c r="F1016" s="50" t="s">
        <v>27</v>
      </c>
      <c r="G1016" s="51"/>
    </row>
    <row r="1017" spans="1:7" s="50" customFormat="1" ns3:dyDescent="0.2">
      <c r="A1017" s="50" t="s">
        <v>220</v>
      </c>
      <c r="B1017" s="51">
        <v>2.9747076923076925E-5</v>
      </c>
      <c r="D1017" s="50" t="s">
        <v>7</v>
      </c>
      <c r="E1017" s="50" t="s">
        <v>244</v>
      </c>
      <c r="F1017" s="50" t="s">
        <v>27</v>
      </c>
      <c r="G1017" s="51"/>
    </row>
    <row r="1018" spans="1:7" s="50" customFormat="1" ns3:dyDescent="0.2">
      <c r="A1018" s="50" t="s">
        <v>222</v>
      </c>
      <c r="B1018" s="51">
        <v>3.8511692307692312E-5</v>
      </c>
      <c r="D1018" s="50" t="s">
        <v>7</v>
      </c>
      <c r="E1018" s="50" t="s">
        <v>244</v>
      </c>
      <c r="F1018" s="50" t="s">
        <v>27</v>
      </c>
      <c r="G1018" s="51"/>
    </row>
    <row r="1019" spans="1:7" s="50" customFormat="1" ns3:dyDescent="0.2">
      <c r="A1019" s="50" t="s">
        <v>224</v>
      </c>
      <c r="B1019" s="51">
        <v>1.2615784615384616E-11</v>
      </c>
      <c r="D1019" s="50" t="s">
        <v>7</v>
      </c>
      <c r="E1019" s="50" t="s">
        <v>244</v>
      </c>
      <c r="F1019" s="50" t="s">
        <v>27</v>
      </c>
      <c r="G1019" s="51"/>
    </row>
    <row r="1020" spans="1:7" s="50" customFormat="1" ns3:dyDescent="0.2">
      <c r="A1020" s="50" t="s">
        <v>226</v>
      </c>
      <c r="B1020" s="51">
        <v>2.304969230769231E-7</v>
      </c>
      <c r="D1020" s="50" t="s">
        <v>7</v>
      </c>
      <c r="E1020" s="50" t="s">
        <v>244</v>
      </c>
      <c r="F1020" s="50" t="s">
        <v>27</v>
      </c>
      <c r="G1020" s="51"/>
    </row>
    <row r="1021" spans="1:7" s="50" customFormat="1" ns3:dyDescent="0.2">
      <c r="A1021" s="50" t="s">
        <v>227</v>
      </c>
      <c r="B1021" s="51">
        <v>1.5360646153846155E-7</v>
      </c>
      <c r="D1021" s="50" t="s">
        <v>7</v>
      </c>
      <c r="E1021" s="50" t="s">
        <v>244</v>
      </c>
      <c r="F1021" s="50" t="s">
        <v>27</v>
      </c>
      <c r="G1021" s="51"/>
    </row>
    <row r="1022" spans="1:7" s="50" customFormat="1" ns3:dyDescent="0.2">
      <c r="A1022" s="50" t="s">
        <v>228</v>
      </c>
      <c r="B1022" s="51">
        <v>3.7518341538461545E-3</v>
      </c>
      <c r="D1022" s="50" t="s">
        <v>37</v>
      </c>
      <c r="E1022" s="50" t="s">
        <v>244</v>
      </c>
      <c r="F1022" s="50" t="s">
        <v>27</v>
      </c>
      <c r="G1022" s="51"/>
    </row>
    <row r="1023" spans="1:7" s="50" customFormat="1" ns3:dyDescent="0.2">
      <c r="A1023" s="50" t="s">
        <v>229</v>
      </c>
      <c r="B1023" s="51">
        <v>9.4286769230769241E-8</v>
      </c>
      <c r="D1023" s="50" t="s">
        <v>7</v>
      </c>
      <c r="E1023" s="50" t="s">
        <v>244</v>
      </c>
      <c r="F1023" s="50" t="s">
        <v>27</v>
      </c>
      <c r="G1023" s="51"/>
    </row>
    <row r="1024" spans="1:7" s="50" customFormat="1" ns3:dyDescent="0.2">
      <c r="A1024" s="50" t="s">
        <v>188</v>
      </c>
      <c r="B1024" s="51">
        <v>1.8637200000000003E-2</v>
      </c>
      <c r="D1024" s="50" t="s">
        <v>7</v>
      </c>
      <c r="E1024" s="50" t="s">
        <v>245</v>
      </c>
      <c r="F1024" s="50" t="s">
        <v>27</v>
      </c>
      <c r="G1024" s="51"/>
    </row>
    <row r="1025" spans="1:7" s="50" customFormat="1" ns3:dyDescent="0.2">
      <c r="A1025" s="50" t="s">
        <v>188</v>
      </c>
      <c r="B1025" s="51">
        <v>1.7931600000000002E-6</v>
      </c>
      <c r="D1025" s="50" t="s">
        <v>7</v>
      </c>
      <c r="E1025" s="50" t="s">
        <v>246</v>
      </c>
      <c r="F1025" s="50" t="s">
        <v>27</v>
      </c>
      <c r="G1025" s="51"/>
    </row>
    <row r="1026" spans="1:7" s="50" customFormat="1" ns3:dyDescent="0.2">
      <c r="A1026" s="50" t="s">
        <v>190</v>
      </c>
      <c r="B1026" s="51">
        <v>2.2359600000000002E-9</v>
      </c>
      <c r="D1026" s="50" t="s">
        <v>7</v>
      </c>
      <c r="E1026" s="50" t="s">
        <v>245</v>
      </c>
      <c r="F1026" s="50" t="s">
        <v>27</v>
      </c>
      <c r="G1026" s="51"/>
    </row>
    <row r="1027" spans="1:7" s="50" customFormat="1" ns3:dyDescent="0.2">
      <c r="A1027" s="50" t="s">
        <v>190</v>
      </c>
      <c r="B1027" s="51">
        <v>1.2181015384615386E-9</v>
      </c>
      <c r="D1027" s="50" t="s">
        <v>7</v>
      </c>
      <c r="E1027" s="50" t="s">
        <v>246</v>
      </c>
      <c r="F1027" s="50" t="s">
        <v>27</v>
      </c>
      <c r="G1027" s="51"/>
    </row>
    <row r="1028" spans="1:7" s="50" customFormat="1" ns3:dyDescent="0.2">
      <c r="A1028" s="50" t="s">
        <v>191</v>
      </c>
      <c r="B1028" s="51">
        <v>2.9450769230769235E-6</v>
      </c>
      <c r="D1028" s="50" t="s">
        <v>7</v>
      </c>
      <c r="E1028" s="50" t="s">
        <v>245</v>
      </c>
      <c r="F1028" s="50" t="s">
        <v>27</v>
      </c>
      <c r="G1028" s="51"/>
    </row>
    <row r="1029" spans="1:7" s="50" customFormat="1" ns3:dyDescent="0.2">
      <c r="A1029" s="50" t="s">
        <v>191</v>
      </c>
      <c r="B1029" s="51">
        <v>1.9402615384615388E-6</v>
      </c>
      <c r="D1029" s="50" t="s">
        <v>7</v>
      </c>
      <c r="E1029" s="50" t="s">
        <v>246</v>
      </c>
      <c r="F1029" s="50" t="s">
        <v>27</v>
      </c>
      <c r="G1029" s="51"/>
    </row>
    <row r="1030" spans="1:7" s="50" customFormat="1" ns3:dyDescent="0.2">
      <c r="A1030" s="50" t="s">
        <v>230</v>
      </c>
      <c r="B1030" s="51">
        <v>9.5081538461538483E-4</v>
      </c>
      <c r="D1030" s="50" t="s">
        <v>7</v>
      </c>
      <c r="E1030" s="50" t="s">
        <v>245</v>
      </c>
      <c r="F1030" s="50" t="s">
        <v>27</v>
      </c>
      <c r="G1030" s="51"/>
    </row>
    <row r="1031" spans="1:7" s="50" customFormat="1" ns3:dyDescent="0.2">
      <c r="A1031" s="50" t="s">
        <v>230</v>
      </c>
      <c r="B1031" s="51">
        <v>2.9182153846153848E-4</v>
      </c>
      <c r="D1031" s="50" t="s">
        <v>7</v>
      </c>
      <c r="E1031" s="50" t="s">
        <v>246</v>
      </c>
      <c r="F1031" s="50" t="s">
        <v>27</v>
      </c>
      <c r="G1031" s="51"/>
    </row>
    <row r="1032" spans="1:7" s="50" customFormat="1" ns3:dyDescent="0.2">
      <c r="A1032" s="50" t="s">
        <v>256</v>
      </c>
      <c r="B1032" s="51">
        <v>2.0425015384615391E-5</v>
      </c>
      <c r="D1032" s="50" t="s">
        <v>7</v>
      </c>
      <c r="E1032" s="50" t="s">
        <v>245</v>
      </c>
      <c r="F1032" s="50" t="s">
        <v>27</v>
      </c>
      <c r="G1032" s="51"/>
    </row>
    <row r="1033" spans="1:7" s="50" customFormat="1" ns3:dyDescent="0.2">
      <c r="A1033" s="50" t="s">
        <v>256</v>
      </c>
      <c r="B1033" s="51">
        <v>2.5618153846153849E-7</v>
      </c>
      <c r="D1033" s="50" t="s">
        <v>7</v>
      </c>
      <c r="E1033" s="50" t="s">
        <v>246</v>
      </c>
      <c r="F1033" s="50" t="s">
        <v>27</v>
      </c>
      <c r="G1033" s="51"/>
    </row>
    <row r="1034" spans="1:7" s="50" customFormat="1" ns3:dyDescent="0.2">
      <c r="A1034" s="50" t="s">
        <v>196</v>
      </c>
      <c r="B1034" s="51">
        <v>7.5129230769230772E-7</v>
      </c>
      <c r="D1034" s="50" t="s">
        <v>7</v>
      </c>
      <c r="E1034" s="50" t="s">
        <v>245</v>
      </c>
      <c r="F1034" s="50" t="s">
        <v>27</v>
      </c>
      <c r="G1034" s="51"/>
    </row>
    <row r="1035" spans="1:7" s="50" customFormat="1" ns3:dyDescent="0.2">
      <c r="A1035" s="50" t="s">
        <v>196</v>
      </c>
      <c r="B1035" s="51">
        <v>1.344766153846154E-5</v>
      </c>
      <c r="D1035" s="50" t="s">
        <v>7</v>
      </c>
      <c r="E1035" s="50" t="s">
        <v>246</v>
      </c>
      <c r="F1035" s="50" t="s">
        <v>27</v>
      </c>
      <c r="G1035" s="51"/>
    </row>
    <row r="1036" spans="1:7" s="50" customFormat="1" ns3:dyDescent="0.2">
      <c r="A1036" s="50" t="s">
        <v>232</v>
      </c>
      <c r="B1036" s="51">
        <v>2.9068615384615385E-3</v>
      </c>
      <c r="D1036" s="50" t="s">
        <v>7</v>
      </c>
      <c r="E1036" s="50" t="s">
        <v>245</v>
      </c>
      <c r="F1036" s="50" t="s">
        <v>27</v>
      </c>
      <c r="G1036" s="51"/>
    </row>
    <row r="1037" spans="1:7" s="50" customFormat="1" ns3:dyDescent="0.2">
      <c r="A1037" s="50" t="s">
        <v>232</v>
      </c>
      <c r="B1037" s="51">
        <v>2.9819076923076924E-4</v>
      </c>
      <c r="D1037" s="50" t="s">
        <v>7</v>
      </c>
      <c r="E1037" s="50" t="s">
        <v>246</v>
      </c>
      <c r="F1037" s="50" t="s">
        <v>27</v>
      </c>
      <c r="G1037" s="51"/>
    </row>
    <row r="1038" spans="1:7" s="50" customFormat="1" ns3:dyDescent="0.2">
      <c r="A1038" s="50" t="s">
        <v>197</v>
      </c>
      <c r="B1038" s="51">
        <v>5.3460000000000004E-8</v>
      </c>
      <c r="D1038" s="50" t="s">
        <v>7</v>
      </c>
      <c r="E1038" s="50" t="s">
        <v>245</v>
      </c>
      <c r="F1038" s="50" t="s">
        <v>27</v>
      </c>
      <c r="G1038" s="51"/>
    </row>
    <row r="1039" spans="1:7" s="50" customFormat="1" ns3:dyDescent="0.2">
      <c r="A1039" s="50" t="s">
        <v>197</v>
      </c>
      <c r="B1039" s="51">
        <v>5.9278153846153849E-11</v>
      </c>
      <c r="D1039" s="50" t="s">
        <v>7</v>
      </c>
      <c r="E1039" s="50" t="s">
        <v>246</v>
      </c>
      <c r="F1039" s="50" t="s">
        <v>27</v>
      </c>
      <c r="G1039" s="51"/>
    </row>
    <row r="1040" spans="1:7" s="50" customFormat="1" ns3:dyDescent="0.2">
      <c r="A1040" s="50" t="s">
        <v>233</v>
      </c>
      <c r="B1040" s="51">
        <v>4.4698153846153846E-2</v>
      </c>
      <c r="D1040" s="50" t="s">
        <v>7</v>
      </c>
      <c r="E1040" s="50" t="s">
        <v>245</v>
      </c>
      <c r="F1040" s="50" t="s">
        <v>27</v>
      </c>
      <c r="G1040" s="51"/>
    </row>
    <row r="1041" spans="1:7" s="50" customFormat="1" ns3:dyDescent="0.2">
      <c r="A1041" s="50" t="s">
        <v>233</v>
      </c>
      <c r="B1041" s="51">
        <v>9.4641230769230782E-4</v>
      </c>
      <c r="D1041" s="50" t="s">
        <v>7</v>
      </c>
      <c r="E1041" s="50" t="s">
        <v>246</v>
      </c>
      <c r="F1041" s="50" t="s">
        <v>27</v>
      </c>
      <c r="G1041" s="51"/>
    </row>
    <row r="1042" spans="1:7" s="50" customFormat="1" ns3:dyDescent="0.2">
      <c r="A1042" s="50" t="s">
        <v>234</v>
      </c>
      <c r="B1042" s="51">
        <v>1.2169938461538464E-3</v>
      </c>
      <c r="D1042" s="50" t="s">
        <v>7</v>
      </c>
      <c r="E1042" s="50" t="s">
        <v>245</v>
      </c>
      <c r="F1042" s="50" t="s">
        <v>27</v>
      </c>
      <c r="G1042" s="51"/>
    </row>
    <row r="1043" spans="1:7" s="50" customFormat="1" ns3:dyDescent="0.2">
      <c r="A1043" s="50" t="s">
        <v>234</v>
      </c>
      <c r="B1043" s="51">
        <v>8.2063384615384625E-3</v>
      </c>
      <c r="D1043" s="50" t="s">
        <v>7</v>
      </c>
      <c r="E1043" s="50" t="s">
        <v>246</v>
      </c>
      <c r="F1043" s="50" t="s">
        <v>27</v>
      </c>
      <c r="G1043" s="51"/>
    </row>
    <row r="1044" spans="1:7" s="50" customFormat="1" ns3:dyDescent="0.2">
      <c r="A1044" s="50" t="s">
        <v>199</v>
      </c>
      <c r="B1044" s="51">
        <v>2.5086184615384618E-9</v>
      </c>
      <c r="D1044" s="50" t="s">
        <v>7</v>
      </c>
      <c r="E1044" s="50" t="s">
        <v>246</v>
      </c>
      <c r="F1044" s="50" t="s">
        <v>27</v>
      </c>
      <c r="G1044" s="51"/>
    </row>
    <row r="1045" spans="1:7" s="50" customFormat="1" ns3:dyDescent="0.2">
      <c r="A1045" s="50" t="s">
        <v>235</v>
      </c>
      <c r="B1045" s="51">
        <v>1.101323076923077E-6</v>
      </c>
      <c r="D1045" s="50" t="s">
        <v>7</v>
      </c>
      <c r="E1045" s="50" t="s">
        <v>245</v>
      </c>
      <c r="F1045" s="50" t="s">
        <v>27</v>
      </c>
      <c r="G1045" s="51"/>
    </row>
    <row r="1046" spans="1:7" s="50" customFormat="1" ns3:dyDescent="0.2">
      <c r="A1046" s="50" t="s">
        <v>235</v>
      </c>
      <c r="B1046" s="51">
        <v>3.192646153846154E-7</v>
      </c>
      <c r="D1046" s="50" t="s">
        <v>7</v>
      </c>
      <c r="E1046" s="50" t="s">
        <v>246</v>
      </c>
      <c r="F1046" s="50" t="s">
        <v>27</v>
      </c>
      <c r="G1046" s="51"/>
    </row>
    <row r="1047" spans="1:7" s="50" customFormat="1" ns3:dyDescent="0.2">
      <c r="A1047" s="50" t="s">
        <v>200</v>
      </c>
      <c r="B1047" s="51">
        <v>1.0575415384615386E-5</v>
      </c>
      <c r="D1047" s="50" t="s">
        <v>7</v>
      </c>
      <c r="E1047" s="50" t="s">
        <v>245</v>
      </c>
      <c r="F1047" s="50" t="s">
        <v>27</v>
      </c>
      <c r="G1047" s="51"/>
    </row>
    <row r="1048" spans="1:7" s="50" customFormat="1" ns3:dyDescent="0.2">
      <c r="A1048" s="50" t="s">
        <v>200</v>
      </c>
      <c r="B1048" s="51">
        <v>2.0069723076923078E-9</v>
      </c>
      <c r="D1048" s="50" t="s">
        <v>7</v>
      </c>
      <c r="E1048" s="50" t="s">
        <v>246</v>
      </c>
      <c r="F1048" s="50" t="s">
        <v>27</v>
      </c>
      <c r="G1048" s="51"/>
    </row>
    <row r="1049" spans="1:7" s="50" customFormat="1" ns3:dyDescent="0.2">
      <c r="A1049" s="50" t="s">
        <v>201</v>
      </c>
      <c r="B1049" s="51">
        <v>4.0965230769230776E-5</v>
      </c>
      <c r="D1049" s="50" t="s">
        <v>7</v>
      </c>
      <c r="E1049" s="50" t="s">
        <v>245</v>
      </c>
      <c r="F1049" s="50" t="s">
        <v>27</v>
      </c>
      <c r="G1049" s="51"/>
    </row>
    <row r="1050" spans="1:7" s="50" customFormat="1" ns3:dyDescent="0.2">
      <c r="A1050" s="50" t="s">
        <v>201</v>
      </c>
      <c r="B1050" s="51">
        <v>3.7708615384615385E-9</v>
      </c>
      <c r="D1050" s="50" t="s">
        <v>7</v>
      </c>
      <c r="E1050" s="50" t="s">
        <v>246</v>
      </c>
      <c r="F1050" s="50" t="s">
        <v>27</v>
      </c>
      <c r="G1050" s="51"/>
    </row>
    <row r="1051" spans="1:7" s="50" customFormat="1" ns3:dyDescent="0.2">
      <c r="A1051" s="50" t="s">
        <v>236</v>
      </c>
      <c r="B1051" s="51">
        <v>1.1502276923076923E-3</v>
      </c>
      <c r="D1051" s="50" t="s">
        <v>7</v>
      </c>
      <c r="E1051" s="50" t="s">
        <v>245</v>
      </c>
      <c r="F1051" s="50" t="s">
        <v>27</v>
      </c>
      <c r="G1051" s="51"/>
    </row>
    <row r="1052" spans="1:7" s="50" customFormat="1" ns3:dyDescent="0.2">
      <c r="A1052" s="50" t="s">
        <v>236</v>
      </c>
      <c r="B1052" s="51">
        <v>1.30068E-4</v>
      </c>
      <c r="D1052" s="50" t="s">
        <v>7</v>
      </c>
      <c r="E1052" s="50" t="s">
        <v>246</v>
      </c>
      <c r="F1052" s="50" t="s">
        <v>27</v>
      </c>
      <c r="G1052" s="51"/>
    </row>
    <row r="1053" spans="1:7" s="50" customFormat="1" ns3:dyDescent="0.2">
      <c r="A1053" s="50" t="s">
        <v>237</v>
      </c>
      <c r="B1053" s="51">
        <v>3.2228307692307693E-4</v>
      </c>
      <c r="D1053" s="50" t="s">
        <v>7</v>
      </c>
      <c r="E1053" s="50" t="s">
        <v>245</v>
      </c>
      <c r="F1053" s="50" t="s">
        <v>27</v>
      </c>
      <c r="G1053" s="51"/>
    </row>
    <row r="1054" spans="1:7" s="50" customFormat="1" ns3:dyDescent="0.2">
      <c r="A1054" s="50" t="s">
        <v>237</v>
      </c>
      <c r="B1054" s="51">
        <v>1.4059661538461541E-4</v>
      </c>
      <c r="D1054" s="50" t="s">
        <v>7</v>
      </c>
      <c r="E1054" s="50" t="s">
        <v>246</v>
      </c>
      <c r="F1054" s="50" t="s">
        <v>27</v>
      </c>
      <c r="G1054" s="51"/>
    </row>
    <row r="1055" spans="1:7" s="50" customFormat="1" ns3:dyDescent="0.2">
      <c r="A1055" s="50" t="s">
        <v>205</v>
      </c>
      <c r="B1055" s="51">
        <v>4.1292000000000009</v>
      </c>
      <c r="D1055" s="50" t="s">
        <v>17</v>
      </c>
      <c r="E1055" s="50" t="s">
        <v>246</v>
      </c>
      <c r="F1055" s="50" t="s">
        <v>27</v>
      </c>
      <c r="G1055" s="51"/>
    </row>
    <row r="1056" spans="1:7" s="50" customFormat="1" ns3:dyDescent="0.2">
      <c r="A1056" s="50" t="s">
        <v>257</v>
      </c>
      <c r="B1056" s="51">
        <v>2.4913938461538465E-15</v>
      </c>
      <c r="D1056" s="50" t="s">
        <v>7</v>
      </c>
      <c r="E1056" s="50" t="s">
        <v>245</v>
      </c>
      <c r="F1056" s="50" t="s">
        <v>27</v>
      </c>
      <c r="G1056" s="51"/>
    </row>
    <row r="1057" spans="1:7" s="50" customFormat="1" ns3:dyDescent="0.2">
      <c r="A1057" s="50" t="s">
        <v>257</v>
      </c>
      <c r="B1057" s="51">
        <v>1.2956953846153849E-7</v>
      </c>
      <c r="D1057" s="50" t="s">
        <v>7</v>
      </c>
      <c r="E1057" s="50" t="s">
        <v>246</v>
      </c>
      <c r="F1057" s="50" t="s">
        <v>27</v>
      </c>
      <c r="G1057" s="51"/>
    </row>
    <row r="1058" spans="1:7" s="50" customFormat="1" ns3:dyDescent="0.2">
      <c r="A1058" s="50" t="s">
        <v>208</v>
      </c>
      <c r="B1058" s="51">
        <v>7.4323384615384625E-4</v>
      </c>
      <c r="D1058" s="50" t="s">
        <v>7</v>
      </c>
      <c r="E1058" s="50" t="s">
        <v>245</v>
      </c>
      <c r="F1058" s="50" t="s">
        <v>27</v>
      </c>
      <c r="G1058" s="51"/>
    </row>
    <row r="1059" spans="1:7" s="50" customFormat="1" ns3:dyDescent="0.2">
      <c r="A1059" s="50" t="s">
        <v>208</v>
      </c>
      <c r="B1059" s="51">
        <v>3.0508615384615385E-8</v>
      </c>
      <c r="D1059" s="50" t="s">
        <v>7</v>
      </c>
      <c r="E1059" s="50" t="s">
        <v>246</v>
      </c>
      <c r="F1059" s="50" t="s">
        <v>27</v>
      </c>
      <c r="G1059" s="51"/>
    </row>
    <row r="1060" spans="1:7" s="50" customFormat="1" ns3:dyDescent="0.2">
      <c r="A1060" s="50" t="s">
        <v>209</v>
      </c>
      <c r="B1060" s="51">
        <v>3.156369230769231E-5</v>
      </c>
      <c r="D1060" s="50" t="s">
        <v>7</v>
      </c>
      <c r="E1060" s="50" t="s">
        <v>245</v>
      </c>
      <c r="F1060" s="50" t="s">
        <v>27</v>
      </c>
      <c r="G1060" s="51"/>
    </row>
    <row r="1061" spans="1:7" s="50" customFormat="1" ns3:dyDescent="0.2">
      <c r="A1061" s="50" t="s">
        <v>209</v>
      </c>
      <c r="B1061" s="51">
        <v>3.0544615384615388E-9</v>
      </c>
      <c r="D1061" s="50" t="s">
        <v>7</v>
      </c>
      <c r="E1061" s="50" t="s">
        <v>246</v>
      </c>
      <c r="F1061" s="50" t="s">
        <v>27</v>
      </c>
      <c r="G1061" s="51"/>
    </row>
    <row r="1062" spans="1:7" s="50" customFormat="1" ns3:dyDescent="0.2">
      <c r="A1062" s="50" t="s">
        <v>251</v>
      </c>
      <c r="B1062" s="51">
        <v>6.3437538461538464E-3</v>
      </c>
      <c r="D1062" s="50" t="s">
        <v>7</v>
      </c>
      <c r="E1062" s="50" t="s">
        <v>245</v>
      </c>
      <c r="F1062" s="50" t="s">
        <v>27</v>
      </c>
      <c r="G1062" s="51"/>
    </row>
    <row r="1063" spans="1:7" s="50" customFormat="1" ns3:dyDescent="0.2">
      <c r="A1063" s="50" t="s">
        <v>251</v>
      </c>
      <c r="B1063" s="51">
        <v>5.1571384615384624E-5</v>
      </c>
      <c r="D1063" s="50" t="s">
        <v>7</v>
      </c>
      <c r="E1063" s="50" t="s">
        <v>246</v>
      </c>
      <c r="F1063" s="50" t="s">
        <v>27</v>
      </c>
      <c r="G1063" s="51"/>
    </row>
    <row r="1064" spans="1:7" s="50" customFormat="1" ns3:dyDescent="0.2">
      <c r="A1064" s="50" t="s">
        <v>210</v>
      </c>
      <c r="B1064" s="51">
        <v>8.2539692307692318E-6</v>
      </c>
      <c r="D1064" s="50" t="s">
        <v>7</v>
      </c>
      <c r="E1064" s="50" t="s">
        <v>245</v>
      </c>
      <c r="F1064" s="50" t="s">
        <v>27</v>
      </c>
      <c r="G1064" s="51"/>
    </row>
    <row r="1065" spans="1:7" s="50" customFormat="1" ns3:dyDescent="0.2">
      <c r="A1065" s="50" t="s">
        <v>210</v>
      </c>
      <c r="B1065" s="51">
        <v>1.3013446153846158E-9</v>
      </c>
      <c r="D1065" s="50" t="s">
        <v>7</v>
      </c>
      <c r="E1065" s="50" t="s">
        <v>246</v>
      </c>
      <c r="F1065" s="50" t="s">
        <v>27</v>
      </c>
      <c r="G1065" s="51"/>
    </row>
    <row r="1066" spans="1:7" s="50" customFormat="1" ns3:dyDescent="0.2">
      <c r="A1066" s="50" t="s">
        <v>211</v>
      </c>
      <c r="B1066" s="51">
        <v>3.552369230769231E-8</v>
      </c>
      <c r="D1066" s="50" t="s">
        <v>7</v>
      </c>
      <c r="E1066" s="50" t="s">
        <v>245</v>
      </c>
      <c r="F1066" s="50" t="s">
        <v>27</v>
      </c>
      <c r="G1066" s="51"/>
    </row>
    <row r="1067" spans="1:7" s="50" customFormat="1" ns3:dyDescent="0.2">
      <c r="A1067" s="50" t="s">
        <v>211</v>
      </c>
      <c r="B1067" s="51">
        <v>8.9969538461538472E-10</v>
      </c>
      <c r="D1067" s="50" t="s">
        <v>7</v>
      </c>
      <c r="E1067" s="50" t="s">
        <v>246</v>
      </c>
      <c r="F1067" s="50" t="s">
        <v>27</v>
      </c>
      <c r="G1067" s="51"/>
    </row>
    <row r="1068" spans="1:7" s="50" customFormat="1" ns3:dyDescent="0.2">
      <c r="A1068" s="50" t="s">
        <v>253</v>
      </c>
      <c r="B1068" s="51">
        <v>7.4489538461538462E-7</v>
      </c>
      <c r="D1068" s="50" t="s">
        <v>7</v>
      </c>
      <c r="E1068" s="50" t="s">
        <v>245</v>
      </c>
      <c r="F1068" s="50" t="s">
        <v>27</v>
      </c>
      <c r="G1068" s="51"/>
    </row>
    <row r="1069" spans="1:7" s="50" customFormat="1" ns3:dyDescent="0.2">
      <c r="A1069" s="50" t="s">
        <v>253</v>
      </c>
      <c r="B1069" s="51">
        <v>1.6076215384615385E-7</v>
      </c>
      <c r="D1069" s="50" t="s">
        <v>7</v>
      </c>
      <c r="E1069" s="50" t="s">
        <v>246</v>
      </c>
      <c r="F1069" s="50" t="s">
        <v>27</v>
      </c>
      <c r="G1069" s="51"/>
    </row>
    <row r="1070" spans="1:7" s="50" customFormat="1" ns3:dyDescent="0.2">
      <c r="A1070" s="50" t="s">
        <v>214</v>
      </c>
      <c r="B1070" s="51">
        <v>1.2919569230769232E-5</v>
      </c>
      <c r="D1070" s="50" t="s">
        <v>7</v>
      </c>
      <c r="E1070" s="50" t="s">
        <v>245</v>
      </c>
      <c r="F1070" s="50" t="s">
        <v>27</v>
      </c>
      <c r="G1070" s="51"/>
    </row>
    <row r="1071" spans="1:7" s="50" customFormat="1" ns3:dyDescent="0.2">
      <c r="A1071" s="50" t="s">
        <v>214</v>
      </c>
      <c r="B1071" s="51">
        <v>8.8659692307692327E-9</v>
      </c>
      <c r="D1071" s="50" t="s">
        <v>7</v>
      </c>
      <c r="E1071" s="50" t="s">
        <v>246</v>
      </c>
      <c r="F1071" s="50" t="s">
        <v>27</v>
      </c>
      <c r="G1071" s="51"/>
    </row>
    <row r="1072" spans="1:7" s="50" customFormat="1" ns3:dyDescent="0.2">
      <c r="A1072" s="50" t="s">
        <v>238</v>
      </c>
      <c r="B1072" s="51">
        <v>3.4651384615384616E-4</v>
      </c>
      <c r="D1072" s="50" t="s">
        <v>7</v>
      </c>
      <c r="E1072" s="50" t="s">
        <v>245</v>
      </c>
      <c r="F1072" s="50" t="s">
        <v>27</v>
      </c>
      <c r="G1072" s="51"/>
    </row>
    <row r="1073" spans="1:7" s="50" customFormat="1" ns3:dyDescent="0.2">
      <c r="A1073" s="50" t="s">
        <v>238</v>
      </c>
      <c r="B1073" s="51">
        <v>1.2412800000000002E-4</v>
      </c>
      <c r="D1073" s="50" t="s">
        <v>7</v>
      </c>
      <c r="E1073" s="50" t="s">
        <v>246</v>
      </c>
      <c r="F1073" s="50" t="s">
        <v>27</v>
      </c>
      <c r="G1073" s="51"/>
    </row>
    <row r="1074" spans="1:7" s="50" customFormat="1" ns3:dyDescent="0.2">
      <c r="A1074" s="50" t="s">
        <v>258</v>
      </c>
      <c r="B1074" s="51">
        <v>2.454673846153846E-4</v>
      </c>
      <c r="D1074" s="50" t="s">
        <v>7</v>
      </c>
      <c r="E1074" s="50" t="s">
        <v>245</v>
      </c>
      <c r="F1074" s="50" t="s">
        <v>27</v>
      </c>
      <c r="G1074" s="51"/>
    </row>
    <row r="1075" spans="1:7" s="50" customFormat="1" ns3:dyDescent="0.2">
      <c r="A1075" s="50" t="s">
        <v>258</v>
      </c>
      <c r="B1075" s="51">
        <v>4.0638461538461546E-6</v>
      </c>
      <c r="D1075" s="50" t="s">
        <v>7</v>
      </c>
      <c r="E1075" s="50" t="s">
        <v>246</v>
      </c>
      <c r="F1075" s="50" t="s">
        <v>27</v>
      </c>
      <c r="G1075" s="51"/>
    </row>
    <row r="1076" spans="1:7" s="50" customFormat="1" ns3:dyDescent="0.2">
      <c r="A1076" s="50" t="s">
        <v>255</v>
      </c>
      <c r="B1076" s="51">
        <v>6.0660000000000011E-3</v>
      </c>
      <c r="D1076" s="50" t="s">
        <v>7</v>
      </c>
      <c r="E1076" s="50" t="s">
        <v>245</v>
      </c>
      <c r="F1076" s="50" t="s">
        <v>27</v>
      </c>
      <c r="G1076" s="51"/>
    </row>
    <row r="1077" spans="1:7" s="50" customFormat="1" ns3:dyDescent="0.2">
      <c r="A1077" s="50" t="s">
        <v>255</v>
      </c>
      <c r="B1077" s="51">
        <v>2.2923969230769234E-3</v>
      </c>
      <c r="D1077" s="50" t="s">
        <v>7</v>
      </c>
      <c r="E1077" s="50" t="s">
        <v>246</v>
      </c>
      <c r="F1077" s="50" t="s">
        <v>27</v>
      </c>
      <c r="G1077" s="51"/>
    </row>
    <row r="1078" spans="1:7" s="50" customFormat="1" ns3:dyDescent="0.2">
      <c r="A1078" s="50" t="s">
        <v>219</v>
      </c>
      <c r="B1078" s="51">
        <v>9.2630769230769232E-7</v>
      </c>
      <c r="D1078" s="50" t="s">
        <v>7</v>
      </c>
      <c r="E1078" s="50" t="s">
        <v>245</v>
      </c>
      <c r="F1078" s="50" t="s">
        <v>27</v>
      </c>
      <c r="G1078" s="51"/>
    </row>
    <row r="1079" spans="1:7" s="50" customFormat="1" ns3:dyDescent="0.2">
      <c r="A1079" s="50" t="s">
        <v>219</v>
      </c>
      <c r="B1079" s="51">
        <v>2.4050215384615388E-7</v>
      </c>
      <c r="D1079" s="50" t="s">
        <v>7</v>
      </c>
      <c r="E1079" s="50" t="s">
        <v>246</v>
      </c>
      <c r="F1079" s="50" t="s">
        <v>27</v>
      </c>
      <c r="G1079" s="51"/>
    </row>
    <row r="1080" spans="1:7" s="50" customFormat="1" ns3:dyDescent="0.2">
      <c r="A1080" s="50" t="s">
        <v>239</v>
      </c>
      <c r="B1080" s="51">
        <v>7.1307692307692313E-3</v>
      </c>
      <c r="D1080" s="50" t="s">
        <v>7</v>
      </c>
      <c r="E1080" s="50" t="s">
        <v>245</v>
      </c>
      <c r="F1080" s="50" t="s">
        <v>27</v>
      </c>
      <c r="G1080" s="51"/>
    </row>
    <row r="1081" spans="1:7" s="50" customFormat="1" ns3:dyDescent="0.2">
      <c r="A1081" s="50" t="s">
        <v>239</v>
      </c>
      <c r="B1081" s="51">
        <v>2.2884369230769233E-5</v>
      </c>
      <c r="D1081" s="50" t="s">
        <v>7</v>
      </c>
      <c r="E1081" s="50" t="s">
        <v>246</v>
      </c>
      <c r="F1081" s="50" t="s">
        <v>27</v>
      </c>
      <c r="G1081" s="51"/>
    </row>
    <row r="1082" spans="1:7" s="50" customFormat="1" ns3:dyDescent="0.2">
      <c r="A1082" s="50" t="s">
        <v>240</v>
      </c>
      <c r="B1082" s="51">
        <v>2.3712369230769236E-3</v>
      </c>
      <c r="D1082" s="50" t="s">
        <v>7</v>
      </c>
      <c r="E1082" s="50" t="s">
        <v>245</v>
      </c>
      <c r="F1082" s="50" t="s">
        <v>27</v>
      </c>
      <c r="G1082" s="51"/>
    </row>
    <row r="1083" spans="1:7" s="50" customFormat="1" ns3:dyDescent="0.2">
      <c r="A1083" s="50" t="s">
        <v>240</v>
      </c>
      <c r="B1083" s="51">
        <v>1.1923476923076924E-3</v>
      </c>
      <c r="D1083" s="50" t="s">
        <v>7</v>
      </c>
      <c r="E1083" s="50" t="s">
        <v>246</v>
      </c>
      <c r="F1083" s="50" t="s">
        <v>27</v>
      </c>
      <c r="G1083" s="51"/>
    </row>
    <row r="1084" spans="1:7" s="50" customFormat="1" ns3:dyDescent="0.2">
      <c r="A1084" s="50" t="s">
        <v>241</v>
      </c>
      <c r="B1084" s="51">
        <v>8.6582769230769251E-3</v>
      </c>
      <c r="D1084" s="50" t="s">
        <v>7</v>
      </c>
      <c r="E1084" s="50" t="s">
        <v>245</v>
      </c>
      <c r="F1084" s="50" t="s">
        <v>27</v>
      </c>
      <c r="G1084" s="51"/>
    </row>
    <row r="1085" spans="1:7" s="50" customFormat="1" ns3:dyDescent="0.2">
      <c r="A1085" s="50" t="s">
        <v>241</v>
      </c>
      <c r="B1085" s="51">
        <v>1.4798215384615387E-3</v>
      </c>
      <c r="D1085" s="50" t="s">
        <v>7</v>
      </c>
      <c r="E1085" s="50" t="s">
        <v>246</v>
      </c>
      <c r="F1085" s="50" t="s">
        <v>27</v>
      </c>
      <c r="G1085" s="51"/>
    </row>
    <row r="1086" spans="1:7" s="50" customFormat="1" ns3:dyDescent="0.2">
      <c r="A1086" s="50" t="s">
        <v>242</v>
      </c>
      <c r="B1086" s="51">
        <v>1.1502276923076923E-3</v>
      </c>
      <c r="D1086" s="50" t="s">
        <v>7</v>
      </c>
      <c r="E1086" s="50" t="s">
        <v>245</v>
      </c>
      <c r="F1086" s="50" t="s">
        <v>27</v>
      </c>
      <c r="G1086" s="51"/>
    </row>
    <row r="1087" spans="1:7" s="50" customFormat="1" ns3:dyDescent="0.2">
      <c r="A1087" s="50" t="s">
        <v>242</v>
      </c>
      <c r="B1087" s="51">
        <v>1.30068E-4</v>
      </c>
      <c r="D1087" s="50" t="s">
        <v>7</v>
      </c>
      <c r="E1087" s="50" t="s">
        <v>246</v>
      </c>
      <c r="F1087" s="50" t="s">
        <v>27</v>
      </c>
      <c r="G1087" s="51"/>
    </row>
    <row r="1088" spans="1:7" s="50" customFormat="1" ns3:dyDescent="0.2">
      <c r="A1088" s="50" t="s">
        <v>223</v>
      </c>
      <c r="B1088" s="51">
        <v>2.7332584615384619E-9</v>
      </c>
      <c r="D1088" s="50" t="s">
        <v>7</v>
      </c>
      <c r="E1088" s="50" t="s">
        <v>245</v>
      </c>
      <c r="F1088" s="50" t="s">
        <v>27</v>
      </c>
      <c r="G1088" s="51"/>
    </row>
    <row r="1089" spans="1:7" s="50" customFormat="1" ns3:dyDescent="0.2">
      <c r="A1089" s="50" t="s">
        <v>223</v>
      </c>
      <c r="B1089" s="51">
        <v>4.5631384615384617E-12</v>
      </c>
      <c r="D1089" s="50" t="s">
        <v>7</v>
      </c>
      <c r="E1089" s="50" t="s">
        <v>246</v>
      </c>
      <c r="F1089" s="50" t="s">
        <v>27</v>
      </c>
      <c r="G1089" s="51"/>
    </row>
    <row r="1090" spans="1:7" s="50" customFormat="1" ns3:dyDescent="0.2">
      <c r="A1090" s="50" t="s">
        <v>224</v>
      </c>
      <c r="B1090" s="51">
        <v>1.2818769230769233E-5</v>
      </c>
      <c r="D1090" s="50" t="s">
        <v>7</v>
      </c>
      <c r="E1090" s="50" t="s">
        <v>245</v>
      </c>
      <c r="F1090" s="50" t="s">
        <v>27</v>
      </c>
      <c r="G1090" s="51"/>
    </row>
    <row r="1091" spans="1:7" s="50" customFormat="1" ns3:dyDescent="0.2">
      <c r="A1091" s="50" t="s">
        <v>224</v>
      </c>
      <c r="B1091" s="51">
        <v>1.7459723076923075E-8</v>
      </c>
      <c r="D1091" s="50" t="s">
        <v>7</v>
      </c>
      <c r="E1091" s="50" t="s">
        <v>246</v>
      </c>
      <c r="F1091" s="50" t="s">
        <v>27</v>
      </c>
      <c r="G1091" s="51"/>
    </row>
    <row r="1092" spans="1:7" s="50" customFormat="1" ns3:dyDescent="0.2">
      <c r="A1092" s="50" t="s">
        <v>227</v>
      </c>
      <c r="B1092" s="51">
        <v>2.8290461538461545E-6</v>
      </c>
      <c r="D1092" s="50" t="s">
        <v>7</v>
      </c>
      <c r="E1092" s="50" t="s">
        <v>245</v>
      </c>
      <c r="F1092" s="50" t="s">
        <v>27</v>
      </c>
      <c r="G1092" s="51"/>
    </row>
    <row r="1093" spans="1:7" s="50" customFormat="1" ns3:dyDescent="0.2">
      <c r="A1093" s="50" t="s">
        <v>227</v>
      </c>
      <c r="B1093" s="51">
        <v>1.0638000000000002E-8</v>
      </c>
      <c r="D1093" s="50" t="s">
        <v>7</v>
      </c>
      <c r="E1093" s="50" t="s">
        <v>246</v>
      </c>
      <c r="F1093" s="50" t="s">
        <v>27</v>
      </c>
      <c r="G1093" s="51"/>
    </row>
    <row r="1094" spans="1:7" s="50" customFormat="1" ns3:dyDescent="0.2">
      <c r="A1094" s="50" t="s">
        <v>228</v>
      </c>
      <c r="B1094" s="51">
        <v>8.0386892307692318E-4</v>
      </c>
      <c r="D1094" s="50" t="s">
        <v>37</v>
      </c>
      <c r="E1094" s="50" t="s">
        <v>246</v>
      </c>
      <c r="F1094" s="50" t="s">
        <v>27</v>
      </c>
      <c r="G1094" s="51"/>
    </row>
    <row r="1095" spans="1:7" s="50" customFormat="1" ns3:dyDescent="0.2">
      <c r="A1095" s="50" t="s">
        <v>229</v>
      </c>
      <c r="B1095" s="51">
        <v>6.3171692307692316E-5</v>
      </c>
      <c r="D1095" s="50" t="s">
        <v>7</v>
      </c>
      <c r="E1095" s="50" t="s">
        <v>245</v>
      </c>
      <c r="F1095" s="50" t="s">
        <v>27</v>
      </c>
      <c r="G1095" s="51"/>
    </row>
    <row r="1096" spans="1:7" s="50" customFormat="1" ns3:dyDescent="0.2">
      <c r="A1096" s="50" t="s">
        <v>229</v>
      </c>
      <c r="B1096" s="51">
        <v>8.6064923076923091E-9</v>
      </c>
      <c r="D1096" s="50" t="s">
        <v>7</v>
      </c>
      <c r="E1096" s="50" t="s">
        <v>246</v>
      </c>
      <c r="F1096" s="50" t="s">
        <v>27</v>
      </c>
      <c r="G1096" s="51"/>
    </row>
    <row r="1097" spans="1:7" s="50" customFormat="1" ns3:dyDescent="0.2">
      <c r="A1097" s="50" t="s">
        <v>243</v>
      </c>
      <c r="B1097" s="51">
        <v>1.3308369230769233</v>
      </c>
      <c r="D1097" s="50" t="s">
        <v>7</v>
      </c>
      <c r="E1097" s="50" t="s">
        <v>111</v>
      </c>
      <c r="F1097" s="50" t="s">
        <v>27</v>
      </c>
      <c r="G1097" s="51"/>
    </row>
    <row r="1098" spans="1:7" s="50" customFormat="1" ns3:dyDescent="0.2">
      <c r="A1098" s="50" t="s">
        <v>35</v>
      </c>
      <c r="B1098" s="51">
        <f>(1/0.42)*0.29*6.09*1.1</f>
        <v>4.6255000000000006</v>
      </c>
      <c r="D1098" s="50" t="s">
        <v>17</v>
      </c>
      <c r="E1098" s="50" t="s">
        <v>36</v>
      </c>
      <c r="F1098" s="50" t="s">
        <v>27</v>
      </c>
      <c r="G1098" s="51"/>
    </row>
    <row r="1099" spans="1:7" s="50" customFormat="1" ns3:dyDescent="0.2"/>
    <row r="1100" spans="1:7" s="50" customFormat="1" ht="16" ns3:dyDescent="0.2">
      <c r="A1100" s="49" t="s">
        <v>0</v>
      </c>
      <c r="B1100" s="49" t="s">
        <v>138</v>
      </c>
    </row>
    <row r="1101" spans="1:7" s="50" customFormat="1" ns3:dyDescent="0.2">
      <c r="A1101" s="50" t="s">
        <v>1</v>
      </c>
      <c r="B1101" s="50" t="s">
        <v>104</v>
      </c>
    </row>
    <row r="1102" spans="1:7" s="50" customFormat="1" ns3:dyDescent="0.2">
      <c r="A1102" s="50" t="s">
        <v>2</v>
      </c>
      <c r="B1102" s="50">
        <v>1</v>
      </c>
    </row>
    <row r="1103" spans="1:7" s="50" customFormat="1" ns3:dyDescent="0.2">
      <c r="A1103" s="50" t="s">
        <v>3</v>
      </c>
      <c r="B1103" s="3" t="s">
        <v>139</v>
      </c>
    </row>
    <row r="1104" spans="1:7" s="50" customFormat="1" ns3:dyDescent="0.2">
      <c r="A1104" s="50" t="s">
        <v>4</v>
      </c>
      <c r="B1104" s="50" t="s">
        <v>5</v>
      </c>
    </row>
    <row r="1105" spans="1:8" s="50" customFormat="1" ns3:dyDescent="0.2">
      <c r="A1105" s="50" t="s">
        <v>6</v>
      </c>
      <c r="B1105" s="50" t="s">
        <v>17</v>
      </c>
    </row>
    <row r="1106" spans="1:8" ns3:dyDescent="0.2">
      <c r="A1106" t="s">
        <v>261</v>
      </c>
      <c r="B1106" s="23">
        <f>0.33*71%*90%</f>
        <v>0.21087</v>
      </c>
    </row>
    <row r="1107" spans="1:8" s="50" customFormat="1" ns3:dyDescent="0.2">
      <c r="A1107" s="50" t="s">
        <v>9</v>
      </c>
      <c r="B1107" s="50" t="s">
        <v>133</v>
      </c>
    </row>
    <row r="1108" spans="1:8" s="50" customFormat="1" ht="16" ns3:dyDescent="0.2">
      <c r="A1108" s="49" t="s">
        <v>10</v>
      </c>
    </row>
    <row r="1109" spans="1:8" s="50" customFormat="1" ns3:dyDescent="0.2">
      <c r="A1109" s="50" t="s">
        <v>11</v>
      </c>
      <c r="B1109" s="50" t="s">
        <v>12</v>
      </c>
      <c r="C1109" s="50" t="s">
        <v>1</v>
      </c>
      <c r="D1109" s="50" t="s">
        <v>6</v>
      </c>
      <c r="E1109" s="50" t="s">
        <v>13</v>
      </c>
      <c r="F1109" s="50" t="s">
        <v>4</v>
      </c>
      <c r="G1109" s="50" t="s">
        <v>9</v>
      </c>
      <c r="H1109" s="50" t="s">
        <v>3</v>
      </c>
    </row>
    <row r="1110" spans="1:8" s="50" customFormat="1" ns3:dyDescent="0.2">
      <c r="A1110" s="50" t="str">
        <f>B1100</f>
        <v>heat production, at co-generation biowaste-fired power plant, post, pipeline 200km, storage 1000m</v>
      </c>
      <c r="B1110" s="50">
        <v>1</v>
      </c>
      <c r="C1110" s="50" t="str">
        <f>B1101</f>
        <v>CH</v>
      </c>
      <c r="D1110" s="50" t="s">
        <v>17</v>
      </c>
      <c r="F1110" s="50" t="s">
        <v>15</v>
      </c>
      <c r="G1110" s="50" t="s">
        <v>16</v>
      </c>
      <c r="H1110" s="51" t="str">
        <f>B1103</f>
        <v>heat, from biowaste, municipal incineration, energy allocation</v>
      </c>
    </row>
    <row r="1111" spans="1:8" s="50" customFormat="1" ns3:dyDescent="0.2">
      <c r="A1111" s="50" t="s">
        <v>134</v>
      </c>
      <c r="B1111" s="50">
        <f>0.9*0.397030769230769</f>
        <v>0.35732769230769212</v>
      </c>
      <c r="C1111" s="50" t="s">
        <v>103</v>
      </c>
      <c r="D1111" s="50" t="s">
        <v>7</v>
      </c>
      <c r="F1111" s="50" t="s">
        <v>18</v>
      </c>
      <c r="H1111" s="50" t="s">
        <v>134</v>
      </c>
    </row>
    <row r="1112" spans="1:8" s="50" customFormat="1" ns3:dyDescent="0.2">
      <c r="A1112" s="50" t="s">
        <v>110</v>
      </c>
      <c r="B1112" s="51">
        <v>0.39703076923076902</v>
      </c>
      <c r="D1112" s="50" t="s">
        <v>7</v>
      </c>
      <c r="E1112" s="50" t="s">
        <v>111</v>
      </c>
      <c r="F1112" s="50" t="s">
        <v>27</v>
      </c>
      <c r="G1112" s="52"/>
    </row>
    <row r="1113" spans="1:8" s="50" customFormat="1" ns3:dyDescent="0.2">
      <c r="A1113" s="50" t="s">
        <v>149</v>
      </c>
      <c r="B1113" s="51">
        <v>4.1268461538461552E-4</v>
      </c>
      <c r="C1113" s="50" t="s">
        <v>103</v>
      </c>
      <c r="D1113" s="50" t="s">
        <v>7</v>
      </c>
      <c r="F1113" t="s">
        <v>18</v>
      </c>
      <c r="G1113" s="51"/>
      <c r="H1113" s="50" t="s">
        <v>170</v>
      </c>
    </row>
    <row r="1114" spans="1:8" s="50" customFormat="1" ns3:dyDescent="0.2">
      <c r="A1114" s="50" t="s">
        <v>150</v>
      </c>
      <c r="B1114" s="51">
        <v>2.3803076923076926E-7</v>
      </c>
      <c r="C1114" s="50" t="s">
        <v>103</v>
      </c>
      <c r="D1114" s="50" t="s">
        <v>7</v>
      </c>
      <c r="F1114" t="s">
        <v>18</v>
      </c>
      <c r="G1114" s="51"/>
      <c r="H1114" s="50" t="s">
        <v>171</v>
      </c>
    </row>
    <row r="1115" spans="1:8" s="50" customFormat="1" ns3:dyDescent="0.2">
      <c r="A1115" s="50" t="s">
        <v>168</v>
      </c>
      <c r="B1115" s="51">
        <v>4.0630000000000006E-3</v>
      </c>
      <c r="C1115" s="50" t="s">
        <v>104</v>
      </c>
      <c r="D1115" s="50" t="s">
        <v>7</v>
      </c>
      <c r="F1115" t="s">
        <v>18</v>
      </c>
      <c r="G1115" s="51"/>
      <c r="H1115" s="50" t="s">
        <v>186</v>
      </c>
    </row>
    <row r="1116" spans="1:8" s="50" customFormat="1" ns3:dyDescent="0.2">
      <c r="A1116" s="50" t="s">
        <v>151</v>
      </c>
      <c r="B1116" s="51">
        <v>5.575307692307693E-5</v>
      </c>
      <c r="C1116" s="50" t="s">
        <v>24</v>
      </c>
      <c r="D1116" s="50" t="s">
        <v>7</v>
      </c>
      <c r="F1116" t="s">
        <v>18</v>
      </c>
      <c r="G1116" s="51"/>
      <c r="H1116" s="50" t="s">
        <v>172</v>
      </c>
    </row>
    <row r="1117" spans="1:8" s="50" customFormat="1" ns3:dyDescent="0.2">
      <c r="A1117" s="50" t="s">
        <v>152</v>
      </c>
      <c r="B1117" s="51">
        <v>4.3123846153846167E-7</v>
      </c>
      <c r="C1117" s="50" t="s">
        <v>24</v>
      </c>
      <c r="D1117" s="50" t="s">
        <v>7</v>
      </c>
      <c r="F1117" t="s">
        <v>18</v>
      </c>
      <c r="G1117" s="51"/>
      <c r="H1117" s="50" t="s">
        <v>173</v>
      </c>
    </row>
    <row r="1118" spans="1:8" s="50" customFormat="1" ns3:dyDescent="0.2">
      <c r="A1118" t="s">
        <v>493</v>
      </c>
      <c r="B1118" s="51">
        <v>5.2766923076923077E-7</v>
      </c>
      <c r="C1118" s="50" t="s">
        <v>24</v>
      </c>
      <c r="D1118" s="50" t="s">
        <v>7</v>
      </c>
      <c r="F1118" t="s">
        <v>18</v>
      </c>
      <c r="G1118" s="51"/>
      <c r="H1118" t="s">
        <v>494</v>
      </c>
    </row>
    <row r="1119" spans="1:8" s="50" customFormat="1" ns3:dyDescent="0.2">
      <c r="A1119" s="50" t="s">
        <v>169</v>
      </c>
      <c r="B1119" s="51">
        <v>7.7169230769230782E-2</v>
      </c>
      <c r="C1119" s="50" t="s">
        <v>104</v>
      </c>
      <c r="D1119" s="50" t="s">
        <v>17</v>
      </c>
      <c r="F1119" t="s">
        <v>18</v>
      </c>
      <c r="G1119" s="51"/>
      <c r="H1119" s="50" t="s">
        <v>187</v>
      </c>
    </row>
    <row r="1120" spans="1:8" s="50" customFormat="1" ns3:dyDescent="0.2">
      <c r="A1120" s="50" t="s">
        <v>153</v>
      </c>
      <c r="B1120" s="51">
        <v>2.9617692307692316E-4</v>
      </c>
      <c r="C1120" s="50" t="s">
        <v>103</v>
      </c>
      <c r="D1120" s="50" t="s">
        <v>7</v>
      </c>
      <c r="F1120" t="s">
        <v>18</v>
      </c>
      <c r="G1120" s="51"/>
      <c r="H1120" s="50" t="s">
        <v>174</v>
      </c>
    </row>
    <row r="1121" spans="1:8" s="50" customFormat="1" ns3:dyDescent="0.2">
      <c r="A1121" s="50" t="s">
        <v>154</v>
      </c>
      <c r="B1121" s="51">
        <v>7.1652307692307712E-4</v>
      </c>
      <c r="C1121" s="50" t="s">
        <v>103</v>
      </c>
      <c r="D1121" s="50" t="s">
        <v>7</v>
      </c>
      <c r="F1121" t="s">
        <v>18</v>
      </c>
      <c r="G1121" s="51"/>
      <c r="H1121" s="50" t="s">
        <v>175</v>
      </c>
    </row>
    <row r="1122" spans="1:8" s="50" customFormat="1" ns3:dyDescent="0.2">
      <c r="A1122" s="50" t="s">
        <v>155</v>
      </c>
      <c r="B1122" s="51">
        <v>8.3669230769230778E-7</v>
      </c>
      <c r="C1122" s="50" t="s">
        <v>24</v>
      </c>
      <c r="D1122" s="50" t="s">
        <v>7</v>
      </c>
      <c r="F1122" t="s">
        <v>18</v>
      </c>
      <c r="G1122" s="51"/>
      <c r="H1122" t="s">
        <v>474</v>
      </c>
    </row>
    <row r="1123" spans="1:8" s="50" customFormat="1" ns3:dyDescent="0.2">
      <c r="A1123" s="50" t="s">
        <v>156</v>
      </c>
      <c r="B1123" s="51">
        <v>-2.2291538461538469E-3</v>
      </c>
      <c r="C1123" s="50" t="s">
        <v>24</v>
      </c>
      <c r="D1123" s="50" t="s">
        <v>7</v>
      </c>
      <c r="F1123" t="s">
        <v>18</v>
      </c>
      <c r="G1123" s="51"/>
      <c r="H1123" s="50" t="s">
        <v>176</v>
      </c>
    </row>
    <row r="1124" spans="1:8" s="50" customFormat="1" ns3:dyDescent="0.2">
      <c r="A1124" s="50" t="s">
        <v>157</v>
      </c>
      <c r="B1124" s="51">
        <v>1.9230769230769236E-10</v>
      </c>
      <c r="C1124" s="50" t="s">
        <v>104</v>
      </c>
      <c r="D1124" s="50" t="s">
        <v>6</v>
      </c>
      <c r="F1124" t="s">
        <v>18</v>
      </c>
      <c r="G1124" s="51"/>
      <c r="H1124" s="50" t="s">
        <v>177</v>
      </c>
    </row>
    <row r="1125" spans="1:8" s="50" customFormat="1" ns3:dyDescent="0.2">
      <c r="A1125" s="50" t="s">
        <v>158</v>
      </c>
      <c r="B1125" s="51">
        <v>2.0251538461538467E-2</v>
      </c>
      <c r="C1125" s="50" t="s">
        <v>104</v>
      </c>
      <c r="D1125" s="50" t="s">
        <v>7</v>
      </c>
      <c r="F1125" t="s">
        <v>18</v>
      </c>
      <c r="G1125" s="51"/>
      <c r="H1125" s="50" t="s">
        <v>158</v>
      </c>
    </row>
    <row r="1126" spans="1:8" s="50" customFormat="1" ns3:dyDescent="0.2">
      <c r="A1126" s="50" t="s">
        <v>159</v>
      </c>
      <c r="B1126" s="51">
        <v>0.10974615384615387</v>
      </c>
      <c r="C1126" s="50" t="s">
        <v>104</v>
      </c>
      <c r="D1126" s="50" t="s">
        <v>7</v>
      </c>
      <c r="F1126" t="s">
        <v>18</v>
      </c>
      <c r="G1126" s="51"/>
      <c r="H1126" s="50" t="s">
        <v>159</v>
      </c>
    </row>
    <row r="1127" spans="1:8" s="50" customFormat="1" ns3:dyDescent="0.2">
      <c r="A1127" s="50" t="s">
        <v>160</v>
      </c>
      <c r="B1127" s="51">
        <v>1.0615384615384616E-3</v>
      </c>
      <c r="C1127" s="50" t="s">
        <v>103</v>
      </c>
      <c r="D1127" s="50" t="s">
        <v>7</v>
      </c>
      <c r="F1127" t="s">
        <v>18</v>
      </c>
      <c r="G1127" s="51"/>
      <c r="H1127" s="50" t="s">
        <v>178</v>
      </c>
    </row>
    <row r="1128" spans="1:8" s="50" customFormat="1" ns3:dyDescent="0.2">
      <c r="A1128" s="50" t="s">
        <v>161</v>
      </c>
      <c r="B1128" s="51">
        <v>4.2190769230769235E-11</v>
      </c>
      <c r="C1128" s="50" t="s">
        <v>104</v>
      </c>
      <c r="D1128" s="50" t="s">
        <v>6</v>
      </c>
      <c r="F1128" t="s">
        <v>18</v>
      </c>
      <c r="G1128" s="51"/>
      <c r="H1128" s="50" t="s">
        <v>179</v>
      </c>
    </row>
    <row r="1129" spans="1:8" s="50" customFormat="1" ns3:dyDescent="0.2">
      <c r="A1129" s="50" t="s">
        <v>162</v>
      </c>
      <c r="B1129" s="51">
        <v>1.9510000000000003E-10</v>
      </c>
      <c r="C1129" s="50" t="s">
        <v>104</v>
      </c>
      <c r="D1129" s="50" t="s">
        <v>6</v>
      </c>
      <c r="F1129" t="s">
        <v>18</v>
      </c>
      <c r="G1129" s="51"/>
      <c r="H1129" s="50" t="s">
        <v>180</v>
      </c>
    </row>
    <row r="1130" spans="1:8" s="50" customFormat="1" ns3:dyDescent="0.2">
      <c r="A1130" s="50" t="s">
        <v>163</v>
      </c>
      <c r="B1130" s="51">
        <v>8.3146153846153873E-4</v>
      </c>
      <c r="C1130" s="3" t="s">
        <v>267</v>
      </c>
      <c r="D1130" s="50" t="s">
        <v>7</v>
      </c>
      <c r="F1130" t="s">
        <v>18</v>
      </c>
      <c r="G1130" s="51"/>
      <c r="H1130" s="50" t="s">
        <v>181</v>
      </c>
    </row>
    <row r="1131" spans="1:8" s="50" customFormat="1" ns3:dyDescent="0.2">
      <c r="A1131" s="50" t="s">
        <v>164</v>
      </c>
      <c r="B1131" s="51">
        <v>-2.5055384615384618E-7</v>
      </c>
      <c r="C1131" s="50" t="s">
        <v>24</v>
      </c>
      <c r="D1131" s="50" t="s">
        <v>7</v>
      </c>
      <c r="F1131" t="s">
        <v>18</v>
      </c>
      <c r="G1131" s="51"/>
      <c r="H1131" s="50" t="s">
        <v>182</v>
      </c>
    </row>
    <row r="1132" spans="1:8" s="50" customFormat="1" ns3:dyDescent="0.2">
      <c r="A1132" s="50" t="s">
        <v>165</v>
      </c>
      <c r="B1132" s="51">
        <v>2.5856153846153849E-5</v>
      </c>
      <c r="C1132" s="50" t="s">
        <v>103</v>
      </c>
      <c r="D1132" s="50" t="s">
        <v>7</v>
      </c>
      <c r="F1132" t="s">
        <v>18</v>
      </c>
      <c r="G1132" s="51"/>
      <c r="H1132" s="50" t="s">
        <v>183</v>
      </c>
    </row>
    <row r="1133" spans="1:8" s="50" customFormat="1" ns3:dyDescent="0.2">
      <c r="A1133" s="50" t="s">
        <v>81</v>
      </c>
      <c r="B1133" s="51">
        <v>5.022461538461539E-3</v>
      </c>
      <c r="C1133" s="50" t="s">
        <v>103</v>
      </c>
      <c r="D1133" s="50" t="s">
        <v>28</v>
      </c>
      <c r="F1133" t="s">
        <v>18</v>
      </c>
      <c r="G1133" s="51"/>
      <c r="H1133" s="50" t="s">
        <v>82</v>
      </c>
    </row>
    <row r="1134" spans="1:8" s="50" customFormat="1" ns3:dyDescent="0.2">
      <c r="A1134" s="50" t="s">
        <v>166</v>
      </c>
      <c r="B1134" s="51">
        <v>-1.015769230769231E-2</v>
      </c>
      <c r="C1134" s="50" t="s">
        <v>104</v>
      </c>
      <c r="D1134" s="50" t="s">
        <v>7</v>
      </c>
      <c r="F1134" t="s">
        <v>18</v>
      </c>
      <c r="G1134" s="51"/>
      <c r="H1134" s="50" t="s">
        <v>184</v>
      </c>
    </row>
    <row r="1135" spans="1:8" s="50" customFormat="1" ns3:dyDescent="0.2">
      <c r="A1135" s="50" t="s">
        <v>167</v>
      </c>
      <c r="B1135" s="51">
        <v>0.66094615384615407</v>
      </c>
      <c r="C1135" s="50" t="s">
        <v>104</v>
      </c>
      <c r="D1135" s="50" t="s">
        <v>7</v>
      </c>
      <c r="F1135" t="s">
        <v>18</v>
      </c>
      <c r="G1135" s="51"/>
      <c r="H1135" s="50" t="s">
        <v>185</v>
      </c>
    </row>
    <row r="1136" spans="1:8" s="50" customFormat="1" ns3:dyDescent="0.2">
      <c r="A1136" s="50" t="s">
        <v>188</v>
      </c>
      <c r="B1136" s="51">
        <v>5.4676153846153856E-9</v>
      </c>
      <c r="D1136" s="50" t="s">
        <v>7</v>
      </c>
      <c r="E1136" s="50" t="s">
        <v>244</v>
      </c>
      <c r="F1136" s="50" t="s">
        <v>27</v>
      </c>
      <c r="G1136" s="51"/>
    </row>
    <row r="1137" spans="1:7" s="50" customFormat="1" ns3:dyDescent="0.2">
      <c r="A1137" s="50" t="s">
        <v>189</v>
      </c>
      <c r="B1137" s="51">
        <v>4.8521538461538472E-7</v>
      </c>
      <c r="D1137" s="50" t="s">
        <v>7</v>
      </c>
      <c r="E1137" s="50" t="s">
        <v>244</v>
      </c>
      <c r="F1137" s="50" t="s">
        <v>27</v>
      </c>
      <c r="G1137" s="51"/>
    </row>
    <row r="1138" spans="1:7" s="50" customFormat="1" ns3:dyDescent="0.2">
      <c r="A1138" s="50" t="s">
        <v>191</v>
      </c>
      <c r="B1138" s="51">
        <v>1.0511538461538464E-8</v>
      </c>
      <c r="D1138" s="50" t="s">
        <v>7</v>
      </c>
      <c r="E1138" s="50" t="s">
        <v>244</v>
      </c>
      <c r="F1138" s="50" t="s">
        <v>27</v>
      </c>
      <c r="G1138" s="51"/>
    </row>
    <row r="1139" spans="1:7" s="50" customFormat="1" ns3:dyDescent="0.2">
      <c r="A1139" s="50" t="s">
        <v>193</v>
      </c>
      <c r="B1139" s="51">
        <v>3.2013846153846166E-8</v>
      </c>
      <c r="D1139" s="50" t="s">
        <v>7</v>
      </c>
      <c r="E1139" s="50" t="s">
        <v>244</v>
      </c>
      <c r="F1139" s="50" t="s">
        <v>27</v>
      </c>
      <c r="G1139" s="51"/>
    </row>
    <row r="1140" spans="1:7" s="50" customFormat="1" ns3:dyDescent="0.2">
      <c r="A1140" s="50" t="s">
        <v>194</v>
      </c>
      <c r="B1140" s="51">
        <v>6.693923076923078E-11</v>
      </c>
      <c r="D1140" s="50" t="s">
        <v>7</v>
      </c>
      <c r="E1140" s="50" t="s">
        <v>244</v>
      </c>
      <c r="F1140" s="50" t="s">
        <v>27</v>
      </c>
      <c r="G1140" s="51"/>
    </row>
    <row r="1141" spans="1:7" s="50" customFormat="1" ns3:dyDescent="0.2">
      <c r="A1141" t="s">
        <v>477</v>
      </c>
      <c r="B1141" s="51">
        <v>1.6913846153846155E-10</v>
      </c>
      <c r="D1141" s="50" t="s">
        <v>7</v>
      </c>
      <c r="E1141" s="50" t="s">
        <v>244</v>
      </c>
      <c r="F1141" s="50" t="s">
        <v>27</v>
      </c>
      <c r="G1141" s="51"/>
    </row>
    <row r="1142" spans="1:7" s="50" customFormat="1" ns3:dyDescent="0.2">
      <c r="A1142" s="50" t="s">
        <v>195</v>
      </c>
      <c r="B1142" s="51">
        <v>7.1240769230769254E-13</v>
      </c>
      <c r="D1142" s="50" t="s">
        <v>7</v>
      </c>
      <c r="E1142" s="50" t="s">
        <v>244</v>
      </c>
      <c r="F1142" s="50" t="s">
        <v>27</v>
      </c>
      <c r="G1142" s="51"/>
    </row>
    <row r="1143" spans="1:7" s="50" customFormat="1" ns3:dyDescent="0.2">
      <c r="A1143" s="50" t="s">
        <v>196</v>
      </c>
      <c r="B1143" s="51">
        <v>2.010769230769231E-9</v>
      </c>
      <c r="D1143" s="50" t="s">
        <v>7</v>
      </c>
      <c r="E1143" s="50" t="s">
        <v>244</v>
      </c>
      <c r="F1143" s="50" t="s">
        <v>27</v>
      </c>
      <c r="G1143" s="51"/>
    </row>
    <row r="1144" spans="1:7" s="50" customFormat="1" ns3:dyDescent="0.2">
      <c r="A1144" s="50" t="s">
        <v>197</v>
      </c>
      <c r="B1144" s="51">
        <v>4.719384615384617E-11</v>
      </c>
      <c r="D1144" s="50" t="s">
        <v>7</v>
      </c>
      <c r="E1144" s="50" t="s">
        <v>244</v>
      </c>
      <c r="F1144" s="50" t="s">
        <v>27</v>
      </c>
      <c r="G1144" s="51"/>
    </row>
    <row r="1145" spans="1:7" s="50" customFormat="1" ns3:dyDescent="0.2">
      <c r="A1145" s="50" t="s">
        <v>248</v>
      </c>
      <c r="B1145" s="51">
        <v>1.1510769230769233E-4</v>
      </c>
      <c r="D1145" s="50" t="s">
        <v>7</v>
      </c>
      <c r="E1145" s="50" t="s">
        <v>244</v>
      </c>
      <c r="F1145" s="50" t="s">
        <v>27</v>
      </c>
      <c r="G1145" s="51"/>
    </row>
    <row r="1146" spans="1:7" s="50" customFormat="1" ns3:dyDescent="0.2">
      <c r="A1146" s="50" t="s">
        <v>135</v>
      </c>
      <c r="B1146" s="51">
        <f>0.397030769230769-B1111</f>
        <v>3.9703076923076897E-2</v>
      </c>
      <c r="D1146" s="50" t="s">
        <v>7</v>
      </c>
      <c r="E1146" s="50" t="s">
        <v>244</v>
      </c>
      <c r="F1146" s="50" t="s">
        <v>27</v>
      </c>
      <c r="G1146" s="51"/>
    </row>
    <row r="1147" spans="1:7" s="50" customFormat="1" ns3:dyDescent="0.2">
      <c r="A1147" s="50" t="s">
        <v>249</v>
      </c>
      <c r="B1147" s="51">
        <v>5.441923076923078E-5</v>
      </c>
      <c r="D1147" s="50" t="s">
        <v>7</v>
      </c>
      <c r="E1147" s="50" t="s">
        <v>244</v>
      </c>
      <c r="F1147" s="50" t="s">
        <v>27</v>
      </c>
      <c r="G1147" s="51"/>
    </row>
    <row r="1148" spans="1:7" s="50" customFormat="1" ns3:dyDescent="0.2">
      <c r="A1148" s="50" t="s">
        <v>199</v>
      </c>
      <c r="B1148" s="51">
        <v>4.6870000000000009E-9</v>
      </c>
      <c r="D1148" s="50" t="s">
        <v>7</v>
      </c>
      <c r="E1148" s="50" t="s">
        <v>244</v>
      </c>
      <c r="F1148" s="50" t="s">
        <v>27</v>
      </c>
      <c r="G1148" s="51"/>
    </row>
    <row r="1149" spans="1:7" s="50" customFormat="1" ns3:dyDescent="0.2">
      <c r="A1149" s="50" t="s">
        <v>200</v>
      </c>
      <c r="B1149" s="51">
        <v>6.1010769230769246E-9</v>
      </c>
      <c r="D1149" s="50" t="s">
        <v>7</v>
      </c>
      <c r="E1149" s="50" t="s">
        <v>244</v>
      </c>
      <c r="F1149" s="50" t="s">
        <v>27</v>
      </c>
      <c r="G1149" s="51"/>
    </row>
    <row r="1150" spans="1:7" s="50" customFormat="1" ns3:dyDescent="0.2">
      <c r="A1150" s="50" t="s">
        <v>201</v>
      </c>
      <c r="B1150" s="51">
        <v>1.1061538461538465E-9</v>
      </c>
      <c r="D1150" s="50" t="s">
        <v>7</v>
      </c>
      <c r="E1150" s="50" t="s">
        <v>244</v>
      </c>
      <c r="F1150" s="50" t="s">
        <v>27</v>
      </c>
      <c r="G1150" s="51"/>
    </row>
    <row r="1151" spans="1:7" s="50" customFormat="1" ns3:dyDescent="0.2">
      <c r="A1151" s="50" t="s">
        <v>202</v>
      </c>
      <c r="B1151" s="51">
        <v>8.5992307692307698E-6</v>
      </c>
      <c r="D1151" s="50" t="s">
        <v>7</v>
      </c>
      <c r="E1151" s="50" t="s">
        <v>244</v>
      </c>
      <c r="F1151" s="50" t="s">
        <v>27</v>
      </c>
      <c r="G1151" s="51"/>
    </row>
    <row r="1152" spans="1:7" s="50" customFormat="1" ns3:dyDescent="0.2">
      <c r="A1152" s="50" t="s">
        <v>203</v>
      </c>
      <c r="B1152" s="51">
        <v>4.0027692307692315E-5</v>
      </c>
      <c r="D1152" s="50" t="s">
        <v>7</v>
      </c>
      <c r="E1152" s="50" t="s">
        <v>244</v>
      </c>
      <c r="F1152" s="50" t="s">
        <v>27</v>
      </c>
      <c r="G1152" s="51"/>
    </row>
    <row r="1153" spans="1:7" s="50" customFormat="1" ns3:dyDescent="0.2">
      <c r="A1153" s="50" t="s">
        <v>204</v>
      </c>
      <c r="B1153" s="51">
        <v>6.4023076923076933E-14</v>
      </c>
      <c r="D1153" s="50" t="s">
        <v>7</v>
      </c>
      <c r="E1153" s="50" t="s">
        <v>244</v>
      </c>
      <c r="F1153" s="50" t="s">
        <v>27</v>
      </c>
      <c r="G1153" s="51"/>
    </row>
    <row r="1154" spans="1:7" s="50" customFormat="1" ns3:dyDescent="0.2">
      <c r="A1154" s="50" t="s">
        <v>205</v>
      </c>
      <c r="B1154" s="51">
        <v>3.4181538461538472</v>
      </c>
      <c r="D1154" s="50" t="s">
        <v>17</v>
      </c>
      <c r="E1154" s="50" t="s">
        <v>244</v>
      </c>
      <c r="F1154" s="50" t="s">
        <v>27</v>
      </c>
      <c r="G1154" s="51"/>
    </row>
    <row r="1155" spans="1:7" s="50" customFormat="1" ns3:dyDescent="0.2">
      <c r="A1155" s="50" t="s">
        <v>206</v>
      </c>
      <c r="B1155" s="51">
        <v>1.5314615384615386E-6</v>
      </c>
      <c r="D1155" s="50" t="s">
        <v>7</v>
      </c>
      <c r="E1155" s="50" t="s">
        <v>244</v>
      </c>
      <c r="F1155" s="50" t="s">
        <v>27</v>
      </c>
      <c r="G1155" s="51"/>
    </row>
    <row r="1156" spans="1:7" s="50" customFormat="1" ns3:dyDescent="0.2">
      <c r="A1156" s="50" t="s">
        <v>207</v>
      </c>
      <c r="B1156" s="51">
        <v>9.0530769230769244E-7</v>
      </c>
      <c r="D1156" s="50" t="s">
        <v>7</v>
      </c>
      <c r="E1156" s="50" t="s">
        <v>244</v>
      </c>
      <c r="F1156" s="50" t="s">
        <v>27</v>
      </c>
      <c r="G1156" s="51"/>
    </row>
    <row r="1157" spans="1:7" s="50" customFormat="1" ns3:dyDescent="0.2">
      <c r="A1157" s="50" t="s">
        <v>250</v>
      </c>
      <c r="B1157" s="51">
        <v>2.0480769230769236E-11</v>
      </c>
      <c r="D1157" s="50" t="s">
        <v>7</v>
      </c>
      <c r="E1157" s="50" t="s">
        <v>244</v>
      </c>
      <c r="F1157" s="50" t="s">
        <v>27</v>
      </c>
      <c r="G1157" s="51"/>
    </row>
    <row r="1158" spans="1:7" s="50" customFormat="1" ns3:dyDescent="0.2">
      <c r="A1158" s="50" t="s">
        <v>208</v>
      </c>
      <c r="B1158" s="51">
        <v>7.2146153846153871E-10</v>
      </c>
      <c r="D1158" s="50" t="s">
        <v>7</v>
      </c>
      <c r="E1158" s="50" t="s">
        <v>244</v>
      </c>
      <c r="F1158" s="50" t="s">
        <v>27</v>
      </c>
      <c r="G1158" s="51"/>
    </row>
    <row r="1159" spans="1:7" s="50" customFormat="1" ns3:dyDescent="0.2">
      <c r="A1159" s="50" t="s">
        <v>209</v>
      </c>
      <c r="B1159" s="51">
        <v>1.0259230769230773E-9</v>
      </c>
      <c r="D1159" s="50" t="s">
        <v>7</v>
      </c>
      <c r="E1159" s="50" t="s">
        <v>244</v>
      </c>
      <c r="F1159" s="50" t="s">
        <v>27</v>
      </c>
      <c r="G1159" s="51"/>
    </row>
    <row r="1160" spans="1:7" s="50" customFormat="1" ns3:dyDescent="0.2">
      <c r="A1160" s="50" t="s">
        <v>251</v>
      </c>
      <c r="B1160" s="51">
        <v>1.9956923076923079E-6</v>
      </c>
      <c r="D1160" s="50" t="s">
        <v>7</v>
      </c>
      <c r="E1160" s="50" t="s">
        <v>244</v>
      </c>
      <c r="F1160" s="50" t="s">
        <v>27</v>
      </c>
      <c r="G1160" s="51"/>
    </row>
    <row r="1161" spans="1:7" s="50" customFormat="1" ns3:dyDescent="0.2">
      <c r="A1161" s="50" t="s">
        <v>210</v>
      </c>
      <c r="B1161" s="51">
        <v>5.509769230769232E-10</v>
      </c>
      <c r="D1161" s="50" t="s">
        <v>7</v>
      </c>
      <c r="E1161" s="50" t="s">
        <v>244</v>
      </c>
      <c r="F1161" s="50" t="s">
        <v>27</v>
      </c>
      <c r="G1161" s="51"/>
    </row>
    <row r="1162" spans="1:7" s="50" customFormat="1" ns3:dyDescent="0.2">
      <c r="A1162" s="50" t="s">
        <v>211</v>
      </c>
      <c r="B1162" s="51">
        <v>1.3316153846153848E-9</v>
      </c>
      <c r="D1162" s="50" t="s">
        <v>7</v>
      </c>
      <c r="E1162" s="50" t="s">
        <v>244</v>
      </c>
      <c r="F1162" s="50" t="s">
        <v>27</v>
      </c>
      <c r="G1162" s="51"/>
    </row>
    <row r="1163" spans="1:7" s="50" customFormat="1" ns3:dyDescent="0.2">
      <c r="A1163" s="50" t="s">
        <v>252</v>
      </c>
      <c r="B1163" s="51">
        <v>4.8020769230769237E-7</v>
      </c>
      <c r="D1163" s="50" t="s">
        <v>7</v>
      </c>
      <c r="E1163" s="50" t="s">
        <v>244</v>
      </c>
      <c r="F1163" s="50" t="s">
        <v>27</v>
      </c>
      <c r="G1163" s="51"/>
    </row>
    <row r="1164" spans="1:7" s="50" customFormat="1" ns3:dyDescent="0.2">
      <c r="A1164" s="50" t="s">
        <v>253</v>
      </c>
      <c r="B1164" s="51">
        <v>3.5312307692307701E-10</v>
      </c>
      <c r="D1164" s="50" t="s">
        <v>7</v>
      </c>
      <c r="E1164" s="50" t="s">
        <v>244</v>
      </c>
      <c r="F1164" s="50" t="s">
        <v>27</v>
      </c>
      <c r="G1164" s="51"/>
    </row>
    <row r="1165" spans="1:7" s="50" customFormat="1" ns3:dyDescent="0.2">
      <c r="A1165" s="50" t="s">
        <v>213</v>
      </c>
      <c r="B1165" s="51">
        <v>1.4569230769230773E-6</v>
      </c>
      <c r="D1165" s="50" t="s">
        <v>7</v>
      </c>
      <c r="E1165" s="50" t="s">
        <v>244</v>
      </c>
      <c r="F1165" s="50" t="s">
        <v>27</v>
      </c>
      <c r="G1165" s="51"/>
    </row>
    <row r="1166" spans="1:7" s="50" customFormat="1" ns3:dyDescent="0.2">
      <c r="A1166" s="50" t="s">
        <v>214</v>
      </c>
      <c r="B1166" s="51">
        <v>4.5682307692307696E-9</v>
      </c>
      <c r="D1166" s="50" t="s">
        <v>7</v>
      </c>
      <c r="E1166" s="50" t="s">
        <v>244</v>
      </c>
      <c r="F1166" s="50" t="s">
        <v>27</v>
      </c>
      <c r="G1166" s="51"/>
    </row>
    <row r="1167" spans="1:7" s="50" customFormat="1" ns3:dyDescent="0.2">
      <c r="A1167" s="50" t="s">
        <v>215</v>
      </c>
      <c r="B1167" s="51">
        <v>1.536538461538462E-4</v>
      </c>
      <c r="D1167" s="50" t="s">
        <v>7</v>
      </c>
      <c r="E1167" s="50" t="s">
        <v>244</v>
      </c>
      <c r="F1167" s="50" t="s">
        <v>27</v>
      </c>
      <c r="G1167" s="51"/>
    </row>
    <row r="1168" spans="1:7" s="50" customFormat="1" ns3:dyDescent="0.2">
      <c r="A1168" s="50" t="s">
        <v>216</v>
      </c>
      <c r="B1168" s="51">
        <v>3.8221538461538467E-6</v>
      </c>
      <c r="D1168" s="50" t="s">
        <v>7</v>
      </c>
      <c r="E1168" s="50" t="s">
        <v>244</v>
      </c>
      <c r="F1168" s="50" t="s">
        <v>27</v>
      </c>
      <c r="G1168" s="51"/>
    </row>
    <row r="1169" spans="1:7" s="50" customFormat="1" ns3:dyDescent="0.2">
      <c r="A1169" s="50" t="s">
        <v>217</v>
      </c>
      <c r="B1169" s="51">
        <v>1.9206923076923082E-8</v>
      </c>
      <c r="D1169" s="50" t="s">
        <v>7</v>
      </c>
      <c r="E1169" s="50" t="s">
        <v>244</v>
      </c>
      <c r="F1169" s="50" t="s">
        <v>27</v>
      </c>
      <c r="G1169" s="51"/>
    </row>
    <row r="1170" spans="1:7" s="50" customFormat="1" ns3:dyDescent="0.2">
      <c r="A1170" s="50" t="s">
        <v>218</v>
      </c>
      <c r="B1170" s="51">
        <v>1.3941538461538464E-11</v>
      </c>
      <c r="D1170" s="50" t="s">
        <v>7</v>
      </c>
      <c r="E1170" s="50" t="s">
        <v>244</v>
      </c>
      <c r="F1170" s="50" t="s">
        <v>27</v>
      </c>
      <c r="G1170" s="51"/>
    </row>
    <row r="1171" spans="1:7" s="50" customFormat="1" ns3:dyDescent="0.2">
      <c r="A1171" s="50" t="s">
        <v>254</v>
      </c>
      <c r="B1171" s="51">
        <v>7.7046153846153862E-7</v>
      </c>
      <c r="D1171" s="50" t="s">
        <v>7</v>
      </c>
      <c r="E1171" s="50" t="s">
        <v>244</v>
      </c>
      <c r="F1171" s="50" t="s">
        <v>27</v>
      </c>
      <c r="G1171" s="51"/>
    </row>
    <row r="1172" spans="1:7" s="50" customFormat="1" ns3:dyDescent="0.2">
      <c r="A1172" s="50" t="s">
        <v>255</v>
      </c>
      <c r="B1172" s="51">
        <v>1.1601538461538464E-5</v>
      </c>
      <c r="D1172" s="50" t="s">
        <v>7</v>
      </c>
      <c r="E1172" s="50" t="s">
        <v>244</v>
      </c>
      <c r="F1172" s="50" t="s">
        <v>27</v>
      </c>
      <c r="G1172" s="51"/>
    </row>
    <row r="1173" spans="1:7" s="50" customFormat="1" ns3:dyDescent="0.2">
      <c r="A1173" s="50" t="s">
        <v>219</v>
      </c>
      <c r="B1173" s="51">
        <v>4.0001538461538472E-9</v>
      </c>
      <c r="D1173" s="50" t="s">
        <v>7</v>
      </c>
      <c r="E1173" s="50" t="s">
        <v>244</v>
      </c>
      <c r="F1173" s="50" t="s">
        <v>27</v>
      </c>
      <c r="G1173" s="51"/>
    </row>
    <row r="1174" spans="1:7" s="50" customFormat="1" ns3:dyDescent="0.2">
      <c r="A1174" s="50" t="s">
        <v>239</v>
      </c>
      <c r="B1174" s="51">
        <v>4.1779230769230774E-8</v>
      </c>
      <c r="D1174" s="50" t="s">
        <v>7</v>
      </c>
      <c r="E1174" s="50" t="s">
        <v>244</v>
      </c>
      <c r="F1174" s="50" t="s">
        <v>27</v>
      </c>
      <c r="G1174" s="51"/>
    </row>
    <row r="1175" spans="1:7" s="50" customFormat="1" ns3:dyDescent="0.2">
      <c r="A1175" s="50" t="s">
        <v>220</v>
      </c>
      <c r="B1175" s="51">
        <v>8.2630769230769241E-6</v>
      </c>
      <c r="D1175" s="50" t="s">
        <v>7</v>
      </c>
      <c r="E1175" s="50" t="s">
        <v>244</v>
      </c>
      <c r="F1175" s="50" t="s">
        <v>27</v>
      </c>
      <c r="G1175" s="51"/>
    </row>
    <row r="1176" spans="1:7" s="50" customFormat="1" ns3:dyDescent="0.2">
      <c r="A1176" s="50" t="s">
        <v>222</v>
      </c>
      <c r="B1176" s="51">
        <v>1.0697692307692308E-5</v>
      </c>
      <c r="D1176" s="50" t="s">
        <v>7</v>
      </c>
      <c r="E1176" s="50" t="s">
        <v>244</v>
      </c>
      <c r="F1176" s="50" t="s">
        <v>27</v>
      </c>
      <c r="G1176" s="51"/>
    </row>
    <row r="1177" spans="1:7" s="50" customFormat="1" ns3:dyDescent="0.2">
      <c r="A1177" s="50" t="s">
        <v>224</v>
      </c>
      <c r="B1177" s="51">
        <v>3.5043846153846162E-12</v>
      </c>
      <c r="D1177" s="50" t="s">
        <v>7</v>
      </c>
      <c r="E1177" s="50" t="s">
        <v>244</v>
      </c>
      <c r="F1177" s="50" t="s">
        <v>27</v>
      </c>
      <c r="G1177" s="51"/>
    </row>
    <row r="1178" spans="1:7" s="50" customFormat="1" ns3:dyDescent="0.2">
      <c r="A1178" s="50" t="s">
        <v>226</v>
      </c>
      <c r="B1178" s="51">
        <v>6.4026923076923092E-8</v>
      </c>
      <c r="D1178" s="50" t="s">
        <v>7</v>
      </c>
      <c r="E1178" s="50" t="s">
        <v>244</v>
      </c>
      <c r="F1178" s="50" t="s">
        <v>27</v>
      </c>
      <c r="G1178" s="51"/>
    </row>
    <row r="1179" spans="1:7" s="50" customFormat="1" ns3:dyDescent="0.2">
      <c r="A1179" s="50" t="s">
        <v>227</v>
      </c>
      <c r="B1179" s="51">
        <v>4.2668461538461545E-8</v>
      </c>
      <c r="D1179" s="50" t="s">
        <v>7</v>
      </c>
      <c r="E1179" s="50" t="s">
        <v>244</v>
      </c>
      <c r="F1179" s="50" t="s">
        <v>27</v>
      </c>
      <c r="G1179" s="51"/>
    </row>
    <row r="1180" spans="1:7" s="50" customFormat="1" ns3:dyDescent="0.2">
      <c r="A1180" s="50" t="s">
        <v>228</v>
      </c>
      <c r="B1180" s="51">
        <v>1.0421761538461543E-3</v>
      </c>
      <c r="D1180" s="50" t="s">
        <v>37</v>
      </c>
      <c r="E1180" s="50" t="s">
        <v>244</v>
      </c>
      <c r="F1180" s="50" t="s">
        <v>27</v>
      </c>
      <c r="G1180" s="51"/>
    </row>
    <row r="1181" spans="1:7" s="50" customFormat="1" ns3:dyDescent="0.2">
      <c r="A1181" s="50" t="s">
        <v>229</v>
      </c>
      <c r="B1181" s="51">
        <v>2.6190769230769238E-8</v>
      </c>
      <c r="D1181" s="50" t="s">
        <v>7</v>
      </c>
      <c r="E1181" s="50" t="s">
        <v>244</v>
      </c>
      <c r="F1181" s="50" t="s">
        <v>27</v>
      </c>
      <c r="G1181" s="51"/>
    </row>
    <row r="1182" spans="1:7" s="50" customFormat="1" ns3:dyDescent="0.2">
      <c r="A1182" s="50" t="s">
        <v>188</v>
      </c>
      <c r="B1182" s="51">
        <v>5.177000000000001E-3</v>
      </c>
      <c r="D1182" s="50" t="s">
        <v>7</v>
      </c>
      <c r="E1182" s="50" t="s">
        <v>245</v>
      </c>
      <c r="F1182" s="50" t="s">
        <v>27</v>
      </c>
      <c r="G1182" s="51"/>
    </row>
    <row r="1183" spans="1:7" s="50" customFormat="1" ns3:dyDescent="0.2">
      <c r="A1183" s="50" t="s">
        <v>188</v>
      </c>
      <c r="B1183" s="51">
        <v>4.9810000000000015E-7</v>
      </c>
      <c r="D1183" s="50" t="s">
        <v>7</v>
      </c>
      <c r="E1183" s="50" t="s">
        <v>246</v>
      </c>
      <c r="F1183" s="50" t="s">
        <v>27</v>
      </c>
      <c r="G1183" s="51"/>
    </row>
    <row r="1184" spans="1:7" s="50" customFormat="1" ns3:dyDescent="0.2">
      <c r="A1184" s="50" t="s">
        <v>190</v>
      </c>
      <c r="B1184" s="51">
        <v>6.2110000000000006E-10</v>
      </c>
      <c r="D1184" s="50" t="s">
        <v>7</v>
      </c>
      <c r="E1184" s="50" t="s">
        <v>245</v>
      </c>
      <c r="F1184" s="50" t="s">
        <v>27</v>
      </c>
      <c r="G1184" s="51"/>
    </row>
    <row r="1185" spans="1:7" s="50" customFormat="1" ns3:dyDescent="0.2">
      <c r="A1185" s="50" t="s">
        <v>190</v>
      </c>
      <c r="B1185" s="51">
        <v>3.3836153846153856E-10</v>
      </c>
      <c r="D1185" s="50" t="s">
        <v>7</v>
      </c>
      <c r="E1185" s="50" t="s">
        <v>246</v>
      </c>
      <c r="F1185" s="50" t="s">
        <v>27</v>
      </c>
      <c r="G1185" s="51"/>
    </row>
    <row r="1186" spans="1:7" s="50" customFormat="1" ns3:dyDescent="0.2">
      <c r="A1186" s="50" t="s">
        <v>191</v>
      </c>
      <c r="B1186" s="51">
        <v>8.1807692307692328E-7</v>
      </c>
      <c r="D1186" s="50" t="s">
        <v>7</v>
      </c>
      <c r="E1186" s="50" t="s">
        <v>245</v>
      </c>
      <c r="F1186" s="50" t="s">
        <v>27</v>
      </c>
      <c r="G1186" s="51"/>
    </row>
    <row r="1187" spans="1:7" s="50" customFormat="1" ns3:dyDescent="0.2">
      <c r="A1187" s="50" t="s">
        <v>191</v>
      </c>
      <c r="B1187" s="51">
        <v>5.3896153846153848E-7</v>
      </c>
      <c r="D1187" s="50" t="s">
        <v>7</v>
      </c>
      <c r="E1187" s="50" t="s">
        <v>246</v>
      </c>
      <c r="F1187" s="50" t="s">
        <v>27</v>
      </c>
      <c r="G1187" s="51"/>
    </row>
    <row r="1188" spans="1:7" s="50" customFormat="1" ns3:dyDescent="0.2">
      <c r="A1188" s="50" t="s">
        <v>230</v>
      </c>
      <c r="B1188" s="51">
        <v>2.6411538461538467E-4</v>
      </c>
      <c r="D1188" s="50" t="s">
        <v>7</v>
      </c>
      <c r="E1188" s="50" t="s">
        <v>245</v>
      </c>
      <c r="F1188" s="50" t="s">
        <v>27</v>
      </c>
      <c r="G1188" s="51"/>
    </row>
    <row r="1189" spans="1:7" s="50" customFormat="1" ns3:dyDescent="0.2">
      <c r="A1189" s="50" t="s">
        <v>230</v>
      </c>
      <c r="B1189" s="51">
        <v>8.1061538461538475E-5</v>
      </c>
      <c r="D1189" s="50" t="s">
        <v>7</v>
      </c>
      <c r="E1189" s="50" t="s">
        <v>246</v>
      </c>
      <c r="F1189" s="50" t="s">
        <v>27</v>
      </c>
      <c r="G1189" s="51"/>
    </row>
    <row r="1190" spans="1:7" s="50" customFormat="1" ns3:dyDescent="0.2">
      <c r="A1190" s="50" t="s">
        <v>256</v>
      </c>
      <c r="B1190" s="51">
        <v>5.6736153846153856E-6</v>
      </c>
      <c r="D1190" s="50" t="s">
        <v>7</v>
      </c>
      <c r="E1190" s="50" t="s">
        <v>245</v>
      </c>
      <c r="F1190" s="50" t="s">
        <v>27</v>
      </c>
      <c r="G1190" s="51"/>
    </row>
    <row r="1191" spans="1:7" s="50" customFormat="1" ns3:dyDescent="0.2">
      <c r="A1191" s="50" t="s">
        <v>256</v>
      </c>
      <c r="B1191" s="51">
        <v>7.1161538461538476E-8</v>
      </c>
      <c r="D1191" s="50" t="s">
        <v>7</v>
      </c>
      <c r="E1191" s="50" t="s">
        <v>246</v>
      </c>
      <c r="F1191" s="50" t="s">
        <v>27</v>
      </c>
      <c r="G1191" s="51"/>
    </row>
    <row r="1192" spans="1:7" s="50" customFormat="1" ns3:dyDescent="0.2">
      <c r="A1192" s="50" t="s">
        <v>196</v>
      </c>
      <c r="B1192" s="51">
        <v>2.0869230769230774E-7</v>
      </c>
      <c r="D1192" s="50" t="s">
        <v>7</v>
      </c>
      <c r="E1192" s="50" t="s">
        <v>245</v>
      </c>
      <c r="F1192" s="50" t="s">
        <v>27</v>
      </c>
      <c r="G1192" s="51"/>
    </row>
    <row r="1193" spans="1:7" s="50" customFormat="1" ns3:dyDescent="0.2">
      <c r="A1193" s="50" t="s">
        <v>196</v>
      </c>
      <c r="B1193" s="51">
        <v>3.735461538461539E-6</v>
      </c>
      <c r="D1193" s="50" t="s">
        <v>7</v>
      </c>
      <c r="E1193" s="50" t="s">
        <v>246</v>
      </c>
      <c r="F1193" s="50" t="s">
        <v>27</v>
      </c>
      <c r="G1193" s="51"/>
    </row>
    <row r="1194" spans="1:7" s="50" customFormat="1" ns3:dyDescent="0.2">
      <c r="A1194" s="50" t="s">
        <v>232</v>
      </c>
      <c r="B1194" s="51">
        <v>8.0746153846153869E-4</v>
      </c>
      <c r="D1194" s="50" t="s">
        <v>7</v>
      </c>
      <c r="E1194" s="50" t="s">
        <v>245</v>
      </c>
      <c r="F1194" s="50" t="s">
        <v>27</v>
      </c>
      <c r="G1194" s="51"/>
    </row>
    <row r="1195" spans="1:7" s="50" customFormat="1" ns3:dyDescent="0.2">
      <c r="A1195" s="50" t="s">
        <v>232</v>
      </c>
      <c r="B1195" s="51">
        <v>8.2830769230769243E-5</v>
      </c>
      <c r="D1195" s="50" t="s">
        <v>7</v>
      </c>
      <c r="E1195" s="50" t="s">
        <v>246</v>
      </c>
      <c r="F1195" s="50" t="s">
        <v>27</v>
      </c>
      <c r="G1195" s="51"/>
    </row>
    <row r="1196" spans="1:7" s="50" customFormat="1" ns3:dyDescent="0.2">
      <c r="A1196" s="50" t="s">
        <v>197</v>
      </c>
      <c r="B1196" s="51">
        <v>1.4850000000000004E-8</v>
      </c>
      <c r="D1196" s="50" t="s">
        <v>7</v>
      </c>
      <c r="E1196" s="50" t="s">
        <v>245</v>
      </c>
      <c r="F1196" s="50" t="s">
        <v>27</v>
      </c>
      <c r="G1196" s="51"/>
    </row>
    <row r="1197" spans="1:7" s="50" customFormat="1" ns3:dyDescent="0.2">
      <c r="A1197" s="50" t="s">
        <v>197</v>
      </c>
      <c r="B1197" s="51">
        <v>1.646615384615385E-11</v>
      </c>
      <c r="D1197" s="50" t="s">
        <v>7</v>
      </c>
      <c r="E1197" s="50" t="s">
        <v>246</v>
      </c>
      <c r="F1197" s="50" t="s">
        <v>27</v>
      </c>
      <c r="G1197" s="51"/>
    </row>
    <row r="1198" spans="1:7" s="50" customFormat="1" ns3:dyDescent="0.2">
      <c r="A1198" s="50" t="s">
        <v>233</v>
      </c>
      <c r="B1198" s="51">
        <v>1.2416153846153848E-2</v>
      </c>
      <c r="D1198" s="50" t="s">
        <v>7</v>
      </c>
      <c r="E1198" s="50" t="s">
        <v>245</v>
      </c>
      <c r="F1198" s="50" t="s">
        <v>27</v>
      </c>
      <c r="G1198" s="51"/>
    </row>
    <row r="1199" spans="1:7" s="50" customFormat="1" ns3:dyDescent="0.2">
      <c r="A1199" s="50" t="s">
        <v>233</v>
      </c>
      <c r="B1199" s="51">
        <v>2.6289230769230775E-4</v>
      </c>
      <c r="D1199" s="50" t="s">
        <v>7</v>
      </c>
      <c r="E1199" s="50" t="s">
        <v>246</v>
      </c>
      <c r="F1199" s="50" t="s">
        <v>27</v>
      </c>
      <c r="G1199" s="51"/>
    </row>
    <row r="1200" spans="1:7" s="50" customFormat="1" ns3:dyDescent="0.2">
      <c r="A1200" s="50" t="s">
        <v>234</v>
      </c>
      <c r="B1200" s="51">
        <v>3.3805384615384626E-4</v>
      </c>
      <c r="D1200" s="50" t="s">
        <v>7</v>
      </c>
      <c r="E1200" s="50" t="s">
        <v>245</v>
      </c>
      <c r="F1200" s="50" t="s">
        <v>27</v>
      </c>
      <c r="G1200" s="51"/>
    </row>
    <row r="1201" spans="1:7" s="50" customFormat="1" ns3:dyDescent="0.2">
      <c r="A1201" s="50" t="s">
        <v>234</v>
      </c>
      <c r="B1201" s="51">
        <v>2.2795384615384622E-3</v>
      </c>
      <c r="D1201" s="50" t="s">
        <v>7</v>
      </c>
      <c r="E1201" s="50" t="s">
        <v>246</v>
      </c>
      <c r="F1201" s="50" t="s">
        <v>27</v>
      </c>
      <c r="G1201" s="51"/>
    </row>
    <row r="1202" spans="1:7" s="50" customFormat="1" ns3:dyDescent="0.2">
      <c r="A1202" s="50" t="s">
        <v>199</v>
      </c>
      <c r="B1202" s="51">
        <v>6.9683846153846165E-10</v>
      </c>
      <c r="D1202" s="50" t="s">
        <v>7</v>
      </c>
      <c r="E1202" s="50" t="s">
        <v>246</v>
      </c>
      <c r="F1202" s="50" t="s">
        <v>27</v>
      </c>
      <c r="G1202" s="51"/>
    </row>
    <row r="1203" spans="1:7" s="50" customFormat="1" ns3:dyDescent="0.2">
      <c r="A1203" s="50" t="s">
        <v>235</v>
      </c>
      <c r="B1203" s="51">
        <v>3.0592307692307699E-7</v>
      </c>
      <c r="D1203" s="50" t="s">
        <v>7</v>
      </c>
      <c r="E1203" s="50" t="s">
        <v>245</v>
      </c>
      <c r="F1203" s="50" t="s">
        <v>27</v>
      </c>
      <c r="G1203" s="51"/>
    </row>
    <row r="1204" spans="1:7" s="50" customFormat="1" ns3:dyDescent="0.2">
      <c r="A1204" s="50" t="s">
        <v>235</v>
      </c>
      <c r="B1204" s="51">
        <v>8.8684615384615396E-8</v>
      </c>
      <c r="D1204" s="50" t="s">
        <v>7</v>
      </c>
      <c r="E1204" s="50" t="s">
        <v>246</v>
      </c>
      <c r="F1204" s="50" t="s">
        <v>27</v>
      </c>
      <c r="G1204" s="51"/>
    </row>
    <row r="1205" spans="1:7" s="50" customFormat="1" ns3:dyDescent="0.2">
      <c r="A1205" s="50" t="s">
        <v>200</v>
      </c>
      <c r="B1205" s="51">
        <v>2.9376153846153851E-6</v>
      </c>
      <c r="D1205" s="50" t="s">
        <v>7</v>
      </c>
      <c r="E1205" s="50" t="s">
        <v>245</v>
      </c>
      <c r="F1205" s="50" t="s">
        <v>27</v>
      </c>
      <c r="G1205" s="51"/>
    </row>
    <row r="1206" spans="1:7" s="50" customFormat="1" ns3:dyDescent="0.2">
      <c r="A1206" s="50" t="s">
        <v>200</v>
      </c>
      <c r="B1206" s="51">
        <v>5.574923076923078E-10</v>
      </c>
      <c r="D1206" s="50" t="s">
        <v>7</v>
      </c>
      <c r="E1206" s="50" t="s">
        <v>246</v>
      </c>
      <c r="F1206" s="50" t="s">
        <v>27</v>
      </c>
      <c r="G1206" s="51"/>
    </row>
    <row r="1207" spans="1:7" s="50" customFormat="1" ns3:dyDescent="0.2">
      <c r="A1207" s="50" t="s">
        <v>201</v>
      </c>
      <c r="B1207" s="51">
        <v>1.1379230769230772E-5</v>
      </c>
      <c r="D1207" s="50" t="s">
        <v>7</v>
      </c>
      <c r="E1207" s="50" t="s">
        <v>245</v>
      </c>
      <c r="F1207" s="50" t="s">
        <v>27</v>
      </c>
      <c r="G1207" s="51"/>
    </row>
    <row r="1208" spans="1:7" s="50" customFormat="1" ns3:dyDescent="0.2">
      <c r="A1208" s="50" t="s">
        <v>201</v>
      </c>
      <c r="B1208" s="51">
        <v>1.0474615384615386E-9</v>
      </c>
      <c r="D1208" s="50" t="s">
        <v>7</v>
      </c>
      <c r="E1208" s="50" t="s">
        <v>246</v>
      </c>
      <c r="F1208" s="50" t="s">
        <v>27</v>
      </c>
      <c r="G1208" s="51"/>
    </row>
    <row r="1209" spans="1:7" s="50" customFormat="1" ns3:dyDescent="0.2">
      <c r="A1209" s="50" t="s">
        <v>236</v>
      </c>
      <c r="B1209" s="51">
        <v>3.1950769230769236E-4</v>
      </c>
      <c r="D1209" s="50" t="s">
        <v>7</v>
      </c>
      <c r="E1209" s="50" t="s">
        <v>245</v>
      </c>
      <c r="F1209" s="50" t="s">
        <v>27</v>
      </c>
      <c r="G1209" s="51"/>
    </row>
    <row r="1210" spans="1:7" s="50" customFormat="1" ns3:dyDescent="0.2">
      <c r="A1210" s="50" t="s">
        <v>236</v>
      </c>
      <c r="B1210" s="51">
        <v>3.6130000000000008E-5</v>
      </c>
      <c r="D1210" s="50" t="s">
        <v>7</v>
      </c>
      <c r="E1210" s="50" t="s">
        <v>246</v>
      </c>
      <c r="F1210" s="50" t="s">
        <v>27</v>
      </c>
      <c r="G1210" s="51"/>
    </row>
    <row r="1211" spans="1:7" s="50" customFormat="1" ns3:dyDescent="0.2">
      <c r="A1211" s="50" t="s">
        <v>237</v>
      </c>
      <c r="B1211" s="51">
        <v>8.9523076923076947E-5</v>
      </c>
      <c r="D1211" s="50" t="s">
        <v>7</v>
      </c>
      <c r="E1211" s="50" t="s">
        <v>245</v>
      </c>
      <c r="F1211" s="50" t="s">
        <v>27</v>
      </c>
      <c r="G1211" s="51"/>
    </row>
    <row r="1212" spans="1:7" s="50" customFormat="1" ns3:dyDescent="0.2">
      <c r="A1212" s="50" t="s">
        <v>237</v>
      </c>
      <c r="B1212" s="51">
        <v>3.9054615384615386E-5</v>
      </c>
      <c r="D1212" s="50" t="s">
        <v>7</v>
      </c>
      <c r="E1212" s="50" t="s">
        <v>246</v>
      </c>
      <c r="F1212" s="50" t="s">
        <v>27</v>
      </c>
      <c r="G1212" s="51"/>
    </row>
    <row r="1213" spans="1:7" s="50" customFormat="1" ns3:dyDescent="0.2">
      <c r="A1213" s="50" t="s">
        <v>205</v>
      </c>
      <c r="B1213" s="51">
        <v>1.1470000000000002</v>
      </c>
      <c r="D1213" s="50" t="s">
        <v>17</v>
      </c>
      <c r="E1213" s="50" t="s">
        <v>246</v>
      </c>
      <c r="F1213" s="50" t="s">
        <v>27</v>
      </c>
      <c r="G1213" s="51"/>
    </row>
    <row r="1214" spans="1:7" s="50" customFormat="1" ns3:dyDescent="0.2">
      <c r="A1214" s="50" t="s">
        <v>257</v>
      </c>
      <c r="B1214" s="51">
        <v>6.9205384615384631E-16</v>
      </c>
      <c r="D1214" s="50" t="s">
        <v>7</v>
      </c>
      <c r="E1214" s="50" t="s">
        <v>245</v>
      </c>
      <c r="F1214" s="50" t="s">
        <v>27</v>
      </c>
      <c r="G1214" s="51"/>
    </row>
    <row r="1215" spans="1:7" s="50" customFormat="1" ns3:dyDescent="0.2">
      <c r="A1215" s="50" t="s">
        <v>257</v>
      </c>
      <c r="B1215" s="51">
        <v>3.5991538461538473E-8</v>
      </c>
      <c r="D1215" s="50" t="s">
        <v>7</v>
      </c>
      <c r="E1215" s="50" t="s">
        <v>246</v>
      </c>
      <c r="F1215" s="50" t="s">
        <v>27</v>
      </c>
      <c r="G1215" s="51"/>
    </row>
    <row r="1216" spans="1:7" s="50" customFormat="1" ns3:dyDescent="0.2">
      <c r="A1216" s="50" t="s">
        <v>208</v>
      </c>
      <c r="B1216" s="51">
        <v>2.0645384615384621E-4</v>
      </c>
      <c r="D1216" s="50" t="s">
        <v>7</v>
      </c>
      <c r="E1216" s="50" t="s">
        <v>245</v>
      </c>
      <c r="F1216" s="50" t="s">
        <v>27</v>
      </c>
      <c r="G1216" s="51"/>
    </row>
    <row r="1217" spans="1:7" s="50" customFormat="1" ns3:dyDescent="0.2">
      <c r="A1217" s="50" t="s">
        <v>208</v>
      </c>
      <c r="B1217" s="51">
        <v>8.4746153846153882E-9</v>
      </c>
      <c r="D1217" s="50" t="s">
        <v>7</v>
      </c>
      <c r="E1217" s="50" t="s">
        <v>246</v>
      </c>
      <c r="F1217" s="50" t="s">
        <v>27</v>
      </c>
      <c r="G1217" s="51"/>
    </row>
    <row r="1218" spans="1:7" s="50" customFormat="1" ns3:dyDescent="0.2">
      <c r="A1218" s="50" t="s">
        <v>209</v>
      </c>
      <c r="B1218" s="51">
        <v>8.7676923076923098E-6</v>
      </c>
      <c r="D1218" s="50" t="s">
        <v>7</v>
      </c>
      <c r="E1218" s="50" t="s">
        <v>245</v>
      </c>
      <c r="F1218" s="50" t="s">
        <v>27</v>
      </c>
      <c r="G1218" s="51"/>
    </row>
    <row r="1219" spans="1:7" s="50" customFormat="1" ns3:dyDescent="0.2">
      <c r="A1219" s="50" t="s">
        <v>209</v>
      </c>
      <c r="B1219" s="51">
        <v>8.4846153846153859E-10</v>
      </c>
      <c r="D1219" s="50" t="s">
        <v>7</v>
      </c>
      <c r="E1219" s="50" t="s">
        <v>246</v>
      </c>
      <c r="F1219" s="50" t="s">
        <v>27</v>
      </c>
      <c r="G1219" s="51"/>
    </row>
    <row r="1220" spans="1:7" s="50" customFormat="1" ns3:dyDescent="0.2">
      <c r="A1220" s="50" t="s">
        <v>251</v>
      </c>
      <c r="B1220" s="51">
        <v>1.7621538461538465E-3</v>
      </c>
      <c r="D1220" s="50" t="s">
        <v>7</v>
      </c>
      <c r="E1220" s="50" t="s">
        <v>245</v>
      </c>
      <c r="F1220" s="50" t="s">
        <v>27</v>
      </c>
      <c r="G1220" s="51"/>
    </row>
    <row r="1221" spans="1:7" s="50" customFormat="1" ns3:dyDescent="0.2">
      <c r="A1221" s="50" t="s">
        <v>251</v>
      </c>
      <c r="B1221" s="51">
        <v>1.432538461538462E-5</v>
      </c>
      <c r="D1221" s="50" t="s">
        <v>7</v>
      </c>
      <c r="E1221" s="50" t="s">
        <v>246</v>
      </c>
      <c r="F1221" s="50" t="s">
        <v>27</v>
      </c>
      <c r="G1221" s="51"/>
    </row>
    <row r="1222" spans="1:7" s="50" customFormat="1" ns3:dyDescent="0.2">
      <c r="A1222" s="50" t="s">
        <v>210</v>
      </c>
      <c r="B1222" s="51">
        <v>2.2927692307692311E-6</v>
      </c>
      <c r="D1222" s="50" t="s">
        <v>7</v>
      </c>
      <c r="E1222" s="50" t="s">
        <v>245</v>
      </c>
      <c r="F1222" s="50" t="s">
        <v>27</v>
      </c>
      <c r="G1222" s="51"/>
    </row>
    <row r="1223" spans="1:7" s="50" customFormat="1" ns3:dyDescent="0.2">
      <c r="A1223" s="50" t="s">
        <v>210</v>
      </c>
      <c r="B1223" s="51">
        <v>3.6148461538461547E-10</v>
      </c>
      <c r="D1223" s="50" t="s">
        <v>7</v>
      </c>
      <c r="E1223" s="50" t="s">
        <v>246</v>
      </c>
      <c r="F1223" s="50" t="s">
        <v>27</v>
      </c>
      <c r="G1223" s="51"/>
    </row>
    <row r="1224" spans="1:7" s="50" customFormat="1" ns3:dyDescent="0.2">
      <c r="A1224" s="50" t="s">
        <v>211</v>
      </c>
      <c r="B1224" s="51">
        <v>9.8676923076923088E-9</v>
      </c>
      <c r="D1224" s="50" t="s">
        <v>7</v>
      </c>
      <c r="E1224" s="50" t="s">
        <v>245</v>
      </c>
      <c r="F1224" s="50" t="s">
        <v>27</v>
      </c>
      <c r="G1224" s="51"/>
    </row>
    <row r="1225" spans="1:7" s="50" customFormat="1" ns3:dyDescent="0.2">
      <c r="A1225" s="50" t="s">
        <v>211</v>
      </c>
      <c r="B1225" s="51">
        <v>2.4991538461538466E-10</v>
      </c>
      <c r="D1225" s="50" t="s">
        <v>7</v>
      </c>
      <c r="E1225" s="50" t="s">
        <v>246</v>
      </c>
      <c r="F1225" s="50" t="s">
        <v>27</v>
      </c>
      <c r="G1225" s="51"/>
    </row>
    <row r="1226" spans="1:7" s="50" customFormat="1" ns3:dyDescent="0.2">
      <c r="A1226" s="50" t="s">
        <v>253</v>
      </c>
      <c r="B1226" s="51">
        <v>2.0691538461538462E-7</v>
      </c>
      <c r="D1226" s="50" t="s">
        <v>7</v>
      </c>
      <c r="E1226" s="50" t="s">
        <v>245</v>
      </c>
      <c r="F1226" s="50" t="s">
        <v>27</v>
      </c>
      <c r="G1226" s="51"/>
    </row>
    <row r="1227" spans="1:7" s="50" customFormat="1" ns3:dyDescent="0.2">
      <c r="A1227" s="50" t="s">
        <v>253</v>
      </c>
      <c r="B1227" s="51">
        <v>4.4656153846153852E-8</v>
      </c>
      <c r="D1227" s="50" t="s">
        <v>7</v>
      </c>
      <c r="E1227" s="50" t="s">
        <v>246</v>
      </c>
      <c r="F1227" s="50" t="s">
        <v>27</v>
      </c>
      <c r="G1227" s="51"/>
    </row>
    <row r="1228" spans="1:7" s="50" customFormat="1" ns3:dyDescent="0.2">
      <c r="A1228" s="50" t="s">
        <v>214</v>
      </c>
      <c r="B1228" s="51">
        <v>3.5887692307692315E-6</v>
      </c>
      <c r="D1228" s="50" t="s">
        <v>7</v>
      </c>
      <c r="E1228" s="50" t="s">
        <v>245</v>
      </c>
      <c r="F1228" s="50" t="s">
        <v>27</v>
      </c>
      <c r="G1228" s="51"/>
    </row>
    <row r="1229" spans="1:7" s="50" customFormat="1" ns3:dyDescent="0.2">
      <c r="A1229" s="50" t="s">
        <v>214</v>
      </c>
      <c r="B1229" s="51">
        <v>2.4627692307692311E-9</v>
      </c>
      <c r="D1229" s="50" t="s">
        <v>7</v>
      </c>
      <c r="E1229" s="50" t="s">
        <v>246</v>
      </c>
      <c r="F1229" s="50" t="s">
        <v>27</v>
      </c>
      <c r="G1229" s="51"/>
    </row>
    <row r="1230" spans="1:7" s="50" customFormat="1" ns3:dyDescent="0.2">
      <c r="A1230" s="50" t="s">
        <v>238</v>
      </c>
      <c r="B1230" s="51">
        <v>9.625384615384617E-5</v>
      </c>
      <c r="D1230" s="50" t="s">
        <v>7</v>
      </c>
      <c r="E1230" s="50" t="s">
        <v>245</v>
      </c>
      <c r="F1230" s="50" t="s">
        <v>27</v>
      </c>
      <c r="G1230" s="51"/>
    </row>
    <row r="1231" spans="1:7" s="50" customFormat="1" ns3:dyDescent="0.2">
      <c r="A1231" s="50" t="s">
        <v>238</v>
      </c>
      <c r="B1231" s="51">
        <v>3.4480000000000009E-5</v>
      </c>
      <c r="D1231" s="50" t="s">
        <v>7</v>
      </c>
      <c r="E1231" s="50" t="s">
        <v>246</v>
      </c>
      <c r="F1231" s="50" t="s">
        <v>27</v>
      </c>
      <c r="G1231" s="51"/>
    </row>
    <row r="1232" spans="1:7" s="50" customFormat="1" ns3:dyDescent="0.2">
      <c r="A1232" s="50" t="s">
        <v>258</v>
      </c>
      <c r="B1232" s="51">
        <v>6.8185384615384624E-5</v>
      </c>
      <c r="D1232" s="50" t="s">
        <v>7</v>
      </c>
      <c r="E1232" s="50" t="s">
        <v>245</v>
      </c>
      <c r="F1232" s="50" t="s">
        <v>27</v>
      </c>
      <c r="G1232" s="51"/>
    </row>
    <row r="1233" spans="1:7" s="50" customFormat="1" ns3:dyDescent="0.2">
      <c r="A1233" s="50" t="s">
        <v>258</v>
      </c>
      <c r="B1233" s="51">
        <v>1.1288461538461539E-6</v>
      </c>
      <c r="D1233" s="50" t="s">
        <v>7</v>
      </c>
      <c r="E1233" s="50" t="s">
        <v>246</v>
      </c>
      <c r="F1233" s="50" t="s">
        <v>27</v>
      </c>
      <c r="G1233" s="51"/>
    </row>
    <row r="1234" spans="1:7" s="50" customFormat="1" ns3:dyDescent="0.2">
      <c r="A1234" s="50" t="s">
        <v>255</v>
      </c>
      <c r="B1234" s="51">
        <v>1.6850000000000005E-3</v>
      </c>
      <c r="D1234" s="50" t="s">
        <v>7</v>
      </c>
      <c r="E1234" s="50" t="s">
        <v>245</v>
      </c>
      <c r="F1234" s="50" t="s">
        <v>27</v>
      </c>
      <c r="G1234" s="51"/>
    </row>
    <row r="1235" spans="1:7" s="50" customFormat="1" ns3:dyDescent="0.2">
      <c r="A1235" s="50" t="s">
        <v>255</v>
      </c>
      <c r="B1235" s="51">
        <v>6.3677692307692331E-4</v>
      </c>
      <c r="D1235" s="50" t="s">
        <v>7</v>
      </c>
      <c r="E1235" s="50" t="s">
        <v>246</v>
      </c>
      <c r="F1235" s="50" t="s">
        <v>27</v>
      </c>
      <c r="G1235" s="51"/>
    </row>
    <row r="1236" spans="1:7" s="50" customFormat="1" ns3:dyDescent="0.2">
      <c r="A1236" s="50" t="s">
        <v>219</v>
      </c>
      <c r="B1236" s="51">
        <v>2.5730769230769235E-7</v>
      </c>
      <c r="D1236" s="50" t="s">
        <v>7</v>
      </c>
      <c r="E1236" s="50" t="s">
        <v>245</v>
      </c>
      <c r="F1236" s="50" t="s">
        <v>27</v>
      </c>
      <c r="G1236" s="51"/>
    </row>
    <row r="1237" spans="1:7" s="50" customFormat="1" ns3:dyDescent="0.2">
      <c r="A1237" s="50" t="s">
        <v>219</v>
      </c>
      <c r="B1237" s="51">
        <v>6.6806153846153855E-8</v>
      </c>
      <c r="D1237" s="50" t="s">
        <v>7</v>
      </c>
      <c r="E1237" s="50" t="s">
        <v>246</v>
      </c>
      <c r="F1237" s="50" t="s">
        <v>27</v>
      </c>
      <c r="G1237" s="51"/>
    </row>
    <row r="1238" spans="1:7" s="50" customFormat="1" ns3:dyDescent="0.2">
      <c r="A1238" s="50" t="s">
        <v>239</v>
      </c>
      <c r="B1238" s="51">
        <v>1.9807692307692313E-3</v>
      </c>
      <c r="D1238" s="50" t="s">
        <v>7</v>
      </c>
      <c r="E1238" s="50" t="s">
        <v>245</v>
      </c>
      <c r="F1238" s="50" t="s">
        <v>27</v>
      </c>
      <c r="G1238" s="51"/>
    </row>
    <row r="1239" spans="1:7" s="50" customFormat="1" ns3:dyDescent="0.2">
      <c r="A1239" s="50" t="s">
        <v>239</v>
      </c>
      <c r="B1239" s="51">
        <v>6.3567692307692315E-6</v>
      </c>
      <c r="D1239" s="50" t="s">
        <v>7</v>
      </c>
      <c r="E1239" s="50" t="s">
        <v>246</v>
      </c>
      <c r="F1239" s="50" t="s">
        <v>27</v>
      </c>
      <c r="G1239" s="51"/>
    </row>
    <row r="1240" spans="1:7" s="50" customFormat="1" ns3:dyDescent="0.2">
      <c r="A1240" s="50" t="s">
        <v>240</v>
      </c>
      <c r="B1240" s="51">
        <v>6.5867692307692313E-4</v>
      </c>
      <c r="D1240" s="50" t="s">
        <v>7</v>
      </c>
      <c r="E1240" s="50" t="s">
        <v>245</v>
      </c>
      <c r="F1240" s="50" t="s">
        <v>27</v>
      </c>
      <c r="G1240" s="51"/>
    </row>
    <row r="1241" spans="1:7" s="50" customFormat="1" ns3:dyDescent="0.2">
      <c r="A1241" s="50" t="s">
        <v>240</v>
      </c>
      <c r="B1241" s="51">
        <v>3.3120769230769238E-4</v>
      </c>
      <c r="D1241" s="50" t="s">
        <v>7</v>
      </c>
      <c r="E1241" s="50" t="s">
        <v>246</v>
      </c>
      <c r="F1241" s="50" t="s">
        <v>27</v>
      </c>
      <c r="G1241" s="51"/>
    </row>
    <row r="1242" spans="1:7" s="50" customFormat="1" ns3:dyDescent="0.2">
      <c r="A1242" s="50" t="s">
        <v>241</v>
      </c>
      <c r="B1242" s="51">
        <v>2.4050769230769238E-3</v>
      </c>
      <c r="D1242" s="50" t="s">
        <v>7</v>
      </c>
      <c r="E1242" s="50" t="s">
        <v>245</v>
      </c>
      <c r="F1242" s="50" t="s">
        <v>27</v>
      </c>
      <c r="G1242" s="51"/>
    </row>
    <row r="1243" spans="1:7" s="50" customFormat="1" ns3:dyDescent="0.2">
      <c r="A1243" s="50" t="s">
        <v>241</v>
      </c>
      <c r="B1243" s="51">
        <v>4.1106153846153854E-4</v>
      </c>
      <c r="D1243" s="50" t="s">
        <v>7</v>
      </c>
      <c r="E1243" s="50" t="s">
        <v>246</v>
      </c>
      <c r="F1243" s="50" t="s">
        <v>27</v>
      </c>
      <c r="G1243" s="51"/>
    </row>
    <row r="1244" spans="1:7" s="50" customFormat="1" ns3:dyDescent="0.2">
      <c r="A1244" s="50" t="s">
        <v>242</v>
      </c>
      <c r="B1244" s="51">
        <v>3.1950769230769236E-4</v>
      </c>
      <c r="D1244" s="50" t="s">
        <v>7</v>
      </c>
      <c r="E1244" s="50" t="s">
        <v>245</v>
      </c>
      <c r="F1244" s="50" t="s">
        <v>27</v>
      </c>
      <c r="G1244" s="51"/>
    </row>
    <row r="1245" spans="1:7" s="50" customFormat="1" ns3:dyDescent="0.2">
      <c r="A1245" s="50" t="s">
        <v>242</v>
      </c>
      <c r="B1245" s="51">
        <v>3.6130000000000008E-5</v>
      </c>
      <c r="D1245" s="50" t="s">
        <v>7</v>
      </c>
      <c r="E1245" s="50" t="s">
        <v>246</v>
      </c>
      <c r="F1245" s="50" t="s">
        <v>27</v>
      </c>
      <c r="G1245" s="51"/>
    </row>
    <row r="1246" spans="1:7" s="50" customFormat="1" ns3:dyDescent="0.2">
      <c r="A1246" s="50" t="s">
        <v>223</v>
      </c>
      <c r="B1246" s="51">
        <v>7.5923846153846177E-10</v>
      </c>
      <c r="D1246" s="50" t="s">
        <v>7</v>
      </c>
      <c r="E1246" s="50" t="s">
        <v>245</v>
      </c>
      <c r="F1246" s="50" t="s">
        <v>27</v>
      </c>
      <c r="G1246" s="51"/>
    </row>
    <row r="1247" spans="1:7" s="50" customFormat="1" ns3:dyDescent="0.2">
      <c r="A1247" s="50" t="s">
        <v>223</v>
      </c>
      <c r="B1247" s="51">
        <v>1.2675384615384617E-12</v>
      </c>
      <c r="D1247" s="50" t="s">
        <v>7</v>
      </c>
      <c r="E1247" s="50" t="s">
        <v>246</v>
      </c>
      <c r="F1247" s="50" t="s">
        <v>27</v>
      </c>
      <c r="G1247" s="51"/>
    </row>
    <row r="1248" spans="1:7" s="50" customFormat="1" ns3:dyDescent="0.2">
      <c r="A1248" s="50" t="s">
        <v>224</v>
      </c>
      <c r="B1248" s="51">
        <v>3.5607692307692315E-6</v>
      </c>
      <c r="D1248" s="50" t="s">
        <v>7</v>
      </c>
      <c r="E1248" s="50" t="s">
        <v>245</v>
      </c>
      <c r="F1248" s="50" t="s">
        <v>27</v>
      </c>
      <c r="G1248" s="51"/>
    </row>
    <row r="1249" spans="1:7" s="50" customFormat="1" ns3:dyDescent="0.2">
      <c r="A1249" s="50" t="s">
        <v>224</v>
      </c>
      <c r="B1249" s="51">
        <v>4.8499230769230778E-9</v>
      </c>
      <c r="D1249" s="50" t="s">
        <v>7</v>
      </c>
      <c r="E1249" s="50" t="s">
        <v>246</v>
      </c>
      <c r="F1249" s="50" t="s">
        <v>27</v>
      </c>
      <c r="G1249" s="51"/>
    </row>
    <row r="1250" spans="1:7" s="50" customFormat="1" ns3:dyDescent="0.2">
      <c r="A1250" s="50" t="s">
        <v>227</v>
      </c>
      <c r="B1250" s="51">
        <v>7.8584615384615413E-7</v>
      </c>
      <c r="D1250" s="50" t="s">
        <v>7</v>
      </c>
      <c r="E1250" s="50" t="s">
        <v>245</v>
      </c>
      <c r="F1250" s="50" t="s">
        <v>27</v>
      </c>
      <c r="G1250" s="51"/>
    </row>
    <row r="1251" spans="1:7" s="50" customFormat="1" ns3:dyDescent="0.2">
      <c r="A1251" s="50" t="s">
        <v>227</v>
      </c>
      <c r="B1251" s="51">
        <v>2.9550000000000007E-9</v>
      </c>
      <c r="D1251" s="50" t="s">
        <v>7</v>
      </c>
      <c r="E1251" s="50" t="s">
        <v>246</v>
      </c>
      <c r="F1251" s="50" t="s">
        <v>27</v>
      </c>
      <c r="G1251" s="51"/>
    </row>
    <row r="1252" spans="1:7" s="50" customFormat="1" ns3:dyDescent="0.2">
      <c r="A1252" s="50" t="s">
        <v>228</v>
      </c>
      <c r="B1252" s="51">
        <v>2.2329692307692311E-4</v>
      </c>
      <c r="D1252" s="50" t="s">
        <v>37</v>
      </c>
      <c r="E1252" s="50" t="s">
        <v>246</v>
      </c>
      <c r="F1252" s="50" t="s">
        <v>27</v>
      </c>
      <c r="G1252" s="51"/>
    </row>
    <row r="1253" spans="1:7" s="50" customFormat="1" ns3:dyDescent="0.2">
      <c r="A1253" s="50" t="s">
        <v>229</v>
      </c>
      <c r="B1253" s="51">
        <v>1.754769230769231E-5</v>
      </c>
      <c r="D1253" s="50" t="s">
        <v>7</v>
      </c>
      <c r="E1253" s="50" t="s">
        <v>245</v>
      </c>
      <c r="F1253" s="50" t="s">
        <v>27</v>
      </c>
      <c r="G1253" s="51"/>
    </row>
    <row r="1254" spans="1:7" s="50" customFormat="1" ns3:dyDescent="0.2">
      <c r="A1254" s="50" t="s">
        <v>229</v>
      </c>
      <c r="B1254" s="51">
        <v>2.3906923076923078E-9</v>
      </c>
      <c r="D1254" s="50" t="s">
        <v>7</v>
      </c>
      <c r="E1254" s="50" t="s">
        <v>246</v>
      </c>
      <c r="F1254" s="50" t="s">
        <v>27</v>
      </c>
      <c r="G1254" s="51"/>
    </row>
    <row r="1255" spans="1:7" s="50" customFormat="1" ns3:dyDescent="0.2">
      <c r="A1255" s="50" t="s">
        <v>243</v>
      </c>
      <c r="B1255" s="51">
        <v>0.36967692307692318</v>
      </c>
      <c r="D1255" s="50" t="s">
        <v>7</v>
      </c>
      <c r="E1255" s="50" t="s">
        <v>111</v>
      </c>
      <c r="F1255" s="50" t="s">
        <v>27</v>
      </c>
      <c r="G1255" s="51"/>
    </row>
    <row r="1256" spans="1:7" s="50" customFormat="1" ns3:dyDescent="0.2">
      <c r="A1256" s="50" t="s">
        <v>35</v>
      </c>
      <c r="B1256" s="51">
        <f>(1/1.01)*0.71*6.09*1.1</f>
        <v>4.7091980198019803</v>
      </c>
      <c r="D1256" s="50" t="s">
        <v>17</v>
      </c>
      <c r="E1256" s="50" t="s">
        <v>36</v>
      </c>
      <c r="F1256" s="50" t="s">
        <v>27</v>
      </c>
      <c r="G1256" s="51"/>
    </row>
    <row r="1257" spans="1:7" s="50" customFormat="1" ns3:dyDescent="0.2"/>
    <row r="1258" spans="1:7" s="50" customFormat="1" ht="16" ns3:dyDescent="0.2">
      <c r="A1258" s="49" t="s">
        <v>0</v>
      </c>
      <c r="B1258" s="49" t="s">
        <v>145</v>
      </c>
    </row>
    <row r="1259" spans="1:7" s="50" customFormat="1" ns3:dyDescent="0.2">
      <c r="A1259" s="50" t="s">
        <v>1</v>
      </c>
      <c r="B1259" s="50" t="s">
        <v>104</v>
      </c>
    </row>
    <row r="1260" spans="1:7" s="50" customFormat="1" ns3:dyDescent="0.2">
      <c r="A1260" s="50" t="s">
        <v>2</v>
      </c>
      <c r="B1260" s="50">
        <v>1</v>
      </c>
    </row>
    <row r="1261" spans="1:7" s="50" customFormat="1" ns3:dyDescent="0.2">
      <c r="A1261" s="50" t="s">
        <v>3</v>
      </c>
      <c r="B1261" s="3" t="s">
        <v>146</v>
      </c>
    </row>
    <row r="1262" spans="1:7" s="50" customFormat="1" ns3:dyDescent="0.2">
      <c r="A1262" s="50" t="s">
        <v>4</v>
      </c>
      <c r="B1262" s="50" t="s">
        <v>5</v>
      </c>
    </row>
    <row r="1263" spans="1:7" s="50" customFormat="1" ns3:dyDescent="0.2">
      <c r="A1263" s="50" t="s">
        <v>6</v>
      </c>
      <c r="B1263" s="50" t="s">
        <v>126</v>
      </c>
    </row>
    <row r="1264" spans="1:7" s="50" customFormat="1" ns3:dyDescent="0.2">
      <c r="A1264" s="50" t="s">
        <v>9</v>
      </c>
      <c r="B1264" s="50" t="s">
        <v>148</v>
      </c>
    </row>
    <row r="1265" spans="1:8" s="50" customFormat="1" ht="16" ns3:dyDescent="0.2">
      <c r="A1265" s="49" t="s">
        <v>10</v>
      </c>
    </row>
    <row r="1266" spans="1:8" s="50" customFormat="1" ns3:dyDescent="0.2">
      <c r="A1266" s="50" t="s">
        <v>11</v>
      </c>
      <c r="B1266" s="50" t="s">
        <v>12</v>
      </c>
      <c r="C1266" s="50" t="s">
        <v>1</v>
      </c>
      <c r="D1266" s="50" t="s">
        <v>6</v>
      </c>
      <c r="E1266" s="50" t="s">
        <v>13</v>
      </c>
      <c r="F1266" s="50" t="s">
        <v>4</v>
      </c>
      <c r="G1266" s="50" t="s">
        <v>9</v>
      </c>
      <c r="H1266" s="50" t="s">
        <v>3</v>
      </c>
    </row>
    <row r="1267" spans="1:8" s="50" customFormat="1" ns3:dyDescent="0.2">
      <c r="A1267" s="50" t="str">
        <f>B1258</f>
        <v>electricity import, from neighboring countries</v>
      </c>
      <c r="B1267" s="50">
        <v>1</v>
      </c>
      <c r="C1267" s="50" t="str">
        <f>B1259</f>
        <v>CH</v>
      </c>
      <c r="D1267" s="50" t="str">
        <f>B1263</f>
        <v>kilowatt hour</v>
      </c>
      <c r="F1267" s="50" t="s">
        <v>15</v>
      </c>
      <c r="G1267" s="50" t="s">
        <v>16</v>
      </c>
      <c r="H1267" s="51" t="str">
        <f>B1261</f>
        <v>electricity, high voltage</v>
      </c>
    </row>
    <row r="1268" spans="1:8" s="50" customFormat="1" ns3:dyDescent="0.2">
      <c r="A1268" s="50" t="s">
        <v>147</v>
      </c>
      <c r="B1268" s="50">
        <v>1</v>
      </c>
      <c r="C1268" s="50" t="s">
        <v>103</v>
      </c>
      <c r="D1268" s="50" t="s">
        <v>126</v>
      </c>
      <c r="F1268" s="50" t="s">
        <v>18</v>
      </c>
      <c r="G1268" s="50" t="s">
        <v>16</v>
      </c>
      <c r="H1268" s="50" t="s">
        <v>146</v>
      </c>
    </row>
    <row r="1269" spans="1:8" s="50" customFormat="1" ns3:dyDescent="0.2"/>
    <row r="1270" spans="1:8" s="50" customFormat="1" ht="16" ns3:dyDescent="0.2">
      <c r="A1270" s="49" t="s">
        <v>0</v>
      </c>
      <c r="B1270" s="49" t="s">
        <v>263</v>
      </c>
    </row>
    <row r="1271" spans="1:8" s="50" customFormat="1" ns3:dyDescent="0.2">
      <c r="A1271" s="50" t="s">
        <v>1</v>
      </c>
      <c r="B1271" s="50" t="s">
        <v>104</v>
      </c>
    </row>
    <row r="1272" spans="1:8" s="50" customFormat="1" ns3:dyDescent="0.2">
      <c r="A1272" s="50" t="s">
        <v>2</v>
      </c>
      <c r="B1272" s="50">
        <v>1</v>
      </c>
    </row>
    <row r="1273" spans="1:8" s="50" customFormat="1" ns3:dyDescent="0.2">
      <c r="A1273" s="50" t="s">
        <v>3</v>
      </c>
      <c r="B1273" s="3" t="s">
        <v>264</v>
      </c>
    </row>
    <row r="1274" spans="1:8" s="50" customFormat="1" ns3:dyDescent="0.2">
      <c r="A1274" s="50" t="s">
        <v>4</v>
      </c>
      <c r="B1274" s="50" t="s">
        <v>5</v>
      </c>
    </row>
    <row r="1275" spans="1:8" s="50" customFormat="1" ns3:dyDescent="0.2">
      <c r="A1275" s="50" t="s">
        <v>6</v>
      </c>
      <c r="B1275" s="50" t="s">
        <v>37</v>
      </c>
    </row>
    <row r="1276" spans="1:8" s="50" customFormat="1" ns3:dyDescent="0.2">
      <c r="A1276" s="50" t="s">
        <v>9</v>
      </c>
      <c r="B1276" s="50" t="s">
        <v>265</v>
      </c>
    </row>
    <row r="1277" spans="1:8" s="50" customFormat="1" ht="16" ns3:dyDescent="0.2">
      <c r="A1277" s="49" t="s">
        <v>10</v>
      </c>
    </row>
    <row r="1278" spans="1:8" s="50" customFormat="1" ns3:dyDescent="0.2">
      <c r="A1278" s="50" t="s">
        <v>11</v>
      </c>
      <c r="B1278" s="50" t="s">
        <v>12</v>
      </c>
      <c r="C1278" s="50" t="s">
        <v>1</v>
      </c>
      <c r="D1278" s="50" t="s">
        <v>6</v>
      </c>
      <c r="E1278" s="50" t="s">
        <v>13</v>
      </c>
      <c r="F1278" s="50" t="s">
        <v>4</v>
      </c>
      <c r="G1278" s="50" t="s">
        <v>9</v>
      </c>
      <c r="H1278" s="50" t="s">
        <v>3</v>
      </c>
    </row>
    <row r="1279" spans="1:8" s="50" customFormat="1" ns3:dyDescent="0.2">
      <c r="A1279" s="50" t="str">
        <f>B1270</f>
        <v>biomethane import, from neighboring countries</v>
      </c>
      <c r="B1279" s="50">
        <v>1</v>
      </c>
      <c r="C1279" s="50" t="str">
        <f>B1271</f>
        <v>CH</v>
      </c>
      <c r="D1279" s="50" t="str">
        <f>B1275</f>
        <v>cubic meter</v>
      </c>
      <c r="F1279" s="50" t="s">
        <v>15</v>
      </c>
      <c r="G1279" s="50" t="s">
        <v>16</v>
      </c>
      <c r="H1279" s="51" t="str">
        <f>B1273</f>
        <v>biomethane, high pressure</v>
      </c>
    </row>
    <row r="1280" spans="1:8" s="50" customFormat="1" ns3:dyDescent="0.2">
      <c r="A1280" s="50" t="s">
        <v>266</v>
      </c>
      <c r="B1280" s="50">
        <v>1</v>
      </c>
      <c r="C1280" s="50" t="s">
        <v>267</v>
      </c>
      <c r="D1280" s="50" t="s">
        <v>37</v>
      </c>
      <c r="F1280" s="50" t="s">
        <v>18</v>
      </c>
      <c r="G1280" s="50" t="s">
        <v>16</v>
      </c>
      <c r="H1280" s="50" t="s">
        <v>264</v>
      </c>
    </row>
    <row r="1281" spans="1:8" s="50" customFormat="1" ns3:dyDescent="0.2"/>
    <row r="1282" spans="1:8" s="50" customFormat="1" ht="16" ns3:dyDescent="0.2">
      <c r="A1282" s="49" t="s">
        <v>0</v>
      </c>
      <c r="B1282" s="49" t="s">
        <v>268</v>
      </c>
    </row>
    <row r="1283" spans="1:8" s="50" customFormat="1" ns3:dyDescent="0.2">
      <c r="A1283" s="50" t="s">
        <v>1</v>
      </c>
      <c r="B1283" s="50" t="s">
        <v>104</v>
      </c>
    </row>
    <row r="1284" spans="1:8" s="50" customFormat="1" ns3:dyDescent="0.2">
      <c r="A1284" s="50" t="s">
        <v>2</v>
      </c>
      <c r="B1284" s="50">
        <v>1</v>
      </c>
    </row>
    <row r="1285" spans="1:8" s="50" customFormat="1" ns3:dyDescent="0.2">
      <c r="A1285" s="50" t="s">
        <v>3</v>
      </c>
      <c r="B1285" s="3" t="s">
        <v>269</v>
      </c>
    </row>
    <row r="1286" spans="1:8" s="50" customFormat="1" ns3:dyDescent="0.2">
      <c r="A1286" s="50" t="s">
        <v>4</v>
      </c>
      <c r="B1286" s="50" t="s">
        <v>5</v>
      </c>
    </row>
    <row r="1287" spans="1:8" s="50" customFormat="1" ns3:dyDescent="0.2">
      <c r="A1287" s="50" t="s">
        <v>6</v>
      </c>
      <c r="B1287" s="50" t="s">
        <v>7</v>
      </c>
    </row>
    <row r="1288" spans="1:8" s="50" customFormat="1" ns3:dyDescent="0.2">
      <c r="A1288" s="50" t="s">
        <v>9</v>
      </c>
      <c r="B1288" s="50" t="s">
        <v>265</v>
      </c>
    </row>
    <row r="1289" spans="1:8" s="50" customFormat="1" ht="16" ns3:dyDescent="0.2">
      <c r="A1289" s="49" t="s">
        <v>10</v>
      </c>
    </row>
    <row r="1290" spans="1:8" s="50" customFormat="1" ns3:dyDescent="0.2">
      <c r="A1290" s="50" t="s">
        <v>11</v>
      </c>
      <c r="B1290" s="50" t="s">
        <v>12</v>
      </c>
      <c r="C1290" s="50" t="s">
        <v>1</v>
      </c>
      <c r="D1290" s="50" t="s">
        <v>6</v>
      </c>
      <c r="E1290" s="50" t="s">
        <v>13</v>
      </c>
      <c r="F1290" s="50" t="s">
        <v>4</v>
      </c>
      <c r="G1290" s="50" t="s">
        <v>9</v>
      </c>
      <c r="H1290" s="50" t="s">
        <v>3</v>
      </c>
    </row>
    <row r="1291" spans="1:8" s="50" customFormat="1" ns3:dyDescent="0.2">
      <c r="A1291" s="50" t="str">
        <f>B1282</f>
        <v>kerosene import, from neighboring countries</v>
      </c>
      <c r="B1291" s="50">
        <v>1</v>
      </c>
      <c r="C1291" s="50" t="str">
        <f>B1283</f>
        <v>CH</v>
      </c>
      <c r="D1291" s="50" t="str">
        <f>B1287</f>
        <v>kilogram</v>
      </c>
      <c r="F1291" s="50" t="s">
        <v>15</v>
      </c>
      <c r="G1291" s="50" t="s">
        <v>16</v>
      </c>
      <c r="H1291" s="51" t="str">
        <f>B1285</f>
        <v>kerosene</v>
      </c>
    </row>
    <row r="1292" spans="1:8" s="50" customFormat="1" ns3:dyDescent="0.2">
      <c r="A1292" s="50" t="s">
        <v>270</v>
      </c>
      <c r="B1292" s="50">
        <v>1</v>
      </c>
      <c r="C1292" s="50" t="s">
        <v>271</v>
      </c>
      <c r="D1292" s="50" t="s">
        <v>7</v>
      </c>
      <c r="F1292" s="50" t="s">
        <v>18</v>
      </c>
      <c r="G1292" s="50" t="s">
        <v>16</v>
      </c>
      <c r="H1292" s="50" t="s">
        <v>269</v>
      </c>
    </row>
    <row r="1293" spans="1:8" s="50" customFormat="1" ns3:dyDescent="0.2"/>
    <row r="1294" spans="1:8" s="50" customFormat="1" ht="16" ns3:dyDescent="0.2">
      <c r="A1294" s="49" t="s">
        <v>0</v>
      </c>
      <c r="B1294" s="49" t="s">
        <v>274</v>
      </c>
    </row>
    <row r="1295" spans="1:8" s="50" customFormat="1" ns3:dyDescent="0.2">
      <c r="A1295" s="50" t="s">
        <v>1</v>
      </c>
      <c r="B1295" s="50" t="s">
        <v>104</v>
      </c>
    </row>
    <row r="1296" spans="1:8" s="50" customFormat="1" ns3:dyDescent="0.2">
      <c r="A1296" s="50" t="s">
        <v>2</v>
      </c>
      <c r="B1296" s="50">
        <v>1</v>
      </c>
    </row>
    <row r="1297" spans="1:8" s="50" customFormat="1" ns3:dyDescent="0.2">
      <c r="A1297" s="50" t="s">
        <v>3</v>
      </c>
      <c r="B1297" s="3" t="s">
        <v>276</v>
      </c>
    </row>
    <row r="1298" spans="1:8" s="50" customFormat="1" ns3:dyDescent="0.2">
      <c r="A1298" s="50" t="s">
        <v>4</v>
      </c>
      <c r="B1298" s="50" t="s">
        <v>5</v>
      </c>
    </row>
    <row r="1299" spans="1:8" s="50" customFormat="1" ns3:dyDescent="0.2">
      <c r="A1299" s="50" t="s">
        <v>6</v>
      </c>
      <c r="B1299" s="50" t="s">
        <v>7</v>
      </c>
    </row>
    <row r="1300" spans="1:8" s="50" customFormat="1" ns3:dyDescent="0.2">
      <c r="A1300" s="50" t="s">
        <v>9</v>
      </c>
      <c r="B1300" s="50" t="s">
        <v>265</v>
      </c>
    </row>
    <row r="1301" spans="1:8" s="50" customFormat="1" ht="16" ns3:dyDescent="0.2">
      <c r="A1301" s="49" t="s">
        <v>10</v>
      </c>
    </row>
    <row r="1302" spans="1:8" s="50" customFormat="1" ns3:dyDescent="0.2">
      <c r="A1302" s="50" t="s">
        <v>11</v>
      </c>
      <c r="B1302" s="50" t="s">
        <v>12</v>
      </c>
      <c r="C1302" s="50" t="s">
        <v>1</v>
      </c>
      <c r="D1302" s="50" t="s">
        <v>6</v>
      </c>
      <c r="E1302" s="50" t="s">
        <v>13</v>
      </c>
      <c r="F1302" s="50" t="s">
        <v>4</v>
      </c>
      <c r="G1302" s="50" t="s">
        <v>9</v>
      </c>
      <c r="H1302" s="50" t="s">
        <v>3</v>
      </c>
    </row>
    <row r="1303" spans="1:8" s="50" customFormat="1" ns3:dyDescent="0.2">
      <c r="A1303" s="50" t="str">
        <f>B1294</f>
        <v>synthetic kerosene import, from neighboring countries</v>
      </c>
      <c r="B1303" s="50">
        <v>1</v>
      </c>
      <c r="C1303" s="50" t="str">
        <f>B1295</f>
        <v>CH</v>
      </c>
      <c r="D1303" s="50" t="str">
        <f>B1299</f>
        <v>kilogram</v>
      </c>
      <c r="F1303" s="50" t="s">
        <v>15</v>
      </c>
      <c r="G1303" s="50" t="s">
        <v>16</v>
      </c>
      <c r="H1303" s="51" t="str">
        <f>B1297</f>
        <v>kerosene, synthetic</v>
      </c>
    </row>
    <row r="1304" spans="1:8" s="50" customFormat="1" ns3:dyDescent="0.2">
      <c r="A1304" s="50" t="s">
        <v>275</v>
      </c>
      <c r="B1304" s="50">
        <v>1</v>
      </c>
      <c r="C1304" s="50" t="s">
        <v>103</v>
      </c>
      <c r="D1304" s="50" t="s">
        <v>7</v>
      </c>
      <c r="F1304" s="50" t="s">
        <v>18</v>
      </c>
      <c r="G1304" s="50" t="s">
        <v>16</v>
      </c>
      <c r="H1304" s="50" t="s">
        <v>276</v>
      </c>
    </row>
    <row r="1305" spans="1:8" s="50" customFormat="1" ns3:dyDescent="0.2"/>
    <row r="1306" spans="1:8" s="50" customFormat="1" ht="16" ns3:dyDescent="0.2">
      <c r="A1306" s="49" t="s">
        <v>0</v>
      </c>
      <c r="B1306" s="49" t="s">
        <v>272</v>
      </c>
    </row>
    <row r="1307" spans="1:8" s="50" customFormat="1" ns3:dyDescent="0.2">
      <c r="A1307" s="50" t="s">
        <v>1</v>
      </c>
      <c r="B1307" s="50" t="s">
        <v>104</v>
      </c>
    </row>
    <row r="1308" spans="1:8" s="50" customFormat="1" ns3:dyDescent="0.2">
      <c r="A1308" s="50" t="s">
        <v>2</v>
      </c>
      <c r="B1308" s="50">
        <v>1</v>
      </c>
    </row>
    <row r="1309" spans="1:8" s="50" customFormat="1" ns3:dyDescent="0.2">
      <c r="A1309" s="50" t="s">
        <v>3</v>
      </c>
      <c r="B1309" s="3" t="s">
        <v>273</v>
      </c>
    </row>
    <row r="1310" spans="1:8" s="50" customFormat="1" ns3:dyDescent="0.2">
      <c r="A1310" s="50" t="s">
        <v>4</v>
      </c>
      <c r="B1310" s="50" t="s">
        <v>5</v>
      </c>
    </row>
    <row r="1311" spans="1:8" s="50" customFormat="1" ns3:dyDescent="0.2">
      <c r="A1311" s="50" t="s">
        <v>6</v>
      </c>
      <c r="B1311" s="50" t="s">
        <v>7</v>
      </c>
    </row>
    <row r="1312" spans="1:8" s="50" customFormat="1" ns3:dyDescent="0.2">
      <c r="A1312" s="50" t="s">
        <v>9</v>
      </c>
      <c r="B1312" s="50" t="s">
        <v>265</v>
      </c>
    </row>
    <row r="1313" spans="1:8" s="50" customFormat="1" ht="16" ns3:dyDescent="0.2">
      <c r="A1313" s="49" t="s">
        <v>10</v>
      </c>
    </row>
    <row r="1314" spans="1:8" s="50" customFormat="1" ns3:dyDescent="0.2">
      <c r="A1314" s="50" t="s">
        <v>11</v>
      </c>
      <c r="B1314" s="50" t="s">
        <v>12</v>
      </c>
      <c r="C1314" s="50" t="s">
        <v>1</v>
      </c>
      <c r="D1314" s="50" t="s">
        <v>6</v>
      </c>
      <c r="E1314" s="50" t="s">
        <v>13</v>
      </c>
      <c r="F1314" s="50" t="s">
        <v>4</v>
      </c>
      <c r="G1314" s="50" t="s">
        <v>9</v>
      </c>
      <c r="H1314" s="50" t="s">
        <v>3</v>
      </c>
    </row>
    <row r="1315" spans="1:8" s="50" customFormat="1" ns3:dyDescent="0.2">
      <c r="A1315" s="50" t="str">
        <f>B1306</f>
        <v>diesel import, from neighboring countries</v>
      </c>
      <c r="B1315" s="50">
        <v>1</v>
      </c>
      <c r="C1315" s="50" t="str">
        <f>B1307</f>
        <v>CH</v>
      </c>
      <c r="D1315" s="50" t="str">
        <f>B1311</f>
        <v>kilogram</v>
      </c>
      <c r="F1315" s="50" t="s">
        <v>15</v>
      </c>
      <c r="G1315" s="50" t="s">
        <v>16</v>
      </c>
      <c r="H1315" s="51" t="str">
        <f>B1309</f>
        <v>diesel</v>
      </c>
    </row>
    <row r="1316" spans="1:8" s="50" customFormat="1" ns3:dyDescent="0.2">
      <c r="A1316" s="50" t="s">
        <v>512</v>
      </c>
      <c r="B1316" s="50">
        <v>1</v>
      </c>
      <c r="C1316" s="50" t="s">
        <v>104</v>
      </c>
      <c r="D1316" s="50" t="s">
        <v>7</v>
      </c>
      <c r="F1316" s="50" t="s">
        <v>18</v>
      </c>
      <c r="G1316" s="50" t="s">
        <v>16</v>
      </c>
      <c r="H1316" s="50" t="s">
        <v>357</v>
      </c>
    </row>
    <row r="1317" spans="1:8" s="50" customFormat="1" ns3:dyDescent="0.2"/>
    <row r="1318" spans="1:8" s="50" customFormat="1" ht="16" ns3:dyDescent="0.2">
      <c r="A1318" s="49" t="s">
        <v>0</v>
      </c>
      <c r="B1318" s="49" t="s">
        <v>277</v>
      </c>
    </row>
    <row r="1319" spans="1:8" s="50" customFormat="1" ns3:dyDescent="0.2">
      <c r="A1319" s="50" t="s">
        <v>1</v>
      </c>
      <c r="B1319" s="50" t="s">
        <v>104</v>
      </c>
    </row>
    <row r="1320" spans="1:8" s="50" customFormat="1" ns3:dyDescent="0.2">
      <c r="A1320" s="50" t="s">
        <v>2</v>
      </c>
      <c r="B1320" s="50">
        <v>1</v>
      </c>
    </row>
    <row r="1321" spans="1:8" s="50" customFormat="1" ns3:dyDescent="0.2">
      <c r="A1321" s="50" t="s">
        <v>3</v>
      </c>
      <c r="B1321" s="3" t="s">
        <v>279</v>
      </c>
    </row>
    <row r="1322" spans="1:8" s="50" customFormat="1" ns3:dyDescent="0.2">
      <c r="A1322" s="50" t="s">
        <v>4</v>
      </c>
      <c r="B1322" s="50" t="s">
        <v>5</v>
      </c>
    </row>
    <row r="1323" spans="1:8" s="50" customFormat="1" ns3:dyDescent="0.2">
      <c r="A1323" s="50" t="s">
        <v>6</v>
      </c>
      <c r="B1323" s="50" t="s">
        <v>7</v>
      </c>
    </row>
    <row r="1324" spans="1:8" s="50" customFormat="1" ns3:dyDescent="0.2">
      <c r="A1324" s="50" t="s">
        <v>9</v>
      </c>
      <c r="B1324" s="50" t="s">
        <v>265</v>
      </c>
    </row>
    <row r="1325" spans="1:8" s="50" customFormat="1" ht="16" ns3:dyDescent="0.2">
      <c r="A1325" s="49" t="s">
        <v>10</v>
      </c>
    </row>
    <row r="1326" spans="1:8" s="50" customFormat="1" ns3:dyDescent="0.2">
      <c r="A1326" s="50" t="s">
        <v>11</v>
      </c>
      <c r="B1326" s="50" t="s">
        <v>12</v>
      </c>
      <c r="C1326" s="50" t="s">
        <v>1</v>
      </c>
      <c r="D1326" s="50" t="s">
        <v>6</v>
      </c>
      <c r="E1326" s="50" t="s">
        <v>13</v>
      </c>
      <c r="F1326" s="50" t="s">
        <v>4</v>
      </c>
      <c r="G1326" s="50" t="s">
        <v>9</v>
      </c>
      <c r="H1326" s="50" t="s">
        <v>3</v>
      </c>
    </row>
    <row r="1327" spans="1:8" s="50" customFormat="1" ns3:dyDescent="0.2">
      <c r="A1327" s="50" t="str">
        <f>B1318</f>
        <v>synthetic diesel import, from neighboring countries</v>
      </c>
      <c r="B1327" s="50">
        <v>1</v>
      </c>
      <c r="C1327" s="50" t="str">
        <f>B1319</f>
        <v>CH</v>
      </c>
      <c r="D1327" s="50" t="str">
        <f>B1323</f>
        <v>kilogram</v>
      </c>
      <c r="F1327" s="50" t="s">
        <v>15</v>
      </c>
      <c r="G1327" s="50" t="s">
        <v>16</v>
      </c>
      <c r="H1327" s="51" t="str">
        <f>B1321</f>
        <v>diesel, synthetic</v>
      </c>
    </row>
    <row r="1328" spans="1:8" s="50" customFormat="1" ns3:dyDescent="0.2">
      <c r="A1328" s="50" t="s">
        <v>278</v>
      </c>
      <c r="B1328" s="50">
        <v>1</v>
      </c>
      <c r="C1328" s="50" t="s">
        <v>103</v>
      </c>
      <c r="D1328" s="50" t="s">
        <v>7</v>
      </c>
      <c r="F1328" s="50" t="s">
        <v>18</v>
      </c>
      <c r="G1328" s="50" t="s">
        <v>16</v>
      </c>
      <c r="H1328" s="50" t="s">
        <v>279</v>
      </c>
    </row>
    <row r="1329" spans="1:8" s="50" customFormat="1" ns3:dyDescent="0.2"/>
    <row r="1330" spans="1:8" s="50" customFormat="1" ht="16" ns3:dyDescent="0.2">
      <c r="A1330" s="49" t="s">
        <v>0</v>
      </c>
      <c r="B1330" s="49" t="s">
        <v>280</v>
      </c>
    </row>
    <row r="1331" spans="1:8" s="50" customFormat="1" ns3:dyDescent="0.2">
      <c r="A1331" s="50" t="s">
        <v>1</v>
      </c>
      <c r="B1331" s="50" t="s">
        <v>104</v>
      </c>
    </row>
    <row r="1332" spans="1:8" s="50" customFormat="1" ns3:dyDescent="0.2">
      <c r="A1332" s="50" t="s">
        <v>2</v>
      </c>
      <c r="B1332" s="50">
        <v>1</v>
      </c>
    </row>
    <row r="1333" spans="1:8" s="50" customFormat="1" ns3:dyDescent="0.2">
      <c r="A1333" s="50" t="s">
        <v>3</v>
      </c>
      <c r="B1333" s="3" t="s">
        <v>281</v>
      </c>
    </row>
    <row r="1334" spans="1:8" s="50" customFormat="1" ns3:dyDescent="0.2">
      <c r="A1334" s="50" t="s">
        <v>4</v>
      </c>
      <c r="B1334" s="50" t="s">
        <v>5</v>
      </c>
    </row>
    <row r="1335" spans="1:8" s="50" customFormat="1" ns3:dyDescent="0.2">
      <c r="A1335" s="50" t="s">
        <v>6</v>
      </c>
      <c r="B1335" s="50" t="s">
        <v>7</v>
      </c>
    </row>
    <row r="1336" spans="1:8" s="50" customFormat="1" ns3:dyDescent="0.2">
      <c r="A1336" s="50" t="s">
        <v>9</v>
      </c>
      <c r="B1336" s="50" t="s">
        <v>265</v>
      </c>
    </row>
    <row r="1337" spans="1:8" s="50" customFormat="1" ht="16" ns3:dyDescent="0.2">
      <c r="A1337" s="49" t="s">
        <v>10</v>
      </c>
    </row>
    <row r="1338" spans="1:8" s="50" customFormat="1" ns3:dyDescent="0.2">
      <c r="A1338" s="50" t="s">
        <v>11</v>
      </c>
      <c r="B1338" s="50" t="s">
        <v>12</v>
      </c>
      <c r="C1338" s="50" t="s">
        <v>1</v>
      </c>
      <c r="D1338" s="50" t="s">
        <v>6</v>
      </c>
      <c r="E1338" s="50" t="s">
        <v>13</v>
      </c>
      <c r="F1338" s="50" t="s">
        <v>4</v>
      </c>
      <c r="G1338" s="50" t="s">
        <v>9</v>
      </c>
      <c r="H1338" s="50" t="s">
        <v>3</v>
      </c>
    </row>
    <row r="1339" spans="1:8" s="50" customFormat="1" ns3:dyDescent="0.2">
      <c r="A1339" s="50" t="str">
        <f>B1330</f>
        <v>synthetic natural gas import, from neighboring countries</v>
      </c>
      <c r="B1339" s="50">
        <v>1</v>
      </c>
      <c r="C1339" s="50" t="str">
        <f>B1331</f>
        <v>CH</v>
      </c>
      <c r="D1339" s="50" t="str">
        <f>B1335</f>
        <v>kilogram</v>
      </c>
      <c r="F1339" s="50" t="s">
        <v>15</v>
      </c>
      <c r="G1339" s="50" t="s">
        <v>16</v>
      </c>
      <c r="H1339" s="51" t="str">
        <f>B1333</f>
        <v>natural gas, synthetic</v>
      </c>
    </row>
    <row r="1340" spans="1:8" s="50" customFormat="1" ns3:dyDescent="0.2">
      <c r="A1340" s="50" t="s">
        <v>282</v>
      </c>
      <c r="B1340" s="50">
        <v>1</v>
      </c>
      <c r="C1340" s="50" t="s">
        <v>103</v>
      </c>
      <c r="D1340" s="50" t="s">
        <v>7</v>
      </c>
      <c r="F1340" s="50" t="s">
        <v>18</v>
      </c>
      <c r="G1340" s="50" t="s">
        <v>16</v>
      </c>
      <c r="H1340" s="50" t="s">
        <v>283</v>
      </c>
    </row>
    <row r="1343" spans="1:8" s="50" customFormat="1" ht="16" ns3:dyDescent="0.2">
      <c r="A1343" s="49" t="s">
        <v>0</v>
      </c>
      <c r="B1343" s="49" t="s">
        <v>284</v>
      </c>
    </row>
    <row r="1344" spans="1:8" s="50" customFormat="1" ns3:dyDescent="0.2">
      <c r="A1344" s="50" t="s">
        <v>1</v>
      </c>
      <c r="B1344" s="50" t="s">
        <v>104</v>
      </c>
    </row>
    <row r="1345" spans="1:12" s="50" customFormat="1" ns3:dyDescent="0.2">
      <c r="A1345" s="50" t="s">
        <v>2</v>
      </c>
      <c r="B1345" s="50">
        <v>1</v>
      </c>
    </row>
    <row r="1346" spans="1:12" s="50" customFormat="1" ns3:dyDescent="0.2">
      <c r="A1346" s="50" t="s">
        <v>3</v>
      </c>
      <c r="B1346" s="3" t="s">
        <v>285</v>
      </c>
    </row>
    <row r="1347" spans="1:12" s="50" customFormat="1" ns3:dyDescent="0.2">
      <c r="A1347" s="50" t="s">
        <v>4</v>
      </c>
      <c r="B1347" s="50" t="s">
        <v>5</v>
      </c>
    </row>
    <row r="1348" spans="1:12" s="50" customFormat="1" ns3:dyDescent="0.2">
      <c r="A1348" s="50" t="s">
        <v>6</v>
      </c>
      <c r="B1348" s="50" t="s">
        <v>17</v>
      </c>
    </row>
    <row r="1349" spans="1:12" s="50" customFormat="1" ns3:dyDescent="0.2">
      <c r="A1349" s="50" t="s">
        <v>9</v>
      </c>
      <c r="B1349" s="50" t="s">
        <v>286</v>
      </c>
    </row>
    <row r="1350" spans="1:12" s="50" customFormat="1" ht="16" ns3:dyDescent="0.2">
      <c r="A1350" s="49" t="s">
        <v>10</v>
      </c>
    </row>
    <row r="1351" spans="1:12" s="50" customFormat="1" ns3:dyDescent="0.2">
      <c r="A1351" s="50" t="s">
        <v>11</v>
      </c>
      <c r="B1351" s="50" t="s">
        <v>12</v>
      </c>
      <c r="C1351" s="50" t="s">
        <v>1</v>
      </c>
      <c r="D1351" s="50" t="s">
        <v>6</v>
      </c>
      <c r="E1351" s="50" t="s">
        <v>13</v>
      </c>
      <c r="F1351" s="50" t="s">
        <v>4</v>
      </c>
      <c r="G1351" s="50" t="s">
        <v>9</v>
      </c>
      <c r="H1351" s="50" t="s">
        <v>3</v>
      </c>
    </row>
    <row r="1352" spans="1:12" s="50" customFormat="1" ns3:dyDescent="0.2">
      <c r="A1352" s="50" t="str">
        <f>B1343</f>
        <v>heat, from nuclear power plant</v>
      </c>
      <c r="B1352" s="50">
        <v>1</v>
      </c>
      <c r="C1352" s="50" t="str">
        <f>B1344</f>
        <v>CH</v>
      </c>
      <c r="D1352" s="50" t="str">
        <f>B1348</f>
        <v>megajoule</v>
      </c>
      <c r="F1352" s="50" t="s">
        <v>15</v>
      </c>
      <c r="G1352" s="50" t="s">
        <v>16</v>
      </c>
      <c r="H1352" s="51" t="str">
        <f>B1346</f>
        <v>heat</v>
      </c>
    </row>
    <row r="1353" spans="1:12" s="50" customFormat="1" ns3:dyDescent="0.2">
      <c r="A1353" s="50" t="s">
        <v>205</v>
      </c>
      <c r="B1353" s="50">
        <v>1</v>
      </c>
      <c r="D1353" s="50" t="s">
        <v>17</v>
      </c>
      <c r="E1353" s="50" t="s">
        <v>136</v>
      </c>
      <c r="F1353" s="50" t="s">
        <v>27</v>
      </c>
      <c r="G1353" s="50" t="s">
        <v>16</v>
      </c>
    </row>
    <row r="1354" spans="1:12" s="50" customFormat="1" ns3:dyDescent="0.2">
      <c r="A1354" s="50" t="s">
        <v>487</v>
      </c>
      <c r="B1354" s="50">
        <f>1/560000</f>
        <v>1.7857142857142857E-6</v>
      </c>
      <c r="D1354" s="50" t="s">
        <v>7</v>
      </c>
      <c r="E1354" s="50" t="s">
        <v>485</v>
      </c>
      <c r="F1354" s="50" t="s">
        <v>27</v>
      </c>
    </row>
    <row r="1356">
      <c r="A1356" t="inlineStr">
        <is>
          <t>Activity</t>
        </is>
      </c>
      <c r="B1356" t="inlineStr">
        <is>
          <t>electricity, used in industrial electric boiler</t>
        </is>
      </c>
    </row>
    <row r="1357">
      <c r="A1357" t="inlineStr">
        <is>
          <t>location</t>
        </is>
      </c>
      <c r="B1357" t="inlineStr">
        <is>
          <t>CH</t>
        </is>
      </c>
    </row>
    <row r="1358">
      <c r="A1358" t="inlineStr">
        <is>
          <t>production amount</t>
        </is>
      </c>
      <c r="B1358">
        <v>1</v>
      </c>
    </row>
    <row r="1359">
      <c r="A1359" t="inlineStr">
        <is>
          <t>reference product</t>
        </is>
      </c>
      <c r="B1359" t="inlineStr">
        <is>
          <t>electricity, low voltage</t>
        </is>
      </c>
    </row>
    <row r="1360">
      <c r="A1360" t="inlineStr">
        <is>
          <t>type</t>
        </is>
      </c>
      <c r="B1360" t="inlineStr">
        <is>
          <t>process</t>
        </is>
      </c>
    </row>
    <row r="1361">
      <c r="A1361" t="inlineStr">
        <is>
          <t>unit</t>
        </is>
      </c>
      <c r="B1361" t="inlineStr">
        <is>
          <t>megajoule</t>
        </is>
      </c>
    </row>
    <row r="1362">
      <c r="A1362" t="inlineStr">
        <is>
          <t>electric boiler equipment</t>
        </is>
      </c>
      <c r="B1362" t="inlineStr">
        <is>
          <t>{"model": "Osby Parca EL 500 Eco, 504 kW", "name": "electricity, used in industrial electric boiler", "power_kW": 504, "mass_kg": 410, "lifetime_years": 20, "lifetime_range": [20, 30], "material_fractions": {"low_alloy": 0.581, "brass": 0.011, "electronics": 0.242, "rubber": 0.026, "unmodelled": 0.14}, "source_ids": ["osby", "ctc_bvd"], "limitations": ["Published industrial hot-water-boiler mass and power; material fractions and 20-year life are transferred from CTC EL 42 as explicit engineering proxies.", "Industrial steam/electrode-boiler composition and Swiss technology shares remain unresolved; this is a provisional resistance-boiler archetype.", "Steel-plate group uses low-alloy steel; stainless-steel substitution must be reported as a sensitivity.", "Cable/electronics use a generic control-unit electronics proxy; unidentified 14% remains unmodelled. No elemental metal fractions are invented.", "Installation, circulation pump, manufacturing assembly energy and end-of-life remain unquantified."], "pathway": "FE_industry_process_electric_boiler", "capacity_variable": "Process and space heating capacity in industry sectors|Electricity|Electric boiler", "energy_variable": "Fuel consumption in industry sectors|Electricity|Electric boiler", "id": "industry", "sources": {"osby": {"url": "https://www.rskdatabasen.se/infoDocs/PROD/PROD_1185_6203841.pdf", "sha256": "1e9642102af02575a2afbbccd23659c9f0209d37aa560749d621a7b9e75ade52", "locator": "Last page, 2022-11-25; EL 500 Eco, 504 kW, 410 kg excluding water"}, "ctc_bvd": {"url": "https://ctc.no/file-download/a9a26013a5c285864d4ad53326bec18c.pdf", "sha256": "8b279c4c47d0e0c1c239d98dea2952f67fade9527b9fcec1e38bd8e0bc6c423a", "locator": "BVD-0045 to BVD-0047, 2022-01-10, material declarations and 20–25 year technical life"}}, "boundary": "Dedicated electric heating equipment only; building fabric and heat-distribution networks excluded.", "hardware": ["electric boiler equipment production, Osby Parca EL 500 Eco, 504 kW", "Osby Parca EL 500 Eco, 504 kW", "RER", "unit"], "materials_kg": {"low_alloy": 238.20999999999998, "brass": 4.51, "electronics": 99.22, "rubber": 10.66, "unmodelled": 57.400000000000006}, "material_suppliers": {"low_alloy": ["market for steel, low-alloyed", "steel, low-alloyed", "GLO", "kilogram"], "brass": ["market for brass", "brass", "RoW", "kilogram"], "electronics": ["market for electronics, for control units", "electronics, for control units", "GLO", "kilogram"], "rubber": ["market for synthetic rubber", "synthetic rubber", "GLO", "kilogram"]}, "unmodelled_mass_kg": 57.400000000000006}</t>
        </is>
      </c>
    </row>
    <row r="1363">
      <c r="A1363" t="inlineStr">
        <is>
          <t>comment</t>
        </is>
      </c>
      <c r="B1363" t="inlineStr">
        <is>
          <t>Consumes exactly 1 MJ final electricity. Baseline hardware allocation uses SPS1/2020 installed capacity divided by annual electricity and lifetime; the build adapter replaces this for every scenario/year. Published industrial hot-water-boiler mass and power; material fractions and 20-year life are transferred from CTC EL 42 as explicit engineering proxies. Industrial steam/electrode-boiler composition and Swiss technology shares remain unresolved; this is a provisional resistance-boiler archetype. Steel-plate group uses low-alloy steel; stainless-steel substitution must be reported as a sensitivity. Cable/electronics use a generic control-unit electronics proxy; unidentified 14% remains unmodelled. No elemental metal fractions are invented. Installation, circulation pump, manufacturing assembly energy and end-of-life remain unquantified.</t>
        </is>
      </c>
    </row>
    <row r="1364">
      <c r="A1364" t="inlineStr">
        <is>
          <t>Exchanges</t>
        </is>
      </c>
    </row>
    <row r="1365">
      <c r="A1365" t="inlineStr">
        <is>
          <t>name</t>
        </is>
      </c>
      <c r="B1365" t="inlineStr">
        <is>
          <t>amount</t>
        </is>
      </c>
      <c r="C1365" t="inlineStr">
        <is>
          <t>location</t>
        </is>
      </c>
      <c r="D1365" t="inlineStr">
        <is>
          <t>unit</t>
        </is>
      </c>
      <c r="E1365" t="inlineStr">
        <is>
          <t>categories</t>
        </is>
      </c>
      <c r="F1365" t="inlineStr">
        <is>
          <t>type</t>
        </is>
      </c>
      <c r="G1365" t="inlineStr">
        <is>
          <t>reference product</t>
        </is>
      </c>
      <c r="H1365" t="inlineStr">
        <is>
          <t>comment</t>
        </is>
      </c>
      <c r="I1365" t="inlineStr">
        <is>
          <t>uncertainty type</t>
        </is>
      </c>
    </row>
    <row r="1366">
      <c r="A1366" t="inlineStr">
        <is>
          <t>electricity, used in industrial electric boiler</t>
        </is>
      </c>
      <c r="B1366">
        <v>1</v>
      </c>
      <c r="C1366" t="inlineStr">
        <is>
          <t>CH</t>
        </is>
      </c>
      <c r="D1366" t="inlineStr">
        <is>
          <t>megajoule</t>
        </is>
      </c>
      <c r="F1366" t="inlineStr">
        <is>
          <t>production</t>
        </is>
      </c>
      <c r="G1366" t="inlineStr">
        <is>
          <t>electricity, low voltage</t>
        </is>
      </c>
    </row>
    <row r="1367">
      <c r="A1367" t="inlineStr">
        <is>
          <t>market for electricity, low voltage</t>
        </is>
      </c>
      <c r="B1367">
        <v>0.2777777777777778</v>
      </c>
      <c r="C1367" t="inlineStr">
        <is>
          <t>CH</t>
        </is>
      </c>
      <c r="D1367" t="inlineStr">
        <is>
          <t>kilowatt hour</t>
        </is>
      </c>
      <c r="F1367" t="inlineStr">
        <is>
          <t>technosphere</t>
        </is>
      </c>
      <c r="G1367" t="inlineStr">
        <is>
          <t>electricity, low voltage</t>
        </is>
      </c>
    </row>
    <row r="1368">
      <c r="A1368" t="inlineStr">
        <is>
          <t>electric boiler equipment production, Osby Parca EL 500 Eco, 504 kW</t>
        </is>
      </c>
      <c r="B1368">
        <v>4.739722722766659e-09</v>
      </c>
      <c r="C1368" t="inlineStr">
        <is>
          <t>RER</t>
        </is>
      </c>
      <c r="D1368" t="inlineStr">
        <is>
          <t>unit</t>
        </is>
      </c>
      <c r="F1368" t="inlineStr">
        <is>
          <t>technosphere</t>
        </is>
      </c>
      <c r="G1368" t="inlineStr">
        <is>
          <t>Osby Parca EL 500 Eco, 504 kW</t>
        </is>
      </c>
    </row>
    <row r="1369"/>
    <row r="1370" spans="1:12" ht="16" ns3:dyDescent="0.2">
      <c r="A1370" s="1" t="s">
        <v>0</v>
      </c>
      <c r="B1370" s="1" t="s">
        <v>290</v>
      </c>
      <c r="C1370" s="53"/>
      <c r="D1370" s="53"/>
      <c r="E1370" s="53"/>
      <c r="F1370" s="53"/>
      <c r="G1370" s="53"/>
      <c r="H1370" s="53"/>
    </row>
    <row r="1371" spans="1:12" ns3:dyDescent="0.2">
      <c r="A1371" s="53" t="s">
        <v>1</v>
      </c>
      <c r="B1371" s="53" t="s">
        <v>104</v>
      </c>
      <c r="C1371" s="53"/>
      <c r="D1371" s="53"/>
      <c r="E1371" s="53"/>
      <c r="F1371" s="53"/>
      <c r="G1371" s="53"/>
      <c r="H1371" s="53"/>
      <c r="I1371" s="53"/>
      <c r="J1371" s="53"/>
      <c r="K1371" s="53"/>
      <c r="L1371" s="53"/>
    </row>
    <row r="1372" spans="1:12" ns3:dyDescent="0.2">
      <c r="A1372" s="53" t="s">
        <v>2</v>
      </c>
      <c r="B1372" s="53">
        <v>1</v>
      </c>
      <c r="C1372" s="53"/>
      <c r="D1372" s="53"/>
      <c r="E1372" s="53"/>
      <c r="F1372" s="53"/>
      <c r="G1372" s="53"/>
      <c r="H1372" s="53"/>
      <c r="I1372" s="53"/>
      <c r="J1372" s="53"/>
      <c r="K1372" s="53"/>
      <c r="L1372" s="53"/>
    </row>
    <row r="1373" spans="1:12" ns3:dyDescent="0.2">
      <c r="A1373" s="53" t="s">
        <v>3</v>
      </c>
      <c r="B1373" s="53" t="s">
        <v>287</v>
      </c>
      <c r="C1373" s="53"/>
      <c r="D1373" s="53"/>
      <c r="E1373" s="53"/>
      <c r="F1373" s="53"/>
      <c r="G1373" s="53"/>
      <c r="H1373" s="53"/>
      <c r="I1373" s="53"/>
      <c r="J1373" s="53"/>
    </row>
    <row r="1374" spans="1:12" ns3:dyDescent="0.2">
      <c r="A1374" s="53" t="s">
        <v>4</v>
      </c>
      <c r="B1374" s="53" t="s">
        <v>5</v>
      </c>
      <c r="C1374" s="53"/>
      <c r="D1374" s="53"/>
      <c r="E1374" s="53"/>
      <c r="F1374" s="53"/>
      <c r="G1374" s="53"/>
      <c r="H1374" s="53"/>
      <c r="I1374" s="53"/>
      <c r="J1374" s="53"/>
      <c r="K1374" s="53"/>
      <c r="L1374" s="53"/>
    </row>
    <row r="1375" spans="1:12" ns3:dyDescent="0.2">
      <c r="A1375" s="53" t="s">
        <v>6</v>
      </c>
      <c r="B1375" s="53" t="s">
        <v>17</v>
      </c>
      <c r="C1375" s="53"/>
      <c r="D1375" s="53"/>
      <c r="E1375" s="53"/>
      <c r="F1375" s="53"/>
      <c r="G1375" s="53"/>
      <c r="H1375" s="53"/>
      <c r="I1375" s="53"/>
      <c r="J1375" s="53"/>
      <c r="K1375" s="53"/>
      <c r="L1375" s="53"/>
    </row>
    <row r="1376" spans="1:12" ht="16" ns3:dyDescent="0.2">
      <c r="A1376" s="1" t="s">
        <v>10</v>
      </c>
      <c r="B1376" s="53"/>
      <c r="C1376" s="53"/>
      <c r="D1376" s="53"/>
      <c r="E1376" s="53"/>
      <c r="F1376" s="53"/>
      <c r="G1376" s="53"/>
      <c r="H1376" s="53"/>
      <c r="I1376" s="53"/>
      <c r="J1376" s="53"/>
      <c r="K1376" s="53"/>
      <c r="L1376" s="53"/>
    </row>
    <row r="1377" spans="1:12" ns3:dyDescent="0.2">
      <c r="A1377" s="53" t="s">
        <v>11</v>
      </c>
      <c r="B1377" s="53" t="s">
        <v>12</v>
      </c>
      <c r="C1377" s="53" t="s">
        <v>1</v>
      </c>
      <c r="D1377" s="53" t="s">
        <v>6</v>
      </c>
      <c r="E1377" s="53" t="s">
        <v>13</v>
      </c>
      <c r="F1377" s="53" t="s">
        <v>4</v>
      </c>
      <c r="G1377" s="50" t="s">
        <v>9</v>
      </c>
      <c r="H1377" s="53" t="s">
        <v>3</v>
      </c>
      <c r="I1377" s="53"/>
      <c r="J1377" s="53"/>
      <c r="K1377" s="53"/>
    </row>
    <row r="1378" spans="1:12" ns3:dyDescent="0.2">
      <c r="A1378" s="53" t="str">
        <f>B1370</f>
        <v>electricity, used in industrial heat pump</v>
      </c>
      <c r="B1378" s="53">
        <v>1</v>
      </c>
      <c r="C1378" s="53" t="str">
        <f>B1371</f>
        <v>CH</v>
      </c>
      <c r="D1378" s="53" t="str">
        <f>B1375</f>
        <v>megajoule</v>
      </c>
      <c r="E1378" s="53"/>
      <c r="F1378" s="53" t="s">
        <v>15</v>
      </c>
      <c r="H1378" s="53" t="str">
        <f>B1373</f>
        <v>electricity, low voltage</v>
      </c>
      <c r="I1378" s="53"/>
      <c r="J1378" s="53"/>
      <c r="K1378" s="53"/>
      <c r="L1378" s="53"/>
    </row>
    <row r="1379" spans="1:12" ns3:dyDescent="0.2">
      <c r="A1379" s="53" t="s">
        <v>291</v>
      </c>
      <c r="B1379" s="2">
        <f>1/0.357</f>
        <v>2.801120448179272</v>
      </c>
      <c r="C1379" t="s">
        <v>104</v>
      </c>
      <c r="D1379" t="s">
        <v>17</v>
      </c>
      <c r="F1379" t="s">
        <v>18</v>
      </c>
      <c r="H1379" t="s">
        <v>292</v>
      </c>
    </row>
    <row r="1380" spans="1:12" ns3:dyDescent="0.2">
      <c r="A1380" t="s">
        <v>482</v>
      </c>
      <c r="B1380" s="2">
        <v>2</v>
      </c>
      <c r="D1380" t="s">
        <v>17</v>
      </c>
      <c r="E1380" t="s">
        <v>485</v>
      </c>
      <c r="F1380" t="s">
        <v>27</v>
      </c>
    </row>
    <row r="1381" spans="1:12" ns3:dyDescent="0.2">
      <c r="A1381" s="53"/>
      <c r="B1381"/>
    </row>
    <row r="1382">
      <c r="A1382" t="inlineStr">
        <is>
          <t>Activity</t>
        </is>
      </c>
      <c r="B1382" t="inlineStr">
        <is>
          <t>electricity, used in industrial electric processes</t>
        </is>
      </c>
    </row>
    <row r="1383">
      <c r="A1383" t="inlineStr">
        <is>
          <t>location</t>
        </is>
      </c>
      <c r="B1383" t="inlineStr">
        <is>
          <t>CH</t>
        </is>
      </c>
    </row>
    <row r="1384">
      <c r="A1384" t="inlineStr">
        <is>
          <t>production amount</t>
        </is>
      </c>
      <c r="B1384">
        <v>1</v>
      </c>
    </row>
    <row r="1385">
      <c r="A1385" t="inlineStr">
        <is>
          <t>reference product</t>
        </is>
      </c>
      <c r="B1385" t="inlineStr">
        <is>
          <t>electricity, low voltage</t>
        </is>
      </c>
    </row>
    <row r="1386">
      <c r="A1386" t="inlineStr">
        <is>
          <t>type</t>
        </is>
      </c>
      <c r="B1386" t="inlineStr">
        <is>
          <t>process</t>
        </is>
      </c>
    </row>
    <row r="1387">
      <c r="A1387" t="inlineStr">
        <is>
          <t>unit</t>
        </is>
      </c>
      <c r="B1387" t="inlineStr">
        <is>
          <t>megajoule</t>
        </is>
      </c>
    </row>
    <row r="1388">
      <c r="A1388" t="inlineStr">
        <is>
          <t>aggregate electric equipment</t>
        </is>
      </c>
      <c r="B1388" t="inlineStr">
        <is>
          <t>{"pathway": "FE_industry_process_FE_other_electric", "name": "electricity, used in industrial electric processes", "energy_PJ": {"lighting": 6.5, "motor": 36.1, "unresolved_ICT": 1.3, "unresolved_other": 2.7}, "limitations": ["Drives and HVAC motors share a 22 kW industrial induction-motor archetype; load factors, ratings, controls and technology shares are unresolved.", "Lighting uses a 10 W CFL inventory, 10000 operating hours; LED transition is not modelled.", "ICT and other residual uses have no added equipment; their demand remains included and is not interpreted as zero equipment use."], "id": "industry", "sources": {"swiss_enduse": {"url": "https://pubdb.bfe.admin.ch/de/publication/download/12358", "locator": "Tables 23, 24, 28 and 32, 2020 columns; space/water/process heating excluded from industry/services other electricity."}, "swiss_appliances": {"url": "https://pubdb.bfe.admin.ch/de/publication/download/10742", "locator": "Sections 3.1.3, 3.2 and 3.5; 2020 stock consumption, 214 kWh/year refrigerator, 255 washer, 203 dishwasher. Later editions revise historical values."}, "abb_motor": {"url": "https://library.e.abb.com/public/6d5d9840ca2fa0f3c1256d63003e98bf/EPD%20M3JP180GB.pdf", "locator": "Page 1; M3JP 180MLB, 22 kW shaft output, 93.1% efficiency, 15 years, 5000 hours/year; product material table, excluding wooden packaging."}}, "boundary": "Energy conversion components only; appliance housings, structural frames, buildings and distribution networks excluded.", "interpretation": "Static representative equipment per lifetime MJ; Swiss 2020 energy shares are held constant to 2050, not projected technology shares.", "shares": {"lighting": 0.13948497854077252, "motor": 0.7746781115879828, "unresolved_ICT": 0.027896995708154508, "unresolved_other": 0.057939914163090134}, "components": [{"category": "lighting", "share": 0.13948497854077252, "per_MJ_of_category": 0.002777777777777778, "exchange": {"name": "compact fluorescent lamp production", "product": "compact fluorescent lamp", "location": "GLO", "unit": "unit", "type": "technosphere", "amount": 0.0003874582737243681}}, {"category": "motor", "share": 0.7746781115879828, "per_MJ_of_category": 1.5673400673400675e-07, "exchange": {"name": "energy equipment production, industrial induction motor, 22 kW (SPS)", "product": "energy equipment production, industrial induction motor, 22 kW (SPS)", "location": "RER", "unit": "unit", "type": "technosphere", "amount": 1.2141840435831854e-07}}], "fraction with some identified components": 0.9141630901287554, "fraction without equipment": 0.08583690987124465}</t>
        </is>
      </c>
    </row>
    <row r="1389">
      <c r="A1389" t="inlineStr">
        <is>
          <t>comment</t>
        </is>
      </c>
      <c r="B1389" t="inlineStr">
        <is>
          <t>Energy conversion components only; appliance housings, structural frames, buildings and distribution networks excluded. Static representative equipment per lifetime MJ; Swiss 2020 energy shares are held constant to 2050, not projected technology shares. Drives and HVAC motors share a 22 kW industrial induction-motor archetype; load factors, ratings, controls and technology shares are unresolved. Lighting uses a 10 W CFL inventory, 10000 operating hours; LED transition is not modelled. ICT and other residual uses have no added equipment; their demand remains included and is not interpreted as zero equipment use.</t>
        </is>
      </c>
    </row>
    <row r="1390">
      <c r="A1390" t="inlineStr">
        <is>
          <t>Exchanges</t>
        </is>
      </c>
    </row>
    <row r="1391">
      <c r="A1391" t="inlineStr">
        <is>
          <t>name</t>
        </is>
      </c>
      <c r="B1391" t="inlineStr">
        <is>
          <t>amount</t>
        </is>
      </c>
      <c r="C1391" t="inlineStr">
        <is>
          <t>location</t>
        </is>
      </c>
      <c r="D1391" t="inlineStr">
        <is>
          <t>unit</t>
        </is>
      </c>
      <c r="E1391" t="inlineStr">
        <is>
          <t>categories</t>
        </is>
      </c>
      <c r="F1391" t="inlineStr">
        <is>
          <t>type</t>
        </is>
      </c>
      <c r="G1391" t="inlineStr">
        <is>
          <t>reference product</t>
        </is>
      </c>
      <c r="H1391" t="inlineStr">
        <is>
          <t>comment</t>
        </is>
      </c>
      <c r="I1391" t="inlineStr">
        <is>
          <t>uncertainty type</t>
        </is>
      </c>
    </row>
    <row r="1392">
      <c r="A1392" t="inlineStr">
        <is>
          <t>electricity, used in industrial electric processes</t>
        </is>
      </c>
      <c r="B1392">
        <v>1</v>
      </c>
      <c r="C1392" t="inlineStr">
        <is>
          <t>CH</t>
        </is>
      </c>
      <c r="D1392" t="inlineStr">
        <is>
          <t>megajoule</t>
        </is>
      </c>
      <c r="F1392" t="inlineStr">
        <is>
          <t>production</t>
        </is>
      </c>
      <c r="G1392" t="inlineStr">
        <is>
          <t>electricity, low voltage</t>
        </is>
      </c>
    </row>
    <row r="1393">
      <c r="A1393" t="inlineStr">
        <is>
          <t>market for electricity, low voltage</t>
        </is>
      </c>
      <c r="B1393">
        <v>0.2777777777777778</v>
      </c>
      <c r="C1393" t="inlineStr">
        <is>
          <t>CH</t>
        </is>
      </c>
      <c r="D1393" t="inlineStr">
        <is>
          <t>kilowatt hour</t>
        </is>
      </c>
      <c r="F1393" t="inlineStr">
        <is>
          <t>technosphere</t>
        </is>
      </c>
      <c r="G1393" t="inlineStr">
        <is>
          <t>electricity, low voltage</t>
        </is>
      </c>
    </row>
    <row r="1394">
      <c r="A1394" t="inlineStr">
        <is>
          <t>compact fluorescent lamp production</t>
        </is>
      </c>
      <c r="B1394">
        <v>0.0003874582737243681</v>
      </c>
      <c r="C1394" t="inlineStr">
        <is>
          <t>GLO</t>
        </is>
      </c>
      <c r="D1394" t="inlineStr">
        <is>
          <t>unit</t>
        </is>
      </c>
      <c r="F1394" t="inlineStr">
        <is>
          <t>technosphere</t>
        </is>
      </c>
      <c r="G1394" t="inlineStr">
        <is>
          <t>compact fluorescent lamp</t>
        </is>
      </c>
    </row>
    <row r="1395">
      <c r="A1395" t="inlineStr">
        <is>
          <t>energy equipment production, industrial induction motor, 22 kW (SPS)</t>
        </is>
      </c>
      <c r="B1395">
        <v>1.2141840435831854e-07</v>
      </c>
      <c r="C1395" t="inlineStr">
        <is>
          <t>RER</t>
        </is>
      </c>
      <c r="D1395" t="inlineStr">
        <is>
          <t>unit</t>
        </is>
      </c>
      <c r="F1395" t="inlineStr">
        <is>
          <t>technosphere</t>
        </is>
      </c>
      <c r="G1395" t="inlineStr">
        <is>
          <t>energy equipment production, industrial induction motor, 22 kW (SPS)</t>
        </is>
      </c>
    </row>
    <row r="1396"/>
    <row r="1397" spans="1:12" ht="16" ns3:dyDescent="0.2">
      <c r="A1397" s="1" t="s">
        <v>0</v>
      </c>
      <c r="B1397" s="1" t="s">
        <v>293</v>
      </c>
      <c r="C1397" s="53"/>
      <c r="D1397" s="53"/>
      <c r="E1397" s="53"/>
      <c r="F1397" s="53"/>
      <c r="G1397" s="53"/>
      <c r="H1397" s="53"/>
    </row>
    <row r="1398" spans="1:12" ns3:dyDescent="0.2">
      <c r="A1398" s="53" t="s">
        <v>1</v>
      </c>
      <c r="B1398" s="53" t="s">
        <v>104</v>
      </c>
      <c r="C1398" s="53"/>
      <c r="D1398" s="53"/>
      <c r="E1398" s="53"/>
      <c r="F1398" s="53"/>
      <c r="G1398" s="53"/>
      <c r="H1398" s="53"/>
      <c r="I1398" s="53"/>
      <c r="J1398" s="53"/>
      <c r="K1398" s="53"/>
      <c r="L1398" s="53"/>
    </row>
    <row r="1399" spans="1:12" ns3:dyDescent="0.2">
      <c r="A1399" s="53" t="s">
        <v>2</v>
      </c>
      <c r="B1399" s="53">
        <v>1</v>
      </c>
      <c r="C1399" s="53"/>
      <c r="D1399" s="53"/>
      <c r="E1399" s="53"/>
      <c r="F1399" s="53"/>
      <c r="G1399" s="53"/>
      <c r="H1399" s="53"/>
      <c r="I1399" s="53"/>
      <c r="J1399" s="53"/>
      <c r="K1399" s="53"/>
      <c r="L1399" s="53"/>
    </row>
    <row r="1400" spans="1:12" ns3:dyDescent="0.2">
      <c r="A1400" s="53" t="s">
        <v>3</v>
      </c>
      <c r="B1400" s="53" t="s">
        <v>285</v>
      </c>
      <c r="C1400" s="53"/>
      <c r="D1400" s="53"/>
      <c r="E1400" s="53"/>
      <c r="F1400" s="53"/>
      <c r="G1400" s="53"/>
      <c r="H1400" s="53"/>
      <c r="I1400" s="53"/>
      <c r="J1400" s="53"/>
    </row>
    <row r="1401" spans="1:12" ns3:dyDescent="0.2">
      <c r="A1401" s="53" t="s">
        <v>4</v>
      </c>
      <c r="B1401" s="53" t="s">
        <v>5</v>
      </c>
      <c r="C1401" s="53"/>
      <c r="D1401" s="53"/>
      <c r="E1401" s="53"/>
      <c r="F1401" s="53"/>
      <c r="G1401" s="53"/>
      <c r="H1401" s="53"/>
      <c r="I1401" s="53"/>
      <c r="J1401" s="53"/>
      <c r="K1401" s="53"/>
      <c r="L1401" s="53"/>
    </row>
    <row r="1402" spans="1:12" ns3:dyDescent="0.2">
      <c r="A1402" s="53" t="s">
        <v>6</v>
      </c>
      <c r="B1402" s="53" t="s">
        <v>17</v>
      </c>
      <c r="C1402" s="53"/>
      <c r="D1402" s="53"/>
      <c r="E1402" s="53"/>
      <c r="F1402" s="53"/>
      <c r="G1402" s="53"/>
      <c r="H1402" s="53"/>
      <c r="I1402" s="53"/>
      <c r="J1402" s="53"/>
      <c r="K1402" s="53"/>
      <c r="L1402" s="53"/>
    </row>
    <row r="1403" spans="1:12" ht="16" ns3:dyDescent="0.2">
      <c r="A1403" s="1" t="s">
        <v>10</v>
      </c>
      <c r="B1403" s="53"/>
      <c r="C1403" s="53"/>
      <c r="D1403" s="53"/>
      <c r="E1403" s="53"/>
      <c r="F1403" s="53"/>
      <c r="G1403" s="53"/>
      <c r="H1403" s="53"/>
      <c r="I1403" s="53"/>
      <c r="J1403" s="53"/>
      <c r="K1403" s="53"/>
      <c r="L1403" s="53"/>
    </row>
    <row r="1404" spans="1:12" ns3:dyDescent="0.2">
      <c r="A1404" s="53" t="s">
        <v>11</v>
      </c>
      <c r="B1404" s="53" t="s">
        <v>12</v>
      </c>
      <c r="C1404" s="53" t="s">
        <v>1</v>
      </c>
      <c r="D1404" s="53" t="s">
        <v>6</v>
      </c>
      <c r="E1404" s="53" t="s">
        <v>13</v>
      </c>
      <c r="F1404" s="53" t="s">
        <v>4</v>
      </c>
      <c r="G1404" s="50" t="s">
        <v>9</v>
      </c>
      <c r="H1404" s="53" t="s">
        <v>3</v>
      </c>
      <c r="I1404" s="53"/>
      <c r="J1404" s="53"/>
      <c r="K1404" s="53"/>
    </row>
    <row r="1405" spans="1:12" ns3:dyDescent="0.2">
      <c r="A1405" s="53" t="str">
        <f>B1397</f>
        <v>light fuel oil, burned in industrial furnace 1MW</v>
      </c>
      <c r="B1405" s="53">
        <v>1</v>
      </c>
      <c r="C1405" s="53" t="str">
        <f>B1398</f>
        <v>CH</v>
      </c>
      <c r="D1405" s="53" t="str">
        <f>B1402</f>
        <v>megajoule</v>
      </c>
      <c r="E1405" s="53"/>
      <c r="F1405" s="53" t="s">
        <v>15</v>
      </c>
      <c r="H1405" s="53" t="str">
        <f>B1400</f>
        <v>heat</v>
      </c>
      <c r="I1405" s="53"/>
      <c r="J1405" s="53"/>
      <c r="K1405" s="53"/>
      <c r="L1405" s="53"/>
    </row>
    <row r="1406" spans="1:12" ns3:dyDescent="0.2">
      <c r="A1406" s="53" t="s">
        <v>294</v>
      </c>
      <c r="B1406">
        <f>1/(0.0274*40.1)</f>
        <v>0.91013342556018706</v>
      </c>
      <c r="C1406" t="s">
        <v>104</v>
      </c>
      <c r="D1406" t="s">
        <v>17</v>
      </c>
      <c r="F1406" t="s">
        <v>18</v>
      </c>
      <c r="H1406" t="s">
        <v>295</v>
      </c>
    </row>
    <row r="1408" spans="1:12" ht="16" ns3:dyDescent="0.2">
      <c r="A1408" s="1" t="s">
        <v>0</v>
      </c>
      <c r="B1408" s="1" t="s">
        <v>296</v>
      </c>
      <c r="C1408" s="53"/>
      <c r="D1408" s="53"/>
      <c r="E1408" s="53"/>
      <c r="F1408" s="53"/>
      <c r="H1408" s="53"/>
    </row>
    <row r="1409" spans="1:12" ns3:dyDescent="0.2">
      <c r="A1409" s="53" t="s">
        <v>1</v>
      </c>
      <c r="B1409" s="53" t="s">
        <v>104</v>
      </c>
      <c r="C1409" s="53"/>
      <c r="D1409" s="53"/>
      <c r="E1409" s="53"/>
      <c r="F1409" s="53"/>
      <c r="H1409" s="53"/>
      <c r="I1409" s="53"/>
      <c r="J1409" s="53"/>
      <c r="K1409" s="53"/>
      <c r="L1409" s="53"/>
    </row>
    <row r="1410" spans="1:12" ns3:dyDescent="0.2">
      <c r="A1410" s="53" t="s">
        <v>2</v>
      </c>
      <c r="B1410" s="53">
        <v>1</v>
      </c>
      <c r="C1410" s="53"/>
      <c r="D1410" s="53"/>
      <c r="E1410" s="53"/>
      <c r="F1410" s="53"/>
      <c r="H1410" s="53"/>
      <c r="I1410" s="53"/>
      <c r="J1410" s="53"/>
      <c r="K1410" s="53"/>
      <c r="L1410" s="53"/>
    </row>
    <row r="1411" spans="1:12" ns3:dyDescent="0.2">
      <c r="A1411" s="53" t="s">
        <v>3</v>
      </c>
      <c r="B1411" s="53" t="s">
        <v>285</v>
      </c>
      <c r="C1411" s="53"/>
      <c r="D1411" s="53"/>
      <c r="E1411" s="53"/>
      <c r="F1411" s="53"/>
      <c r="H1411" s="53"/>
      <c r="I1411" s="53"/>
      <c r="J1411" s="53"/>
    </row>
    <row r="1412" spans="1:12" ns3:dyDescent="0.2">
      <c r="A1412" s="53" t="s">
        <v>4</v>
      </c>
      <c r="B1412" s="53" t="s">
        <v>5</v>
      </c>
      <c r="C1412" s="53"/>
      <c r="D1412" s="53"/>
      <c r="E1412" s="53"/>
      <c r="F1412" s="53"/>
      <c r="H1412" s="53"/>
      <c r="I1412" s="53"/>
      <c r="J1412" s="53"/>
      <c r="K1412" s="53"/>
      <c r="L1412" s="53"/>
    </row>
    <row r="1413" spans="1:12" ns3:dyDescent="0.2">
      <c r="A1413" s="53" t="s">
        <v>6</v>
      </c>
      <c r="B1413" s="53" t="s">
        <v>17</v>
      </c>
      <c r="C1413" s="53"/>
      <c r="D1413" s="53"/>
      <c r="E1413" s="53"/>
      <c r="F1413" s="53"/>
      <c r="H1413" s="53"/>
      <c r="I1413" s="53"/>
      <c r="J1413" s="53"/>
      <c r="K1413" s="53"/>
      <c r="L1413" s="53"/>
    </row>
    <row r="1414" spans="1:12" ht="16" ns3:dyDescent="0.2">
      <c r="A1414" s="1" t="s">
        <v>10</v>
      </c>
      <c r="B1414" s="53"/>
      <c r="C1414" s="53"/>
      <c r="D1414" s="53"/>
      <c r="E1414" s="53"/>
      <c r="F1414" s="53"/>
      <c r="H1414" s="53"/>
      <c r="I1414" s="53"/>
      <c r="J1414" s="53"/>
      <c r="K1414" s="53"/>
      <c r="L1414" s="53"/>
    </row>
    <row r="1415" spans="1:12" ns3:dyDescent="0.2">
      <c r="A1415" s="53" t="s">
        <v>11</v>
      </c>
      <c r="B1415" s="53" t="s">
        <v>12</v>
      </c>
      <c r="C1415" s="53" t="s">
        <v>1</v>
      </c>
      <c r="D1415" s="53" t="s">
        <v>6</v>
      </c>
      <c r="E1415" s="53" t="s">
        <v>13</v>
      </c>
      <c r="F1415" s="53" t="s">
        <v>4</v>
      </c>
      <c r="G1415" s="50" t="s">
        <v>9</v>
      </c>
      <c r="H1415" s="53" t="s">
        <v>3</v>
      </c>
      <c r="I1415" s="53"/>
      <c r="J1415" s="53"/>
      <c r="K1415" s="53"/>
    </row>
    <row r="1416" spans="1:12" ns3:dyDescent="0.2">
      <c r="A1416" s="53" t="str">
        <f>B1408</f>
        <v>heavy fuel oil, burned in industrial furnace 1MW</v>
      </c>
      <c r="B1416" s="53">
        <v>1</v>
      </c>
      <c r="C1416" s="53" t="str">
        <f>B1409</f>
        <v>CH</v>
      </c>
      <c r="D1416" s="53" t="str">
        <f>B1413</f>
        <v>megajoule</v>
      </c>
      <c r="E1416" s="53"/>
      <c r="F1416" s="53" t="s">
        <v>15</v>
      </c>
      <c r="H1416" s="53" t="str">
        <f>B1411</f>
        <v>heat</v>
      </c>
      <c r="I1416" s="53"/>
      <c r="J1416" s="53"/>
      <c r="K1416" s="53"/>
      <c r="L1416" s="53"/>
    </row>
    <row r="1417" spans="1:12" ns3:dyDescent="0.2">
      <c r="A1417" s="53" t="s">
        <v>297</v>
      </c>
      <c r="B1417">
        <f>1/(0.0259*39)</f>
        <v>0.99000099000098996</v>
      </c>
      <c r="C1417" t="s">
        <v>104</v>
      </c>
      <c r="D1417" t="s">
        <v>17</v>
      </c>
      <c r="F1417" t="s">
        <v>18</v>
      </c>
      <c r="H1417" t="s">
        <v>295</v>
      </c>
    </row>
    <row r="1419">
      <c r="A1419" t="inlineStr">
        <is>
          <t>Activity</t>
        </is>
      </c>
      <c r="B1419" t="inlineStr">
        <is>
          <t>natural gas, burned in industrial furnace &gt;100kW</t>
        </is>
      </c>
    </row>
    <row r="1420">
      <c r="A1420" t="inlineStr">
        <is>
          <t>location</t>
        </is>
      </c>
      <c r="B1420" t="inlineStr">
        <is>
          <t>CH</t>
        </is>
      </c>
    </row>
    <row r="1421">
      <c r="A1421" t="inlineStr">
        <is>
          <t>production amount</t>
        </is>
      </c>
      <c r="B1421">
        <v>1</v>
      </c>
    </row>
    <row r="1422">
      <c r="A1422" t="inlineStr">
        <is>
          <t>reference product</t>
        </is>
      </c>
      <c r="B1422" t="inlineStr">
        <is>
          <t>heat</t>
        </is>
      </c>
    </row>
    <row r="1423">
      <c r="A1423" t="inlineStr">
        <is>
          <t>type</t>
        </is>
      </c>
      <c r="B1423" t="inlineStr">
        <is>
          <t>process</t>
        </is>
      </c>
    </row>
    <row r="1424">
      <c r="A1424" t="inlineStr">
        <is>
          <t>unit</t>
        </is>
      </c>
      <c r="B1424" t="inlineStr">
        <is>
          <t>megajoule</t>
        </is>
      </c>
    </row>
    <row r="1425">
      <c r="A1425" t="inlineStr">
        <is>
          <t>Swiss heat provider routing</t>
        </is>
      </c>
      <c r="B1425" t="inlineStr">
        <is>
          <t>[{"wrapper": "natural gas, burned in industrial furnace &gt;100kW", "wrapper_product": "heat", "supplier": "heat production, natural gas, at boiler condensing modulating &gt;100kW", "product": "heat, district or industrial, natural gas", "previous_location": "Europe without Switzerland", "location": "CH", "amount": 1.02880658436214, "unit": "megajoule"}]</t>
        </is>
      </c>
    </row>
    <row r="1426">
      <c r="A1426" t="inlineStr">
        <is>
          <t>Exchanges</t>
        </is>
      </c>
    </row>
    <row r="1427">
      <c r="A1427" t="inlineStr">
        <is>
          <t>name</t>
        </is>
      </c>
      <c r="B1427" t="inlineStr">
        <is>
          <t>amount</t>
        </is>
      </c>
      <c r="C1427" t="inlineStr">
        <is>
          <t>location</t>
        </is>
      </c>
      <c r="D1427" t="inlineStr">
        <is>
          <t>unit</t>
        </is>
      </c>
      <c r="E1427" t="inlineStr">
        <is>
          <t>categories</t>
        </is>
      </c>
      <c r="F1427" t="inlineStr">
        <is>
          <t>type</t>
        </is>
      </c>
      <c r="G1427" t="inlineStr">
        <is>
          <t>reference product</t>
        </is>
      </c>
      <c r="H1427" t="inlineStr">
        <is>
          <t>comment</t>
        </is>
      </c>
      <c r="I1427" t="inlineStr">
        <is>
          <t>uncertainty type</t>
        </is>
      </c>
    </row>
    <row r="1428">
      <c r="A1428" t="inlineStr">
        <is>
          <t>natural gas, burned in industrial furnace &gt;100kW</t>
        </is>
      </c>
      <c r="B1428">
        <v>1</v>
      </c>
      <c r="C1428" t="inlineStr">
        <is>
          <t>CH</t>
        </is>
      </c>
      <c r="D1428" t="inlineStr">
        <is>
          <t>megajoule</t>
        </is>
      </c>
      <c r="F1428" t="inlineStr">
        <is>
          <t>production</t>
        </is>
      </c>
      <c r="G1428" t="inlineStr">
        <is>
          <t>heat</t>
        </is>
      </c>
    </row>
    <row r="1429">
      <c r="A1429" t="inlineStr">
        <is>
          <t>heat production, natural gas, at boiler condensing modulating &gt;100kW</t>
        </is>
      </c>
      <c r="B1429">
        <v>1.02880658436214</v>
      </c>
      <c r="C1429" t="inlineStr">
        <is>
          <t>Europe without Switzerland</t>
        </is>
      </c>
      <c r="D1429" t="inlineStr">
        <is>
          <t>megajoule</t>
        </is>
      </c>
      <c r="F1429" t="inlineStr">
        <is>
          <t>technosphere</t>
        </is>
      </c>
      <c r="G1429" t="inlineStr">
        <is>
          <t>heat, district or industrial, natural gas</t>
        </is>
      </c>
    </row>
    <row r="1430"/>
    <row r="1431">
      <c r="A1431" t="inlineStr">
        <is>
          <t>Activity</t>
        </is>
      </c>
      <c r="B1431" t="inlineStr">
        <is>
          <t>hard coal, burned in hard coal industrial furnace 1-10MW</t>
        </is>
      </c>
    </row>
    <row r="1432">
      <c r="A1432" t="inlineStr">
        <is>
          <t>location</t>
        </is>
      </c>
      <c r="B1432" t="inlineStr">
        <is>
          <t>CH</t>
        </is>
      </c>
    </row>
    <row r="1433">
      <c r="A1433" t="inlineStr">
        <is>
          <t>production amount</t>
        </is>
      </c>
      <c r="B1433">
        <v>1</v>
      </c>
    </row>
    <row r="1434">
      <c r="A1434" t="inlineStr">
        <is>
          <t>reference product</t>
        </is>
      </c>
      <c r="B1434" t="inlineStr">
        <is>
          <t>heat</t>
        </is>
      </c>
    </row>
    <row r="1435">
      <c r="A1435" t="inlineStr">
        <is>
          <t>type</t>
        </is>
      </c>
      <c r="B1435" t="inlineStr">
        <is>
          <t>process</t>
        </is>
      </c>
    </row>
    <row r="1436">
      <c r="A1436" t="inlineStr">
        <is>
          <t>unit</t>
        </is>
      </c>
      <c r="B1436" t="inlineStr">
        <is>
          <t>megajoule</t>
        </is>
      </c>
    </row>
    <row r="1437">
      <c r="A1437" t="inlineStr">
        <is>
          <t>Swiss heat provider routing</t>
        </is>
      </c>
      <c r="B1437" t="inlineStr">
        <is>
          <t>[{"wrapper": "hard coal, burned in hard coal industrial furnace 1-10MW", "wrapper_product": "heat", "supplier": "heat production, at hard coal industrial furnace 1-10MW", "product": "heat, district or industrial, other than natural gas", "previous_location": "Europe without Switzerland", "location": "CH", "amount": 0.8, "unit": "megajoule"}]</t>
        </is>
      </c>
    </row>
    <row r="1438">
      <c r="A1438" t="inlineStr">
        <is>
          <t>Exchanges</t>
        </is>
      </c>
    </row>
    <row r="1439">
      <c r="A1439" t="inlineStr">
        <is>
          <t>name</t>
        </is>
      </c>
      <c r="B1439" t="inlineStr">
        <is>
          <t>amount</t>
        </is>
      </c>
      <c r="C1439" t="inlineStr">
        <is>
          <t>location</t>
        </is>
      </c>
      <c r="D1439" t="inlineStr">
        <is>
          <t>unit</t>
        </is>
      </c>
      <c r="E1439" t="inlineStr">
        <is>
          <t>categories</t>
        </is>
      </c>
      <c r="F1439" t="inlineStr">
        <is>
          <t>type</t>
        </is>
      </c>
      <c r="G1439" t="inlineStr">
        <is>
          <t>reference product</t>
        </is>
      </c>
      <c r="H1439" t="inlineStr">
        <is>
          <t>comment</t>
        </is>
      </c>
      <c r="I1439" t="inlineStr">
        <is>
          <t>uncertainty type</t>
        </is>
      </c>
    </row>
    <row r="1440">
      <c r="A1440" t="inlineStr">
        <is>
          <t>hard coal, burned in hard coal industrial furnace 1-10MW</t>
        </is>
      </c>
      <c r="B1440">
        <v>1</v>
      </c>
      <c r="C1440" t="inlineStr">
        <is>
          <t>CH</t>
        </is>
      </c>
      <c r="D1440" t="inlineStr">
        <is>
          <t>megajoule</t>
        </is>
      </c>
      <c r="F1440" t="inlineStr">
        <is>
          <t>production</t>
        </is>
      </c>
      <c r="G1440" t="inlineStr">
        <is>
          <t>heat</t>
        </is>
      </c>
    </row>
    <row r="1441">
      <c r="A1441" t="inlineStr">
        <is>
          <t>heat production, at hard coal industrial furnace 1-10MW</t>
        </is>
      </c>
      <c r="B1441">
        <v>0.8</v>
      </c>
      <c r="C1441" t="inlineStr">
        <is>
          <t>Europe without Switzerland</t>
        </is>
      </c>
      <c r="D1441" t="inlineStr">
        <is>
          <t>megajoule</t>
        </is>
      </c>
      <c r="F1441" t="inlineStr">
        <is>
          <t>technosphere</t>
        </is>
      </c>
      <c r="G1441" t="inlineStr">
        <is>
          <t>heat, district or industrial, other than natural gas</t>
        </is>
      </c>
    </row>
    <row r="1442"/>
    <row r="1443">
      <c r="A1443" t="inlineStr">
        <is>
          <t>Activity</t>
        </is>
      </c>
      <c r="B1443" t="inlineStr">
        <is>
          <t>heat, from on-site industrial oil-fired CHP</t>
        </is>
      </c>
    </row>
    <row r="1444">
      <c r="A1444" t="inlineStr">
        <is>
          <t>location</t>
        </is>
      </c>
      <c r="B1444" t="inlineStr">
        <is>
          <t>CH</t>
        </is>
      </c>
    </row>
    <row r="1445">
      <c r="A1445" t="inlineStr">
        <is>
          <t>production amount</t>
        </is>
      </c>
      <c r="B1445">
        <v>1</v>
      </c>
    </row>
    <row r="1446">
      <c r="A1446" t="inlineStr">
        <is>
          <t>reference product</t>
        </is>
      </c>
      <c r="B1446" t="inlineStr">
        <is>
          <t>heat</t>
        </is>
      </c>
    </row>
    <row r="1447">
      <c r="A1447" t="inlineStr">
        <is>
          <t>type</t>
        </is>
      </c>
      <c r="B1447" t="inlineStr">
        <is>
          <t>process</t>
        </is>
      </c>
    </row>
    <row r="1448">
      <c r="A1448" t="inlineStr">
        <is>
          <t>unit</t>
        </is>
      </c>
      <c r="B1448" t="inlineStr">
        <is>
          <t>megajoule</t>
        </is>
      </c>
    </row>
    <row r="1449">
      <c r="A1449" t="inlineStr">
        <is>
          <t>Swiss heat provider routing</t>
        </is>
      </c>
      <c r="B1449" t="inlineStr">
        <is>
          <t>[{"wrapper": "heat, from on-site industrial oil-fired CHP", "wrapper_product": "heat", "supplier": "heat and power co-generation, oil", "product": "heat, district or industrial, other than natural gas", "previous_location": "DE", "location": "CH", "amount": 0.7005744710662744, "unit": "megajoule"}]</t>
        </is>
      </c>
    </row>
    <row r="1450">
      <c r="A1450" t="inlineStr">
        <is>
          <t>Exchanges</t>
        </is>
      </c>
    </row>
    <row r="1451">
      <c r="A1451" t="inlineStr">
        <is>
          <t>name</t>
        </is>
      </c>
      <c r="B1451" t="inlineStr">
        <is>
          <t>amount</t>
        </is>
      </c>
      <c r="C1451" t="inlineStr">
        <is>
          <t>location</t>
        </is>
      </c>
      <c r="D1451" t="inlineStr">
        <is>
          <t>unit</t>
        </is>
      </c>
      <c r="E1451" t="inlineStr">
        <is>
          <t>categories</t>
        </is>
      </c>
      <c r="F1451" t="inlineStr">
        <is>
          <t>type</t>
        </is>
      </c>
      <c r="G1451" t="inlineStr">
        <is>
          <t>reference product</t>
        </is>
      </c>
      <c r="H1451" t="inlineStr">
        <is>
          <t>comment</t>
        </is>
      </c>
      <c r="I1451" t="inlineStr">
        <is>
          <t>uncertainty type</t>
        </is>
      </c>
    </row>
    <row r="1452">
      <c r="A1452" t="inlineStr">
        <is>
          <t>heat, from on-site industrial oil-fired CHP</t>
        </is>
      </c>
      <c r="B1452">
        <v>1</v>
      </c>
      <c r="C1452" t="inlineStr">
        <is>
          <t>CH</t>
        </is>
      </c>
      <c r="D1452" t="inlineStr">
        <is>
          <t>megajoule</t>
        </is>
      </c>
      <c r="F1452" t="inlineStr">
        <is>
          <t>production</t>
        </is>
      </c>
      <c r="G1452" t="inlineStr">
        <is>
          <t>heat</t>
        </is>
      </c>
    </row>
    <row r="1453">
      <c r="A1453" t="inlineStr">
        <is>
          <t>heat and power co-generation, oil</t>
        </is>
      </c>
      <c r="B1453">
        <v>0.7005744710662744</v>
      </c>
      <c r="C1453" t="inlineStr">
        <is>
          <t>DE</t>
        </is>
      </c>
      <c r="D1453" t="inlineStr">
        <is>
          <t>megajoule</t>
        </is>
      </c>
      <c r="F1453" t="inlineStr">
        <is>
          <t>technosphere</t>
        </is>
      </c>
      <c r="G1453" t="inlineStr">
        <is>
          <t>heat, district or industrial, other than natural gas</t>
        </is>
      </c>
    </row>
    <row r="1454"/>
    <row r="1455" spans="1:12" ht="16" ns3:dyDescent="0.2">
      <c r="A1455" s="1" t="s">
        <v>0</v>
      </c>
      <c r="B1455" s="1" t="s">
        <v>337</v>
      </c>
      <c r="C1455" s="53"/>
      <c r="D1455" s="53"/>
      <c r="E1455" s="53"/>
      <c r="F1455" s="53"/>
      <c r="H1455" s="53"/>
    </row>
    <row r="1456" spans="1:12" ns3:dyDescent="0.2">
      <c r="A1456" s="53" t="s">
        <v>1</v>
      </c>
      <c r="B1456" s="53" t="s">
        <v>104</v>
      </c>
      <c r="C1456" s="53"/>
      <c r="D1456" s="53"/>
      <c r="E1456" s="53"/>
      <c r="F1456" s="53"/>
      <c r="H1456" s="53"/>
      <c r="I1456" s="53"/>
      <c r="J1456" s="53"/>
      <c r="K1456" s="53"/>
      <c r="L1456" s="53"/>
    </row>
    <row r="1457" spans="1:12" ns3:dyDescent="0.2">
      <c r="A1457" s="53" t="s">
        <v>2</v>
      </c>
      <c r="B1457" s="53">
        <v>1</v>
      </c>
      <c r="C1457" s="53"/>
      <c r="D1457" s="53"/>
      <c r="E1457" s="53"/>
      <c r="F1457" s="53"/>
      <c r="H1457" s="53"/>
      <c r="I1457" s="53"/>
      <c r="J1457" s="53"/>
      <c r="K1457" s="53"/>
      <c r="L1457" s="53"/>
    </row>
    <row r="1458" spans="1:12" ns3:dyDescent="0.2">
      <c r="A1458" s="53" t="s">
        <v>3</v>
      </c>
      <c r="B1458" s="53" t="s">
        <v>285</v>
      </c>
      <c r="C1458" s="53"/>
      <c r="D1458" s="53"/>
      <c r="E1458" s="53"/>
      <c r="F1458" s="53"/>
      <c r="H1458" s="53"/>
      <c r="I1458" s="53"/>
      <c r="J1458" s="53"/>
    </row>
    <row r="1459" spans="1:12" ns3:dyDescent="0.2">
      <c r="A1459" s="53" t="s">
        <v>4</v>
      </c>
      <c r="B1459" s="53" t="s">
        <v>5</v>
      </c>
      <c r="C1459" s="53"/>
      <c r="D1459" s="53"/>
      <c r="E1459" s="53"/>
      <c r="F1459" s="53"/>
      <c r="H1459" s="53"/>
      <c r="I1459" s="53"/>
      <c r="J1459" s="53"/>
      <c r="K1459" s="53"/>
      <c r="L1459" s="53"/>
    </row>
    <row r="1460" spans="1:12" ns3:dyDescent="0.2">
      <c r="A1460" s="53" t="s">
        <v>6</v>
      </c>
      <c r="B1460" s="53" t="s">
        <v>17</v>
      </c>
      <c r="C1460" s="53"/>
      <c r="D1460" s="53"/>
      <c r="E1460" s="53"/>
      <c r="F1460" s="53"/>
      <c r="H1460" s="53"/>
      <c r="I1460" s="53"/>
      <c r="J1460" s="53"/>
      <c r="K1460" s="53"/>
      <c r="L1460" s="53"/>
    </row>
    <row r="1461" spans="1:12" ht="16" ns3:dyDescent="0.2">
      <c r="A1461" s="1" t="s">
        <v>10</v>
      </c>
      <c r="B1461" s="53"/>
      <c r="C1461" s="53"/>
      <c r="D1461" s="53"/>
      <c r="E1461" s="53"/>
      <c r="F1461" s="53"/>
      <c r="H1461" s="53"/>
      <c r="I1461" s="53"/>
      <c r="J1461" s="53"/>
      <c r="K1461" s="53"/>
      <c r="L1461" s="53"/>
    </row>
    <row r="1462" spans="1:12" ns3:dyDescent="0.2">
      <c r="A1462" s="53" t="s">
        <v>11</v>
      </c>
      <c r="B1462" s="53" t="s">
        <v>12</v>
      </c>
      <c r="C1462" s="53" t="s">
        <v>1</v>
      </c>
      <c r="D1462" s="53" t="s">
        <v>6</v>
      </c>
      <c r="E1462" s="53" t="s">
        <v>13</v>
      </c>
      <c r="F1462" s="53" t="s">
        <v>4</v>
      </c>
      <c r="G1462" s="50" t="s">
        <v>9</v>
      </c>
      <c r="H1462" s="53" t="s">
        <v>3</v>
      </c>
      <c r="I1462" s="53"/>
      <c r="J1462" s="53"/>
      <c r="K1462" s="53"/>
    </row>
    <row r="1463" spans="1:12" ns3:dyDescent="0.2">
      <c r="A1463" s="53" t="str">
        <f>B1455</f>
        <v>heat, from on-site industrial biogas-fired CHP</v>
      </c>
      <c r="B1463" s="53">
        <v>1</v>
      </c>
      <c r="C1463" s="53" t="str">
        <f>B1456</f>
        <v>CH</v>
      </c>
      <c r="D1463" s="53" t="str">
        <f>B1460</f>
        <v>megajoule</v>
      </c>
      <c r="E1463" s="53"/>
      <c r="F1463" s="53" t="s">
        <v>15</v>
      </c>
      <c r="H1463" s="53" t="str">
        <f>B1458</f>
        <v>heat</v>
      </c>
      <c r="I1463" s="53"/>
      <c r="J1463" s="53"/>
      <c r="K1463" s="53"/>
      <c r="L1463" s="53"/>
    </row>
    <row r="1464" spans="1:12" ns3:dyDescent="0.2">
      <c r="A1464" s="53" t="s">
        <v>338</v>
      </c>
      <c r="B1464">
        <f>1/(0.016231*22.73)</f>
        <v>2.7105366664730441</v>
      </c>
      <c r="C1464" t="s">
        <v>104</v>
      </c>
      <c r="D1464" t="s">
        <v>17</v>
      </c>
      <c r="F1464" t="s">
        <v>18</v>
      </c>
      <c r="H1464" t="s">
        <v>318</v>
      </c>
    </row>
    <row r="1465" spans="1:12" ns3:dyDescent="0.2">
      <c r="B1465"/>
    </row>
    <row r="1466" spans="1:12" ht="16" ns3:dyDescent="0.2">
      <c r="A1466" s="1" t="s">
        <v>0</v>
      </c>
      <c r="B1466" s="1" t="s">
        <v>304</v>
      </c>
      <c r="C1466" s="53"/>
      <c r="D1466" s="53"/>
      <c r="E1466" s="53"/>
      <c r="F1466" s="53"/>
      <c r="H1466" s="53"/>
    </row>
    <row r="1467" spans="1:12" ns3:dyDescent="0.2">
      <c r="A1467" s="53" t="s">
        <v>1</v>
      </c>
      <c r="B1467" s="53" t="s">
        <v>104</v>
      </c>
      <c r="C1467" s="53"/>
      <c r="D1467" s="53"/>
      <c r="E1467" s="53"/>
      <c r="F1467" s="53"/>
      <c r="H1467" s="53"/>
      <c r="I1467" s="53"/>
      <c r="J1467" s="53"/>
      <c r="K1467" s="53"/>
      <c r="L1467" s="53"/>
    </row>
    <row r="1468" spans="1:12" ns3:dyDescent="0.2">
      <c r="A1468" s="53" t="s">
        <v>2</v>
      </c>
      <c r="B1468" s="53">
        <v>1</v>
      </c>
      <c r="C1468" s="53"/>
      <c r="D1468" s="53"/>
      <c r="E1468" s="53"/>
      <c r="F1468" s="53"/>
      <c r="H1468" s="53"/>
      <c r="I1468" s="53"/>
      <c r="J1468" s="53"/>
      <c r="K1468" s="53"/>
      <c r="L1468" s="53"/>
    </row>
    <row r="1469" spans="1:12" ns3:dyDescent="0.2">
      <c r="A1469" s="53" t="s">
        <v>3</v>
      </c>
      <c r="B1469" s="53" t="s">
        <v>285</v>
      </c>
      <c r="C1469" s="53"/>
      <c r="D1469" s="53"/>
      <c r="E1469" s="53"/>
      <c r="F1469" s="53"/>
      <c r="H1469" s="53"/>
      <c r="I1469" s="53"/>
      <c r="J1469" s="53"/>
    </row>
    <row r="1470" spans="1:12" ns3:dyDescent="0.2">
      <c r="A1470" s="53" t="s">
        <v>4</v>
      </c>
      <c r="B1470" s="53" t="s">
        <v>5</v>
      </c>
      <c r="C1470" s="53"/>
      <c r="D1470" s="53"/>
      <c r="E1470" s="53"/>
      <c r="F1470" s="53"/>
      <c r="H1470" s="53"/>
      <c r="I1470" s="53"/>
      <c r="J1470" s="53"/>
      <c r="K1470" s="53"/>
      <c r="L1470" s="53"/>
    </row>
    <row r="1471" spans="1:12" ns3:dyDescent="0.2">
      <c r="A1471" s="53" t="s">
        <v>6</v>
      </c>
      <c r="B1471" s="53" t="s">
        <v>17</v>
      </c>
      <c r="C1471" s="53"/>
      <c r="D1471" s="53"/>
      <c r="E1471" s="53"/>
      <c r="F1471" s="53"/>
      <c r="H1471" s="53"/>
      <c r="I1471" s="53"/>
      <c r="J1471" s="53"/>
      <c r="K1471" s="53"/>
      <c r="L1471" s="53"/>
    </row>
    <row r="1472" spans="1:12" ht="16" ns3:dyDescent="0.2">
      <c r="A1472" s="1" t="s">
        <v>10</v>
      </c>
      <c r="B1472" s="53"/>
      <c r="C1472" s="53"/>
      <c r="D1472" s="53"/>
      <c r="E1472" s="53"/>
      <c r="F1472" s="53"/>
      <c r="H1472" s="53"/>
      <c r="I1472" s="53"/>
      <c r="J1472" s="53"/>
      <c r="K1472" s="53"/>
      <c r="L1472" s="53"/>
    </row>
    <row r="1473" spans="1:12" ns3:dyDescent="0.2">
      <c r="A1473" s="53" t="s">
        <v>11</v>
      </c>
      <c r="B1473" s="53" t="s">
        <v>12</v>
      </c>
      <c r="C1473" s="53" t="s">
        <v>1</v>
      </c>
      <c r="D1473" s="53" t="s">
        <v>6</v>
      </c>
      <c r="E1473" s="53" t="s">
        <v>13</v>
      </c>
      <c r="F1473" s="53" t="s">
        <v>4</v>
      </c>
      <c r="G1473" s="50" t="s">
        <v>9</v>
      </c>
      <c r="H1473" s="53" t="s">
        <v>3</v>
      </c>
      <c r="I1473" s="53"/>
      <c r="J1473" s="53"/>
      <c r="K1473" s="53"/>
    </row>
    <row r="1474" spans="1:12" ns3:dyDescent="0.2">
      <c r="A1474" s="53" t="str">
        <f>B1466</f>
        <v>heat, from on-site industrial gas-fired CHP</v>
      </c>
      <c r="B1474" s="53">
        <v>1</v>
      </c>
      <c r="C1474" s="53" t="str">
        <f>B1467</f>
        <v>CH</v>
      </c>
      <c r="D1474" s="53" t="str">
        <f>B1471</f>
        <v>megajoule</v>
      </c>
      <c r="E1474" s="53"/>
      <c r="F1474" s="53" t="s">
        <v>15</v>
      </c>
      <c r="H1474" s="53" t="str">
        <f>B1469</f>
        <v>heat</v>
      </c>
      <c r="I1474" s="53"/>
      <c r="J1474" s="53"/>
      <c r="K1474" s="53"/>
      <c r="L1474" s="53"/>
    </row>
    <row r="1475" spans="1:12" ns3:dyDescent="0.2">
      <c r="A1475" s="53" t="s">
        <v>305</v>
      </c>
      <c r="B1475">
        <f>1/(0.0095*36)</f>
        <v>2.9239766081871346</v>
      </c>
      <c r="C1475" t="s">
        <v>104</v>
      </c>
      <c r="D1475" t="s">
        <v>17</v>
      </c>
      <c r="F1475" t="s">
        <v>18</v>
      </c>
      <c r="H1475" t="s">
        <v>187</v>
      </c>
    </row>
    <row r="1476" spans="1:12" ns3:dyDescent="0.2">
      <c r="B1476"/>
    </row>
    <row r="1477" spans="1:12" ht="16" ns3:dyDescent="0.2">
      <c r="A1477" s="1" t="s">
        <v>0</v>
      </c>
      <c r="B1477" s="1" t="s">
        <v>306</v>
      </c>
      <c r="C1477" s="53"/>
      <c r="D1477" s="53"/>
      <c r="E1477" s="53"/>
      <c r="F1477" s="53"/>
      <c r="H1477" s="53"/>
    </row>
    <row r="1478" spans="1:12" ns3:dyDescent="0.2">
      <c r="A1478" s="53" t="s">
        <v>1</v>
      </c>
      <c r="B1478" s="53" t="s">
        <v>104</v>
      </c>
      <c r="C1478" s="53"/>
      <c r="D1478" s="53"/>
      <c r="E1478" s="53"/>
      <c r="F1478" s="53"/>
      <c r="H1478" s="53"/>
      <c r="I1478" s="53"/>
      <c r="J1478" s="53"/>
      <c r="K1478" s="53"/>
      <c r="L1478" s="53"/>
    </row>
    <row r="1479" spans="1:12" ns3:dyDescent="0.2">
      <c r="A1479" s="53" t="s">
        <v>2</v>
      </c>
      <c r="B1479" s="53">
        <v>1</v>
      </c>
      <c r="C1479" s="53"/>
      <c r="D1479" s="53"/>
      <c r="E1479" s="53"/>
      <c r="F1479" s="53"/>
      <c r="H1479" s="53"/>
      <c r="I1479" s="53"/>
      <c r="J1479" s="53"/>
      <c r="K1479" s="53"/>
      <c r="L1479" s="53"/>
    </row>
    <row r="1480" spans="1:12" ns3:dyDescent="0.2">
      <c r="A1480" s="53" t="s">
        <v>3</v>
      </c>
      <c r="B1480" s="53" t="s">
        <v>285</v>
      </c>
      <c r="C1480" s="53"/>
      <c r="D1480" s="53"/>
      <c r="E1480" s="53"/>
      <c r="F1480" s="53"/>
      <c r="H1480" s="53"/>
      <c r="I1480" s="53"/>
      <c r="J1480" s="53"/>
    </row>
    <row r="1481" spans="1:12" ns3:dyDescent="0.2">
      <c r="A1481" s="53" t="s">
        <v>4</v>
      </c>
      <c r="B1481" s="53" t="s">
        <v>5</v>
      </c>
      <c r="C1481" s="53"/>
      <c r="D1481" s="53"/>
      <c r="E1481" s="53"/>
      <c r="F1481" s="53"/>
      <c r="H1481" s="53"/>
      <c r="I1481" s="53"/>
      <c r="J1481" s="53"/>
      <c r="K1481" s="53"/>
      <c r="L1481" s="53"/>
    </row>
    <row r="1482" spans="1:12" ns3:dyDescent="0.2">
      <c r="A1482" s="53" t="s">
        <v>6</v>
      </c>
      <c r="B1482" s="53" t="s">
        <v>17</v>
      </c>
      <c r="C1482" s="53"/>
      <c r="D1482" s="53"/>
      <c r="E1482" s="53"/>
      <c r="F1482" s="53"/>
      <c r="H1482" s="53"/>
      <c r="I1482" s="53"/>
      <c r="J1482" s="53"/>
      <c r="K1482" s="53"/>
      <c r="L1482" s="53"/>
    </row>
    <row r="1483" spans="1:12" ht="16" ns3:dyDescent="0.2">
      <c r="A1483" s="1" t="s">
        <v>10</v>
      </c>
      <c r="B1483" s="53"/>
      <c r="C1483" s="53"/>
      <c r="D1483" s="53"/>
      <c r="E1483" s="53"/>
      <c r="F1483" s="53"/>
      <c r="H1483" s="53"/>
      <c r="I1483" s="53"/>
      <c r="J1483" s="53"/>
      <c r="K1483" s="53"/>
      <c r="L1483" s="53"/>
    </row>
    <row r="1484" spans="1:12" ns3:dyDescent="0.2">
      <c r="A1484" s="53" t="s">
        <v>11</v>
      </c>
      <c r="B1484" s="53" t="s">
        <v>12</v>
      </c>
      <c r="C1484" s="53" t="s">
        <v>1</v>
      </c>
      <c r="D1484" s="53" t="s">
        <v>6</v>
      </c>
      <c r="E1484" s="53" t="s">
        <v>13</v>
      </c>
      <c r="F1484" s="53" t="s">
        <v>4</v>
      </c>
      <c r="G1484" s="50" t="s">
        <v>9</v>
      </c>
      <c r="H1484" s="53" t="s">
        <v>3</v>
      </c>
      <c r="I1484" s="53"/>
      <c r="J1484" s="53"/>
      <c r="K1484" s="53"/>
    </row>
    <row r="1485" spans="1:12" ns3:dyDescent="0.2">
      <c r="A1485" s="53" t="str">
        <f>B1477</f>
        <v>heat, from on-site industrial gas-fired CHP with CCS</v>
      </c>
      <c r="B1485" s="53">
        <v>1</v>
      </c>
      <c r="C1485" s="53" t="str">
        <f>B1478</f>
        <v>CH</v>
      </c>
      <c r="D1485" s="53" t="str">
        <f>B1482</f>
        <v>megajoule</v>
      </c>
      <c r="E1485" s="53"/>
      <c r="F1485" s="53" t="s">
        <v>15</v>
      </c>
      <c r="H1485" s="53" t="str">
        <f>B1480</f>
        <v>heat</v>
      </c>
      <c r="I1485" s="53"/>
      <c r="J1485" s="53"/>
      <c r="K1485" s="53"/>
      <c r="L1485" s="53"/>
    </row>
    <row r="1486" spans="1:12" ns3:dyDescent="0.2">
      <c r="A1486" s="53" t="s">
        <v>307</v>
      </c>
      <c r="B1486">
        <f>1/(0.011726*1.08*36)</f>
        <v>2.1934303777122204</v>
      </c>
      <c r="C1486" t="s">
        <v>103</v>
      </c>
      <c r="D1486" t="s">
        <v>17</v>
      </c>
      <c r="F1486" t="s">
        <v>18</v>
      </c>
      <c r="H1486" t="s">
        <v>187</v>
      </c>
    </row>
    <row r="1487" spans="1:12" ns3:dyDescent="0.2">
      <c r="B1487"/>
    </row>
    <row r="1488" spans="1:12" ht="16" ns3:dyDescent="0.2">
      <c r="A1488" s="1" t="s">
        <v>0</v>
      </c>
      <c r="B1488" s="1" t="s">
        <v>308</v>
      </c>
      <c r="C1488" s="53"/>
      <c r="D1488" s="53"/>
      <c r="E1488" s="53"/>
      <c r="F1488" s="53"/>
      <c r="H1488" s="53"/>
    </row>
    <row r="1489" spans="1:12" ns3:dyDescent="0.2">
      <c r="A1489" s="53" t="s">
        <v>1</v>
      </c>
      <c r="B1489" s="53" t="s">
        <v>104</v>
      </c>
      <c r="C1489" s="53"/>
      <c r="D1489" s="53"/>
      <c r="E1489" s="53"/>
      <c r="F1489" s="53"/>
      <c r="H1489" s="53"/>
      <c r="I1489" s="53"/>
      <c r="J1489" s="53"/>
      <c r="K1489" s="53"/>
      <c r="L1489" s="53"/>
    </row>
    <row r="1490" spans="1:12" ns3:dyDescent="0.2">
      <c r="A1490" s="53" t="s">
        <v>2</v>
      </c>
      <c r="B1490" s="53">
        <v>1</v>
      </c>
      <c r="C1490" s="53"/>
      <c r="D1490" s="53"/>
      <c r="E1490" s="53"/>
      <c r="F1490" s="53"/>
      <c r="H1490" s="53"/>
      <c r="I1490" s="53"/>
      <c r="J1490" s="53"/>
      <c r="K1490" s="53"/>
      <c r="L1490" s="53"/>
    </row>
    <row r="1491" spans="1:12" ns3:dyDescent="0.2">
      <c r="A1491" s="53" t="s">
        <v>3</v>
      </c>
      <c r="B1491" s="53" t="s">
        <v>285</v>
      </c>
      <c r="C1491" s="53"/>
      <c r="D1491" s="53"/>
      <c r="E1491" s="53"/>
      <c r="F1491" s="53"/>
      <c r="H1491" s="53"/>
      <c r="I1491" s="53"/>
      <c r="J1491" s="53"/>
    </row>
    <row r="1492" spans="1:12" ns3:dyDescent="0.2">
      <c r="A1492" s="53" t="s">
        <v>4</v>
      </c>
      <c r="B1492" s="53" t="s">
        <v>5</v>
      </c>
      <c r="C1492" s="53"/>
      <c r="D1492" s="53"/>
      <c r="E1492" s="53"/>
      <c r="F1492" s="53"/>
      <c r="H1492" s="53"/>
      <c r="I1492" s="53"/>
      <c r="J1492" s="53"/>
      <c r="K1492" s="53"/>
      <c r="L1492" s="53"/>
    </row>
    <row r="1493" spans="1:12" ns3:dyDescent="0.2">
      <c r="A1493" s="53" t="s">
        <v>6</v>
      </c>
      <c r="B1493" s="53" t="s">
        <v>17</v>
      </c>
      <c r="C1493" s="53"/>
      <c r="D1493" s="53"/>
      <c r="E1493" s="53"/>
      <c r="F1493" s="53"/>
      <c r="H1493" s="53"/>
      <c r="I1493" s="53"/>
      <c r="J1493" s="53"/>
      <c r="K1493" s="53"/>
      <c r="L1493" s="53"/>
    </row>
    <row r="1494" spans="1:12" ht="16" ns3:dyDescent="0.2">
      <c r="A1494" s="1" t="s">
        <v>10</v>
      </c>
      <c r="B1494" s="53"/>
      <c r="C1494" s="53"/>
      <c r="D1494" s="53"/>
      <c r="E1494" s="53"/>
      <c r="F1494" s="53"/>
      <c r="H1494" s="53"/>
      <c r="I1494" s="53"/>
      <c r="J1494" s="53"/>
      <c r="K1494" s="53"/>
      <c r="L1494" s="53"/>
    </row>
    <row r="1495" spans="1:12" ns3:dyDescent="0.2">
      <c r="A1495" s="53" t="s">
        <v>11</v>
      </c>
      <c r="B1495" s="53" t="s">
        <v>12</v>
      </c>
      <c r="C1495" s="53" t="s">
        <v>1</v>
      </c>
      <c r="D1495" s="53" t="s">
        <v>6</v>
      </c>
      <c r="E1495" s="53" t="s">
        <v>13</v>
      </c>
      <c r="F1495" s="53" t="s">
        <v>4</v>
      </c>
      <c r="G1495" s="50" t="s">
        <v>9</v>
      </c>
      <c r="H1495" s="53" t="s">
        <v>3</v>
      </c>
      <c r="I1495" s="53"/>
      <c r="J1495" s="53"/>
      <c r="K1495" s="53"/>
    </row>
    <row r="1496" spans="1:12" ns3:dyDescent="0.2">
      <c r="A1496" s="53" t="str">
        <f>B1488</f>
        <v>heat, from on-site industrial fuel cell CHP</v>
      </c>
      <c r="B1496" s="53">
        <v>1</v>
      </c>
      <c r="C1496" s="53" t="str">
        <f>B1489</f>
        <v>CH</v>
      </c>
      <c r="D1496" s="53" t="str">
        <f>B1493</f>
        <v>megajoule</v>
      </c>
      <c r="E1496" s="53"/>
      <c r="F1496" s="53" t="s">
        <v>15</v>
      </c>
      <c r="H1496" s="53" t="str">
        <f>B1491</f>
        <v>heat</v>
      </c>
      <c r="I1496" s="53"/>
      <c r="J1496" s="53"/>
      <c r="K1496" s="53"/>
      <c r="L1496" s="53"/>
    </row>
    <row r="1497" spans="1:12" ns3:dyDescent="0.2">
      <c r="A1497" s="53" t="s">
        <v>305</v>
      </c>
      <c r="B1497">
        <f>1/(0.0095*36)</f>
        <v>2.9239766081871346</v>
      </c>
      <c r="C1497" t="s">
        <v>104</v>
      </c>
      <c r="D1497" t="s">
        <v>17</v>
      </c>
      <c r="F1497" t="s">
        <v>18</v>
      </c>
      <c r="H1497" t="s">
        <v>187</v>
      </c>
    </row>
    <row r="1498" spans="1:12" ns3:dyDescent="0.2">
      <c r="B1498"/>
    </row>
    <row r="1499" spans="1:12" ht="16" ns3:dyDescent="0.2">
      <c r="A1499" s="1" t="s">
        <v>0</v>
      </c>
      <c r="B1499" s="1" t="s">
        <v>309</v>
      </c>
      <c r="C1499" s="53"/>
      <c r="D1499" s="53"/>
      <c r="E1499" s="53"/>
      <c r="F1499" s="53"/>
      <c r="H1499" s="53"/>
    </row>
    <row r="1500" spans="1:12" ns3:dyDescent="0.2">
      <c r="A1500" s="53" t="s">
        <v>1</v>
      </c>
      <c r="B1500" s="53" t="s">
        <v>104</v>
      </c>
      <c r="C1500" s="53"/>
      <c r="D1500" s="53"/>
      <c r="E1500" s="53"/>
      <c r="F1500" s="53"/>
      <c r="H1500" s="53"/>
      <c r="I1500" s="53"/>
      <c r="J1500" s="53"/>
      <c r="K1500" s="53"/>
      <c r="L1500" s="53"/>
    </row>
    <row r="1501" spans="1:12" ns3:dyDescent="0.2">
      <c r="A1501" s="53" t="s">
        <v>2</v>
      </c>
      <c r="B1501" s="53">
        <v>1</v>
      </c>
      <c r="C1501" s="53"/>
      <c r="D1501" s="53"/>
      <c r="E1501" s="53"/>
      <c r="F1501" s="53"/>
      <c r="H1501" s="53"/>
      <c r="I1501" s="53"/>
      <c r="J1501" s="53"/>
      <c r="K1501" s="53"/>
      <c r="L1501" s="53"/>
    </row>
    <row r="1502" spans="1:12" ns3:dyDescent="0.2">
      <c r="A1502" s="53" t="s">
        <v>3</v>
      </c>
      <c r="B1502" s="53" t="s">
        <v>285</v>
      </c>
      <c r="C1502" s="53"/>
      <c r="D1502" s="53"/>
      <c r="E1502" s="53"/>
      <c r="F1502" s="53"/>
      <c r="H1502" s="53"/>
      <c r="I1502" s="53"/>
      <c r="J1502" s="53"/>
    </row>
    <row r="1503" spans="1:12" ns3:dyDescent="0.2">
      <c r="A1503" s="53" t="s">
        <v>4</v>
      </c>
      <c r="B1503" s="53" t="s">
        <v>5</v>
      </c>
      <c r="C1503" s="53"/>
      <c r="D1503" s="53"/>
      <c r="E1503" s="53"/>
      <c r="F1503" s="53"/>
      <c r="H1503" s="53"/>
      <c r="I1503" s="53"/>
      <c r="J1503" s="53"/>
      <c r="K1503" s="53"/>
      <c r="L1503" s="53"/>
    </row>
    <row r="1504" spans="1:12" ns3:dyDescent="0.2">
      <c r="A1504" s="53" t="s">
        <v>6</v>
      </c>
      <c r="B1504" s="53" t="s">
        <v>17</v>
      </c>
      <c r="C1504" s="53"/>
      <c r="D1504" s="53"/>
      <c r="E1504" s="53"/>
      <c r="F1504" s="53"/>
      <c r="H1504" s="53"/>
      <c r="I1504" s="53"/>
      <c r="J1504" s="53"/>
      <c r="K1504" s="53"/>
      <c r="L1504" s="53"/>
    </row>
    <row r="1505" spans="1:12" ht="16" ns3:dyDescent="0.2">
      <c r="A1505" s="1" t="s">
        <v>10</v>
      </c>
      <c r="B1505" s="53"/>
      <c r="C1505" s="53"/>
      <c r="D1505" s="53"/>
      <c r="E1505" s="53"/>
      <c r="F1505" s="53"/>
      <c r="H1505" s="53"/>
      <c r="I1505" s="53"/>
      <c r="J1505" s="53"/>
      <c r="K1505" s="53"/>
      <c r="L1505" s="53"/>
    </row>
    <row r="1506" spans="1:12" ns3:dyDescent="0.2">
      <c r="A1506" s="53" t="s">
        <v>11</v>
      </c>
      <c r="B1506" s="53" t="s">
        <v>12</v>
      </c>
      <c r="C1506" s="53" t="s">
        <v>1</v>
      </c>
      <c r="D1506" s="53" t="s">
        <v>6</v>
      </c>
      <c r="E1506" s="53" t="s">
        <v>13</v>
      </c>
      <c r="F1506" s="53" t="s">
        <v>4</v>
      </c>
      <c r="G1506" s="50" t="s">
        <v>9</v>
      </c>
      <c r="H1506" s="53" t="s">
        <v>3</v>
      </c>
      <c r="I1506" s="53"/>
      <c r="J1506" s="53"/>
      <c r="K1506" s="53"/>
    </row>
    <row r="1507" spans="1:12" ns3:dyDescent="0.2">
      <c r="A1507" s="53" t="str">
        <f>B1499</f>
        <v>heat, from on-site industrial non-renewable waste-fired CHP</v>
      </c>
      <c r="B1507" s="53">
        <v>1</v>
      </c>
      <c r="C1507" s="53" t="str">
        <f>B1500</f>
        <v>CH</v>
      </c>
      <c r="D1507" s="53" t="str">
        <f>B1504</f>
        <v>megajoule</v>
      </c>
      <c r="E1507" s="53"/>
      <c r="F1507" s="53" t="s">
        <v>15</v>
      </c>
      <c r="H1507" s="53" t="str">
        <f>B1502</f>
        <v>heat</v>
      </c>
      <c r="I1507" s="53"/>
      <c r="J1507" s="53"/>
      <c r="K1507" s="53"/>
      <c r="L1507" s="53"/>
    </row>
    <row r="1508" spans="1:12" ns3:dyDescent="0.2">
      <c r="A1508" s="53" t="s">
        <v>123</v>
      </c>
      <c r="B1508">
        <f>1/6.1</f>
        <v>0.16393442622950821</v>
      </c>
      <c r="C1508" t="s">
        <v>104</v>
      </c>
      <c r="D1508" t="s">
        <v>17</v>
      </c>
      <c r="F1508" t="s">
        <v>18</v>
      </c>
      <c r="H1508" t="s">
        <v>124</v>
      </c>
    </row>
    <row r="1509" spans="1:12" ns3:dyDescent="0.2">
      <c r="B1509"/>
    </row>
    <row r="1510" spans="1:12" ht="16" ns3:dyDescent="0.2">
      <c r="A1510" s="1" t="s">
        <v>0</v>
      </c>
      <c r="B1510" s="1" t="s">
        <v>310</v>
      </c>
      <c r="C1510" s="53"/>
      <c r="D1510" s="53"/>
      <c r="E1510" s="53"/>
      <c r="F1510" s="53"/>
      <c r="H1510" s="53"/>
    </row>
    <row r="1511" spans="1:12" ns3:dyDescent="0.2">
      <c r="A1511" s="53" t="s">
        <v>1</v>
      </c>
      <c r="B1511" s="53" t="s">
        <v>104</v>
      </c>
      <c r="C1511" s="53"/>
      <c r="D1511" s="53"/>
      <c r="E1511" s="53"/>
      <c r="F1511" s="53"/>
      <c r="H1511" s="53"/>
      <c r="I1511" s="53"/>
      <c r="J1511" s="53"/>
      <c r="K1511" s="53"/>
      <c r="L1511" s="53"/>
    </row>
    <row r="1512" spans="1:12" ns3:dyDescent="0.2">
      <c r="A1512" s="53" t="s">
        <v>2</v>
      </c>
      <c r="B1512" s="53">
        <v>1</v>
      </c>
      <c r="C1512" s="53"/>
      <c r="D1512" s="53"/>
      <c r="E1512" s="53"/>
      <c r="F1512" s="53"/>
      <c r="H1512" s="53"/>
      <c r="I1512" s="53"/>
      <c r="J1512" s="53"/>
      <c r="K1512" s="53"/>
      <c r="L1512" s="53"/>
    </row>
    <row r="1513" spans="1:12" ns3:dyDescent="0.2">
      <c r="A1513" s="53" t="s">
        <v>3</v>
      </c>
      <c r="B1513" s="53" t="s">
        <v>285</v>
      </c>
      <c r="C1513" s="53"/>
      <c r="D1513" s="53"/>
      <c r="E1513" s="53"/>
      <c r="F1513" s="53"/>
      <c r="H1513" s="53"/>
      <c r="I1513" s="53"/>
      <c r="J1513" s="53"/>
    </row>
    <row r="1514" spans="1:12" ns3:dyDescent="0.2">
      <c r="A1514" s="53" t="s">
        <v>4</v>
      </c>
      <c r="B1514" s="53" t="s">
        <v>5</v>
      </c>
      <c r="C1514" s="53"/>
      <c r="D1514" s="53"/>
      <c r="E1514" s="53"/>
      <c r="F1514" s="53"/>
      <c r="H1514" s="53"/>
      <c r="I1514" s="53"/>
      <c r="J1514" s="53"/>
      <c r="K1514" s="53"/>
      <c r="L1514" s="53"/>
    </row>
    <row r="1515" spans="1:12" ns3:dyDescent="0.2">
      <c r="A1515" s="53" t="s">
        <v>6</v>
      </c>
      <c r="B1515" s="53" t="s">
        <v>17</v>
      </c>
      <c r="C1515" s="53"/>
      <c r="D1515" s="53"/>
      <c r="E1515" s="53"/>
      <c r="F1515" s="53"/>
      <c r="H1515" s="53"/>
      <c r="I1515" s="53"/>
      <c r="J1515" s="53"/>
      <c r="K1515" s="53"/>
      <c r="L1515" s="53"/>
    </row>
    <row r="1516" spans="1:12" ht="16" ns3:dyDescent="0.2">
      <c r="A1516" s="1" t="s">
        <v>10</v>
      </c>
      <c r="B1516" s="53"/>
      <c r="C1516" s="53"/>
      <c r="D1516" s="53"/>
      <c r="E1516" s="53"/>
      <c r="F1516" s="53"/>
      <c r="H1516" s="53"/>
      <c r="I1516" s="53"/>
      <c r="J1516" s="53"/>
      <c r="K1516" s="53"/>
      <c r="L1516" s="53"/>
    </row>
    <row r="1517" spans="1:12" ns3:dyDescent="0.2">
      <c r="A1517" s="53" t="s">
        <v>11</v>
      </c>
      <c r="B1517" s="53" t="s">
        <v>12</v>
      </c>
      <c r="C1517" s="53" t="s">
        <v>1</v>
      </c>
      <c r="D1517" s="53" t="s">
        <v>6</v>
      </c>
      <c r="E1517" s="53" t="s">
        <v>13</v>
      </c>
      <c r="F1517" s="53" t="s">
        <v>4</v>
      </c>
      <c r="G1517" s="50" t="s">
        <v>9</v>
      </c>
      <c r="H1517" s="53" t="s">
        <v>3</v>
      </c>
      <c r="I1517" s="53"/>
      <c r="J1517" s="53"/>
      <c r="K1517" s="53"/>
    </row>
    <row r="1518" spans="1:12" ns3:dyDescent="0.2">
      <c r="A1518" s="53" t="str">
        <f>B1510</f>
        <v>heat, from on-site industrial non-renewable waste-fired CHP with CCS</v>
      </c>
      <c r="B1518" s="53">
        <v>1</v>
      </c>
      <c r="C1518" s="53" t="str">
        <f>B1511</f>
        <v>CH</v>
      </c>
      <c r="D1518" s="53" t="str">
        <f>B1515</f>
        <v>megajoule</v>
      </c>
      <c r="E1518" s="53"/>
      <c r="F1518" s="53" t="s">
        <v>15</v>
      </c>
      <c r="H1518" s="53" t="str">
        <f>B1513</f>
        <v>heat</v>
      </c>
      <c r="I1518" s="53"/>
      <c r="J1518" s="53"/>
      <c r="K1518" s="53"/>
      <c r="L1518" s="53"/>
    </row>
    <row r="1519" spans="1:12" ns3:dyDescent="0.2">
      <c r="A1519" s="53" t="s">
        <v>141</v>
      </c>
      <c r="B1519">
        <f>1/6.7</f>
        <v>0.14925373134328357</v>
      </c>
      <c r="C1519" t="s">
        <v>104</v>
      </c>
      <c r="D1519" t="s">
        <v>17</v>
      </c>
      <c r="F1519" t="s">
        <v>18</v>
      </c>
      <c r="H1519" t="s">
        <v>143</v>
      </c>
    </row>
    <row r="1520" spans="1:12" ns3:dyDescent="0.2">
      <c r="B1520"/>
    </row>
    <row r="1521" spans="1:12" ht="16" ns3:dyDescent="0.2">
      <c r="A1521" s="1" t="s">
        <v>0</v>
      </c>
      <c r="B1521" s="1" t="s">
        <v>319</v>
      </c>
      <c r="C1521" s="53"/>
      <c r="D1521" s="53"/>
      <c r="E1521" s="53"/>
      <c r="F1521" s="53"/>
      <c r="H1521" s="53"/>
    </row>
    <row r="1522" spans="1:12" ns3:dyDescent="0.2">
      <c r="A1522" s="53" t="s">
        <v>1</v>
      </c>
      <c r="B1522" s="53" t="s">
        <v>104</v>
      </c>
      <c r="C1522" s="53"/>
      <c r="D1522" s="53"/>
      <c r="E1522" s="53"/>
      <c r="F1522" s="53"/>
      <c r="H1522" s="53"/>
      <c r="I1522" s="53"/>
      <c r="J1522" s="53"/>
      <c r="K1522" s="53"/>
      <c r="L1522" s="53"/>
    </row>
    <row r="1523" spans="1:12" ns3:dyDescent="0.2">
      <c r="A1523" s="53" t="s">
        <v>2</v>
      </c>
      <c r="B1523" s="53">
        <v>1</v>
      </c>
      <c r="C1523" s="53"/>
      <c r="D1523" s="53"/>
      <c r="E1523" s="53"/>
      <c r="F1523" s="53"/>
      <c r="H1523" s="53"/>
      <c r="I1523" s="53"/>
      <c r="J1523" s="53"/>
      <c r="K1523" s="53"/>
      <c r="L1523" s="53"/>
    </row>
    <row r="1524" spans="1:12" ns3:dyDescent="0.2">
      <c r="A1524" s="53" t="s">
        <v>3</v>
      </c>
      <c r="B1524" s="53" t="s">
        <v>285</v>
      </c>
      <c r="C1524" s="53"/>
      <c r="D1524" s="53"/>
      <c r="E1524" s="53"/>
      <c r="F1524" s="53"/>
      <c r="H1524" s="53"/>
      <c r="I1524" s="53"/>
      <c r="J1524" s="53"/>
    </row>
    <row r="1525" spans="1:12" ns3:dyDescent="0.2">
      <c r="A1525" s="53" t="s">
        <v>4</v>
      </c>
      <c r="B1525" s="53" t="s">
        <v>5</v>
      </c>
      <c r="C1525" s="53"/>
      <c r="D1525" s="53"/>
      <c r="E1525" s="53"/>
      <c r="F1525" s="53"/>
      <c r="H1525" s="53"/>
      <c r="I1525" s="53"/>
      <c r="J1525" s="53"/>
      <c r="K1525" s="53"/>
      <c r="L1525" s="53"/>
    </row>
    <row r="1526" spans="1:12" ns3:dyDescent="0.2">
      <c r="A1526" s="53" t="s">
        <v>6</v>
      </c>
      <c r="B1526" s="53" t="s">
        <v>17</v>
      </c>
      <c r="C1526" s="53"/>
      <c r="D1526" s="53"/>
      <c r="E1526" s="53"/>
      <c r="F1526" s="53"/>
      <c r="H1526" s="53"/>
      <c r="I1526" s="53"/>
      <c r="J1526" s="53"/>
      <c r="K1526" s="53"/>
      <c r="L1526" s="53"/>
    </row>
    <row r="1527" spans="1:12" ht="16" ns3:dyDescent="0.2">
      <c r="A1527" s="1" t="s">
        <v>10</v>
      </c>
      <c r="B1527" s="53"/>
      <c r="C1527" s="53"/>
      <c r="D1527" s="53"/>
      <c r="E1527" s="53"/>
      <c r="F1527" s="53"/>
      <c r="H1527" s="53"/>
      <c r="I1527" s="53"/>
      <c r="J1527" s="53"/>
      <c r="K1527" s="53"/>
      <c r="L1527" s="53"/>
    </row>
    <row r="1528" spans="1:12" ns3:dyDescent="0.2">
      <c r="A1528" s="53" t="s">
        <v>11</v>
      </c>
      <c r="B1528" s="53" t="s">
        <v>12</v>
      </c>
      <c r="C1528" s="53" t="s">
        <v>1</v>
      </c>
      <c r="D1528" s="53" t="s">
        <v>6</v>
      </c>
      <c r="E1528" s="53" t="s">
        <v>13</v>
      </c>
      <c r="F1528" s="53" t="s">
        <v>4</v>
      </c>
      <c r="G1528" s="50" t="s">
        <v>9</v>
      </c>
      <c r="H1528" s="53" t="s">
        <v>3</v>
      </c>
      <c r="I1528" s="53"/>
      <c r="J1528" s="53"/>
      <c r="K1528" s="53"/>
    </row>
    <row r="1529" spans="1:12" ns3:dyDescent="0.2">
      <c r="A1529" s="53" t="str">
        <f>B1521</f>
        <v>heat, from on-site industrial wood-fired CHP</v>
      </c>
      <c r="B1529" s="53">
        <v>1</v>
      </c>
      <c r="C1529" s="53" t="str">
        <f>B1522</f>
        <v>CH</v>
      </c>
      <c r="D1529" s="53" t="str">
        <f>B1526</f>
        <v>megajoule</v>
      </c>
      <c r="E1529" s="53"/>
      <c r="F1529" s="53" t="s">
        <v>15</v>
      </c>
      <c r="H1529" s="53" t="str">
        <f>B1524</f>
        <v>heat</v>
      </c>
      <c r="I1529" s="53"/>
      <c r="J1529" s="53"/>
      <c r="K1529" s="53"/>
      <c r="L1529" s="53"/>
    </row>
    <row r="1530" spans="1:12" ns3:dyDescent="0.2">
      <c r="A1530" s="53" t="s">
        <v>327</v>
      </c>
      <c r="B1530">
        <f>1/(0.0396618169378429*19.1)</f>
        <v>1.3200610810256006</v>
      </c>
      <c r="C1530" t="s">
        <v>104</v>
      </c>
      <c r="D1530" t="s">
        <v>17</v>
      </c>
      <c r="F1530" t="s">
        <v>18</v>
      </c>
      <c r="H1530" t="s">
        <v>295</v>
      </c>
    </row>
    <row r="1532">
      <c r="A1532" t="inlineStr">
        <is>
          <t>Activity</t>
        </is>
      </c>
      <c r="B1532" t="inlineStr">
        <is>
          <t>heat, from on-site industrial wood-fired CHP with CCS</t>
        </is>
      </c>
    </row>
    <row r="1533">
      <c r="A1533" t="inlineStr">
        <is>
          <t>location</t>
        </is>
      </c>
      <c r="B1533" t="inlineStr">
        <is>
          <t>CH</t>
        </is>
      </c>
    </row>
    <row r="1534">
      <c r="A1534" t="inlineStr">
        <is>
          <t>production amount</t>
        </is>
      </c>
      <c r="B1534">
        <v>1</v>
      </c>
    </row>
    <row r="1535">
      <c r="A1535" t="inlineStr">
        <is>
          <t>reference product</t>
        </is>
      </c>
      <c r="B1535" t="inlineStr">
        <is>
          <t>heat</t>
        </is>
      </c>
    </row>
    <row r="1536">
      <c r="A1536" t="inlineStr">
        <is>
          <t>type</t>
        </is>
      </c>
      <c r="B1536" t="inlineStr">
        <is>
          <t>process</t>
        </is>
      </c>
    </row>
    <row r="1537">
      <c r="A1537" t="inlineStr">
        <is>
          <t>unit</t>
        </is>
      </c>
      <c r="B1537" t="inlineStr">
        <is>
          <t>megajoule</t>
        </is>
      </c>
    </row>
    <row r="1538">
      <c r="A1538" t="inlineStr">
        <is>
          <t>Swiss heat provider routing</t>
        </is>
      </c>
      <c r="B1538" t="inlineStr">
        <is>
          <t>[{"wrapper": "heat, from on-site industrial wood-fired CHP with CCS", "wrapper_product": "heat", "supplier": "heat production, at co-generation wood-fired power plant, post, pipeline 200km, storage 1000m", "product": "heat, district or industrial, other than natural gas", "previous_location": "RER", "location": "CH", "amount": 1.2063716099324864, "unit": "megajoule"}]</t>
        </is>
      </c>
    </row>
    <row r="1539">
      <c r="A1539" t="inlineStr">
        <is>
          <t>Exchanges</t>
        </is>
      </c>
    </row>
    <row r="1540">
      <c r="A1540" t="inlineStr">
        <is>
          <t>name</t>
        </is>
      </c>
      <c r="B1540" t="inlineStr">
        <is>
          <t>amount</t>
        </is>
      </c>
      <c r="C1540" t="inlineStr">
        <is>
          <t>location</t>
        </is>
      </c>
      <c r="D1540" t="inlineStr">
        <is>
          <t>unit</t>
        </is>
      </c>
      <c r="E1540" t="inlineStr">
        <is>
          <t>categories</t>
        </is>
      </c>
      <c r="F1540" t="inlineStr">
        <is>
          <t>type</t>
        </is>
      </c>
      <c r="G1540" t="inlineStr">
        <is>
          <t>reference product</t>
        </is>
      </c>
      <c r="H1540" t="inlineStr">
        <is>
          <t>comment</t>
        </is>
      </c>
      <c r="I1540" t="inlineStr">
        <is>
          <t>uncertainty type</t>
        </is>
      </c>
    </row>
    <row r="1541">
      <c r="A1541" t="inlineStr">
        <is>
          <t>heat, from on-site industrial wood-fired CHP with CCS</t>
        </is>
      </c>
      <c r="B1541">
        <v>1</v>
      </c>
      <c r="C1541" t="inlineStr">
        <is>
          <t>CH</t>
        </is>
      </c>
      <c r="D1541" t="inlineStr">
        <is>
          <t>megajoule</t>
        </is>
      </c>
      <c r="F1541" t="inlineStr">
        <is>
          <t>production</t>
        </is>
      </c>
      <c r="G1541" t="inlineStr">
        <is>
          <t>heat</t>
        </is>
      </c>
    </row>
    <row r="1542">
      <c r="A1542" t="inlineStr">
        <is>
          <t>heat production, at co-generation wood-fired power plant, post, pipeline 200km, storage 1000m</t>
        </is>
      </c>
      <c r="B1542">
        <v>1.2063716099324864</v>
      </c>
      <c r="C1542" t="inlineStr">
        <is>
          <t>RER</t>
        </is>
      </c>
      <c r="D1542" t="inlineStr">
        <is>
          <t>megajoule</t>
        </is>
      </c>
      <c r="F1542" t="inlineStr">
        <is>
          <t>technosphere</t>
        </is>
      </c>
      <c r="G1542" t="inlineStr">
        <is>
          <t>heat, district or industrial, other than natural gas</t>
        </is>
      </c>
    </row>
    <row r="1543"/>
    <row r="1544" spans="1:12" ht="16" ns3:dyDescent="0.2">
      <c r="A1544" s="1" t="s">
        <v>0</v>
      </c>
      <c r="B1544" s="1" t="s">
        <v>322</v>
      </c>
      <c r="C1544" s="53"/>
      <c r="D1544" s="53"/>
      <c r="E1544" s="53"/>
      <c r="F1544" s="53"/>
      <c r="H1544" s="53"/>
    </row>
    <row r="1545" spans="1:12" ns3:dyDescent="0.2">
      <c r="A1545" s="53" t="s">
        <v>1</v>
      </c>
      <c r="B1545" s="53" t="s">
        <v>104</v>
      </c>
      <c r="C1545" s="53"/>
      <c r="D1545" s="53"/>
      <c r="E1545" s="53"/>
      <c r="F1545" s="53"/>
      <c r="H1545" s="53"/>
      <c r="I1545" s="53"/>
      <c r="J1545" s="53"/>
      <c r="K1545" s="53"/>
      <c r="L1545" s="53"/>
    </row>
    <row r="1546" spans="1:12" ns3:dyDescent="0.2">
      <c r="A1546" s="53" t="s">
        <v>2</v>
      </c>
      <c r="B1546" s="53">
        <v>1</v>
      </c>
      <c r="C1546" s="53"/>
      <c r="D1546" s="53"/>
      <c r="E1546" s="53"/>
      <c r="F1546" s="53"/>
      <c r="H1546" s="53"/>
      <c r="I1546" s="53"/>
      <c r="J1546" s="53"/>
      <c r="K1546" s="53"/>
      <c r="L1546" s="53"/>
    </row>
    <row r="1547" spans="1:12" ns3:dyDescent="0.2">
      <c r="A1547" s="53" t="s">
        <v>3</v>
      </c>
      <c r="B1547" s="53" t="s">
        <v>285</v>
      </c>
      <c r="C1547" s="53"/>
      <c r="D1547" s="53"/>
      <c r="E1547" s="53"/>
      <c r="F1547" s="53"/>
      <c r="H1547" s="53"/>
      <c r="I1547" s="53"/>
      <c r="J1547" s="53"/>
    </row>
    <row r="1548" spans="1:12" ns3:dyDescent="0.2">
      <c r="A1548" s="53" t="s">
        <v>4</v>
      </c>
      <c r="B1548" s="53" t="s">
        <v>5</v>
      </c>
      <c r="C1548" s="53"/>
      <c r="D1548" s="53"/>
      <c r="E1548" s="53"/>
      <c r="F1548" s="53"/>
      <c r="H1548" s="53"/>
      <c r="I1548" s="53"/>
      <c r="J1548" s="53"/>
      <c r="K1548" s="53"/>
      <c r="L1548" s="53"/>
    </row>
    <row r="1549" spans="1:12" ns3:dyDescent="0.2">
      <c r="A1549" s="53" t="s">
        <v>6</v>
      </c>
      <c r="B1549" s="53" t="s">
        <v>17</v>
      </c>
      <c r="C1549" s="53"/>
      <c r="D1549" s="53"/>
      <c r="E1549" s="53"/>
      <c r="F1549" s="53"/>
      <c r="H1549" s="53"/>
      <c r="I1549" s="53"/>
      <c r="J1549" s="53"/>
      <c r="K1549" s="53"/>
      <c r="L1549" s="53"/>
    </row>
    <row r="1550" spans="1:12" ht="16" ns3:dyDescent="0.2">
      <c r="A1550" s="1" t="s">
        <v>10</v>
      </c>
      <c r="B1550" s="53"/>
      <c r="C1550" s="53"/>
      <c r="D1550" s="53"/>
      <c r="E1550" s="53"/>
      <c r="F1550" s="53"/>
      <c r="H1550" s="53"/>
      <c r="I1550" s="53"/>
      <c r="J1550" s="53"/>
      <c r="K1550" s="53"/>
      <c r="L1550" s="53"/>
    </row>
    <row r="1551" spans="1:12" ns3:dyDescent="0.2">
      <c r="A1551" s="53" t="s">
        <v>11</v>
      </c>
      <c r="B1551" s="53" t="s">
        <v>12</v>
      </c>
      <c r="C1551" s="53" t="s">
        <v>1</v>
      </c>
      <c r="D1551" s="53" t="s">
        <v>6</v>
      </c>
      <c r="E1551" s="53" t="s">
        <v>13</v>
      </c>
      <c r="F1551" s="53" t="s">
        <v>4</v>
      </c>
      <c r="G1551" s="50" t="s">
        <v>9</v>
      </c>
      <c r="H1551" s="53" t="s">
        <v>3</v>
      </c>
      <c r="I1551" s="53"/>
      <c r="J1551" s="53"/>
      <c r="K1551" s="53"/>
    </row>
    <row r="1552" spans="1:12" ns3:dyDescent="0.2">
      <c r="A1552" s="53" t="str">
        <f>B1544</f>
        <v>heat, from on-site industrial hydrogen-fired CHP</v>
      </c>
      <c r="B1552" s="53">
        <v>1</v>
      </c>
      <c r="C1552" s="53" t="str">
        <f>B1545</f>
        <v>CH</v>
      </c>
      <c r="D1552" s="53" t="str">
        <f>B1549</f>
        <v>megajoule</v>
      </c>
      <c r="E1552" s="53"/>
      <c r="F1552" s="53" t="s">
        <v>15</v>
      </c>
      <c r="H1552" s="53" t="str">
        <f>B1547</f>
        <v>heat</v>
      </c>
      <c r="I1552" s="53"/>
      <c r="J1552" s="53"/>
      <c r="K1552" s="53"/>
      <c r="L1552" s="53"/>
    </row>
    <row r="1553" spans="1:12" ns3:dyDescent="0.2">
      <c r="A1553" s="53" t="s">
        <v>312</v>
      </c>
      <c r="B1553">
        <f>1/(0.00167*120)</f>
        <v>4.9900199600798407</v>
      </c>
      <c r="C1553" t="s">
        <v>103</v>
      </c>
      <c r="D1553" t="s">
        <v>17</v>
      </c>
      <c r="F1553" t="s">
        <v>18</v>
      </c>
      <c r="H1553" t="s">
        <v>313</v>
      </c>
    </row>
    <row r="1555" spans="1:12" ht="16" ns3:dyDescent="0.2">
      <c r="A1555" s="1" t="s">
        <v>0</v>
      </c>
      <c r="B1555" s="1" t="s">
        <v>314</v>
      </c>
      <c r="C1555" s="53"/>
      <c r="D1555" s="53"/>
      <c r="E1555" s="53"/>
      <c r="F1555" s="53"/>
      <c r="H1555" s="53"/>
    </row>
    <row r="1556" spans="1:12" ns3:dyDescent="0.2">
      <c r="A1556" s="53" t="s">
        <v>1</v>
      </c>
      <c r="B1556" s="53" t="s">
        <v>104</v>
      </c>
      <c r="C1556" s="53"/>
      <c r="D1556" s="53"/>
      <c r="E1556" s="53"/>
      <c r="F1556" s="53"/>
      <c r="H1556" s="53"/>
      <c r="I1556" s="53"/>
      <c r="J1556" s="53"/>
      <c r="K1556" s="53"/>
      <c r="L1556" s="53"/>
    </row>
    <row r="1557" spans="1:12" ns3:dyDescent="0.2">
      <c r="A1557" s="53" t="s">
        <v>2</v>
      </c>
      <c r="B1557" s="53">
        <v>1</v>
      </c>
      <c r="C1557" s="53"/>
      <c r="D1557" s="53"/>
      <c r="E1557" s="53"/>
      <c r="F1557" s="53"/>
      <c r="H1557" s="53"/>
      <c r="I1557" s="53"/>
      <c r="J1557" s="53"/>
      <c r="K1557" s="53"/>
      <c r="L1557" s="53"/>
    </row>
    <row r="1558" spans="1:12" ns3:dyDescent="0.2">
      <c r="A1558" s="53" t="s">
        <v>3</v>
      </c>
      <c r="B1558" s="53" t="s">
        <v>285</v>
      </c>
      <c r="C1558" s="53"/>
      <c r="D1558" s="53"/>
      <c r="E1558" s="53"/>
      <c r="F1558" s="53"/>
      <c r="H1558" s="53"/>
      <c r="I1558" s="53"/>
      <c r="J1558" s="53"/>
    </row>
    <row r="1559" spans="1:12" ns3:dyDescent="0.2">
      <c r="A1559" s="53" t="s">
        <v>4</v>
      </c>
      <c r="B1559" s="53" t="s">
        <v>5</v>
      </c>
      <c r="C1559" s="53"/>
      <c r="D1559" s="53"/>
      <c r="E1559" s="53"/>
      <c r="F1559" s="53"/>
      <c r="H1559" s="53"/>
      <c r="I1559" s="53"/>
      <c r="J1559" s="53"/>
      <c r="K1559" s="53"/>
      <c r="L1559" s="53"/>
    </row>
    <row r="1560" spans="1:12" ns3:dyDescent="0.2">
      <c r="A1560" s="53" t="s">
        <v>6</v>
      </c>
      <c r="B1560" s="53" t="s">
        <v>17</v>
      </c>
      <c r="C1560" s="53"/>
      <c r="D1560" s="53"/>
      <c r="E1560" s="53"/>
      <c r="F1560" s="53"/>
      <c r="H1560" s="53"/>
      <c r="I1560" s="53"/>
      <c r="J1560" s="53"/>
      <c r="K1560" s="53"/>
      <c r="L1560" s="53"/>
    </row>
    <row r="1561" spans="1:12" ht="16" ns3:dyDescent="0.2">
      <c r="A1561" s="1" t="s">
        <v>10</v>
      </c>
      <c r="B1561" s="53"/>
      <c r="C1561" s="53"/>
      <c r="D1561" s="53"/>
      <c r="E1561" s="53"/>
      <c r="F1561" s="53"/>
      <c r="H1561" s="53"/>
      <c r="I1561" s="53"/>
      <c r="J1561" s="53"/>
      <c r="K1561" s="53"/>
      <c r="L1561" s="53"/>
    </row>
    <row r="1562" spans="1:12" ns3:dyDescent="0.2">
      <c r="A1562" s="53" t="s">
        <v>11</v>
      </c>
      <c r="B1562" s="53" t="s">
        <v>12</v>
      </c>
      <c r="C1562" s="53" t="s">
        <v>1</v>
      </c>
      <c r="D1562" s="53" t="s">
        <v>6</v>
      </c>
      <c r="E1562" s="53" t="s">
        <v>13</v>
      </c>
      <c r="F1562" s="53" t="s">
        <v>4</v>
      </c>
      <c r="G1562" s="50" t="s">
        <v>9</v>
      </c>
      <c r="H1562" s="53" t="s">
        <v>3</v>
      </c>
      <c r="I1562" s="53"/>
      <c r="J1562" s="53"/>
      <c r="K1562" s="53"/>
    </row>
    <row r="1563" spans="1:12" ns3:dyDescent="0.2">
      <c r="A1563" s="53" t="str">
        <f>B1555</f>
        <v>wood, burned in wood industrial furnace 1-10MW</v>
      </c>
      <c r="B1563" s="53">
        <v>1</v>
      </c>
      <c r="C1563" s="53" t="str">
        <f>B1556</f>
        <v>CH</v>
      </c>
      <c r="D1563" s="53" t="str">
        <f>B1560</f>
        <v>megajoule</v>
      </c>
      <c r="E1563" s="53"/>
      <c r="F1563" s="53" t="s">
        <v>15</v>
      </c>
      <c r="H1563" s="53" t="str">
        <f>B1558</f>
        <v>heat</v>
      </c>
      <c r="I1563" s="53"/>
      <c r="J1563" s="53"/>
      <c r="K1563" s="53"/>
      <c r="L1563" s="53"/>
    </row>
    <row r="1564" spans="1:12" ns3:dyDescent="0.2">
      <c r="A1564" s="53" t="s">
        <v>315</v>
      </c>
      <c r="B1564">
        <f>1/(0.0705467372134039*19.1)</f>
        <v>0.74214659685863837</v>
      </c>
      <c r="C1564" t="s">
        <v>104</v>
      </c>
      <c r="D1564" t="s">
        <v>17</v>
      </c>
      <c r="F1564" t="s">
        <v>18</v>
      </c>
      <c r="H1564" t="s">
        <v>295</v>
      </c>
    </row>
    <row r="1565" spans="1:12" ns3:dyDescent="0.2">
      <c r="B1565"/>
    </row>
    <row r="1566" spans="1:12" ht="16" ns3:dyDescent="0.2">
      <c r="A1566" s="1" t="s">
        <v>0</v>
      </c>
      <c r="B1566" s="1" t="s">
        <v>317</v>
      </c>
      <c r="C1566" s="53"/>
      <c r="D1566" s="53"/>
      <c r="E1566" s="53"/>
      <c r="F1566" s="53"/>
      <c r="H1566" s="53"/>
    </row>
    <row r="1567" spans="1:12" ns3:dyDescent="0.2">
      <c r="A1567" s="53" t="s">
        <v>1</v>
      </c>
      <c r="B1567" s="53" t="s">
        <v>104</v>
      </c>
      <c r="C1567" s="53"/>
      <c r="D1567" s="53"/>
      <c r="E1567" s="53"/>
      <c r="F1567" s="53"/>
      <c r="H1567" s="53"/>
      <c r="I1567" s="53"/>
      <c r="J1567" s="53"/>
      <c r="K1567" s="53"/>
      <c r="L1567" s="53"/>
    </row>
    <row r="1568" spans="1:12" ns3:dyDescent="0.2">
      <c r="A1568" s="53" t="s">
        <v>2</v>
      </c>
      <c r="B1568" s="53">
        <v>1</v>
      </c>
      <c r="C1568" s="53"/>
      <c r="D1568" s="53"/>
      <c r="E1568" s="53"/>
      <c r="F1568" s="53"/>
      <c r="H1568" s="53"/>
      <c r="I1568" s="53"/>
      <c r="J1568" s="53"/>
      <c r="K1568" s="53"/>
      <c r="L1568" s="53"/>
    </row>
    <row r="1569" spans="1:12" ns3:dyDescent="0.2">
      <c r="A1569" s="53" t="s">
        <v>3</v>
      </c>
      <c r="B1569" s="53" t="s">
        <v>285</v>
      </c>
      <c r="C1569" s="53"/>
      <c r="D1569" s="53"/>
      <c r="E1569" s="53"/>
      <c r="F1569" s="53"/>
      <c r="H1569" s="53"/>
      <c r="I1569" s="53"/>
      <c r="J1569" s="53"/>
    </row>
    <row r="1570" spans="1:12" ns3:dyDescent="0.2">
      <c r="A1570" s="53" t="s">
        <v>4</v>
      </c>
      <c r="B1570" s="53" t="s">
        <v>5</v>
      </c>
      <c r="C1570" s="53"/>
      <c r="D1570" s="53"/>
      <c r="E1570" s="53"/>
      <c r="F1570" s="53"/>
      <c r="H1570" s="53"/>
      <c r="I1570" s="53"/>
      <c r="J1570" s="53"/>
      <c r="K1570" s="53"/>
      <c r="L1570" s="53"/>
    </row>
    <row r="1571" spans="1:12" ns3:dyDescent="0.2">
      <c r="A1571" s="53" t="s">
        <v>6</v>
      </c>
      <c r="B1571" s="53" t="s">
        <v>17</v>
      </c>
      <c r="C1571" s="53"/>
      <c r="D1571" s="53"/>
      <c r="E1571" s="53"/>
      <c r="F1571" s="53"/>
      <c r="H1571" s="53"/>
      <c r="I1571" s="53"/>
      <c r="J1571" s="53"/>
      <c r="K1571" s="53"/>
      <c r="L1571" s="53"/>
    </row>
    <row r="1572" spans="1:12" ht="16" ns3:dyDescent="0.2">
      <c r="A1572" s="1" t="s">
        <v>10</v>
      </c>
      <c r="B1572" s="53"/>
      <c r="C1572" s="53"/>
      <c r="D1572" s="53"/>
      <c r="E1572" s="53"/>
      <c r="F1572" s="53"/>
      <c r="H1572" s="53"/>
      <c r="I1572" s="53"/>
      <c r="J1572" s="53"/>
      <c r="K1572" s="53"/>
      <c r="L1572" s="53"/>
    </row>
    <row r="1573" spans="1:12" ns3:dyDescent="0.2">
      <c r="A1573" s="53" t="s">
        <v>11</v>
      </c>
      <c r="B1573" s="53" t="s">
        <v>12</v>
      </c>
      <c r="C1573" s="53" t="s">
        <v>1</v>
      </c>
      <c r="D1573" s="53" t="s">
        <v>6</v>
      </c>
      <c r="E1573" s="53" t="s">
        <v>13</v>
      </c>
      <c r="F1573" s="53" t="s">
        <v>4</v>
      </c>
      <c r="G1573" s="50" t="s">
        <v>9</v>
      </c>
      <c r="H1573" s="53" t="s">
        <v>3</v>
      </c>
      <c r="I1573" s="53"/>
      <c r="J1573" s="53"/>
      <c r="K1573" s="53"/>
    </row>
    <row r="1574" spans="1:12" ns3:dyDescent="0.2">
      <c r="A1574" s="53" t="str">
        <f>B1566</f>
        <v>pellet, burned in pellet industrial furnace 300kW</v>
      </c>
      <c r="B1574" s="53">
        <v>1</v>
      </c>
      <c r="C1574" s="53" t="str">
        <f>B1567</f>
        <v>CH</v>
      </c>
      <c r="D1574" s="53" t="str">
        <f>B1571</f>
        <v>megajoule</v>
      </c>
      <c r="E1574" s="53"/>
      <c r="F1574" s="53" t="s">
        <v>15</v>
      </c>
      <c r="H1574" s="53" t="str">
        <f>B1569</f>
        <v>heat</v>
      </c>
      <c r="I1574" s="53"/>
      <c r="J1574" s="53"/>
      <c r="K1574" s="53"/>
      <c r="L1574" s="53"/>
    </row>
    <row r="1575" spans="1:12" ns3:dyDescent="0.2">
      <c r="A1575" s="53" t="s">
        <v>316</v>
      </c>
      <c r="B1575">
        <f>1/(0.0711533333333334*19.1)</f>
        <v>0.73581965158448881</v>
      </c>
      <c r="C1575" t="s">
        <v>104</v>
      </c>
      <c r="D1575" t="s">
        <v>17</v>
      </c>
      <c r="F1575" t="s">
        <v>18</v>
      </c>
      <c r="H1575" t="s">
        <v>318</v>
      </c>
    </row>
    <row r="1576" spans="1:12" ns3:dyDescent="0.2">
      <c r="A1576" t="s">
        <v>35</v>
      </c>
      <c r="B1576">
        <v>1</v>
      </c>
      <c r="D1576" t="s">
        <v>17</v>
      </c>
      <c r="E1576" t="s">
        <v>36</v>
      </c>
      <c r="F1576" t="s">
        <v>27</v>
      </c>
    </row>
    <row r="1578" spans="1:12" ht="16" ns3:dyDescent="0.2">
      <c r="A1578" s="1" t="s">
        <v>0</v>
      </c>
      <c r="B1578" s="1" t="s">
        <v>320</v>
      </c>
      <c r="C1578" s="53"/>
      <c r="D1578" s="53"/>
      <c r="E1578" s="53"/>
      <c r="F1578" s="53"/>
      <c r="H1578" s="53"/>
    </row>
    <row r="1579" spans="1:12" ns3:dyDescent="0.2">
      <c r="A1579" s="53" t="s">
        <v>1</v>
      </c>
      <c r="B1579" s="53" t="s">
        <v>104</v>
      </c>
      <c r="C1579" s="53"/>
      <c r="D1579" s="53"/>
      <c r="E1579" s="53"/>
      <c r="F1579" s="53"/>
      <c r="H1579" s="53"/>
      <c r="I1579" s="53"/>
      <c r="J1579" s="53"/>
      <c r="K1579" s="53"/>
      <c r="L1579" s="53"/>
    </row>
    <row r="1580" spans="1:12" ns3:dyDescent="0.2">
      <c r="A1580" s="53" t="s">
        <v>2</v>
      </c>
      <c r="B1580" s="53">
        <v>1</v>
      </c>
      <c r="C1580" s="53"/>
      <c r="D1580" s="53"/>
      <c r="E1580" s="53"/>
      <c r="F1580" s="53"/>
      <c r="H1580" s="53"/>
      <c r="I1580" s="53"/>
      <c r="J1580" s="53"/>
      <c r="K1580" s="53"/>
      <c r="L1580" s="53"/>
    </row>
    <row r="1581" spans="1:12" ns3:dyDescent="0.2">
      <c r="A1581" s="53" t="s">
        <v>3</v>
      </c>
      <c r="B1581" s="53" t="s">
        <v>285</v>
      </c>
      <c r="C1581" s="53"/>
      <c r="D1581" s="53"/>
      <c r="E1581" s="53"/>
      <c r="F1581" s="53"/>
      <c r="H1581" s="53"/>
      <c r="I1581" s="53"/>
      <c r="J1581" s="53"/>
    </row>
    <row r="1582" spans="1:12" ns3:dyDescent="0.2">
      <c r="A1582" s="53" t="s">
        <v>4</v>
      </c>
      <c r="B1582" s="53" t="s">
        <v>5</v>
      </c>
      <c r="C1582" s="53"/>
      <c r="D1582" s="53"/>
      <c r="E1582" s="53"/>
      <c r="F1582" s="53"/>
      <c r="H1582" s="53"/>
      <c r="I1582" s="53"/>
      <c r="J1582" s="53"/>
      <c r="K1582" s="53"/>
      <c r="L1582" s="53"/>
    </row>
    <row r="1583" spans="1:12" ns3:dyDescent="0.2">
      <c r="A1583" s="53" t="s">
        <v>6</v>
      </c>
      <c r="B1583" s="53" t="s">
        <v>17</v>
      </c>
      <c r="C1583" s="53"/>
      <c r="D1583" s="53"/>
      <c r="E1583" s="53"/>
      <c r="F1583" s="53"/>
      <c r="H1583" s="53"/>
      <c r="I1583" s="53"/>
      <c r="J1583" s="53"/>
      <c r="K1583" s="53"/>
      <c r="L1583" s="53"/>
    </row>
    <row r="1584" spans="1:12" ht="16" ns3:dyDescent="0.2">
      <c r="A1584" s="1" t="s">
        <v>10</v>
      </c>
      <c r="B1584" s="53"/>
      <c r="C1584" s="53"/>
      <c r="D1584" s="53"/>
      <c r="E1584" s="53"/>
      <c r="F1584" s="53"/>
      <c r="H1584" s="53"/>
      <c r="I1584" s="53"/>
      <c r="J1584" s="53"/>
      <c r="K1584" s="53"/>
      <c r="L1584" s="53"/>
    </row>
    <row r="1585" spans="1:12" ns3:dyDescent="0.2">
      <c r="A1585" s="53" t="s">
        <v>11</v>
      </c>
      <c r="B1585" s="53" t="s">
        <v>12</v>
      </c>
      <c r="C1585" s="53" t="s">
        <v>1</v>
      </c>
      <c r="D1585" s="53" t="s">
        <v>6</v>
      </c>
      <c r="E1585" s="53" t="s">
        <v>13</v>
      </c>
      <c r="F1585" s="53" t="s">
        <v>4</v>
      </c>
      <c r="G1585" s="50" t="s">
        <v>9</v>
      </c>
      <c r="H1585" s="53" t="s">
        <v>3</v>
      </c>
      <c r="I1585" s="53"/>
      <c r="J1585" s="53"/>
      <c r="K1585" s="53"/>
    </row>
    <row r="1586" spans="1:12" ns3:dyDescent="0.2">
      <c r="A1586" s="53" t="str">
        <f>B1578</f>
        <v>non-renewable waste, burned in industrial furnace</v>
      </c>
      <c r="B1586" s="53">
        <v>1</v>
      </c>
      <c r="C1586" s="53" t="str">
        <f>B1579</f>
        <v>CH</v>
      </c>
      <c r="D1586" s="53" t="str">
        <f>B1583</f>
        <v>megajoule</v>
      </c>
      <c r="E1586" s="53"/>
      <c r="F1586" s="53" t="s">
        <v>15</v>
      </c>
      <c r="H1586" s="53" t="str">
        <f>B1581</f>
        <v>heat</v>
      </c>
      <c r="I1586" s="53"/>
      <c r="J1586" s="53"/>
      <c r="K1586" s="53"/>
      <c r="L1586" s="53"/>
    </row>
    <row r="1587" spans="1:12" ns3:dyDescent="0.2">
      <c r="A1587" s="53" t="s">
        <v>123</v>
      </c>
      <c r="B1587">
        <f>1/6.1</f>
        <v>0.16393442622950821</v>
      </c>
      <c r="C1587" t="s">
        <v>104</v>
      </c>
      <c r="D1587" t="s">
        <v>17</v>
      </c>
      <c r="F1587" t="s">
        <v>18</v>
      </c>
      <c r="H1587" t="s">
        <v>124</v>
      </c>
    </row>
    <row r="1588" spans="1:12" ns3:dyDescent="0.2">
      <c r="B1588"/>
    </row>
    <row r="1589" spans="1:12" ht="16" ns3:dyDescent="0.2">
      <c r="A1589" s="1" t="s">
        <v>0</v>
      </c>
      <c r="B1589" s="1" t="s">
        <v>323</v>
      </c>
      <c r="C1589" s="53"/>
      <c r="D1589" s="53"/>
      <c r="E1589" s="53"/>
      <c r="F1589" s="53"/>
      <c r="H1589" s="53"/>
    </row>
    <row r="1590" spans="1:12" ns3:dyDescent="0.2">
      <c r="A1590" s="53" t="s">
        <v>1</v>
      </c>
      <c r="B1590" s="53" t="s">
        <v>104</v>
      </c>
      <c r="C1590" s="53"/>
      <c r="D1590" s="53"/>
      <c r="E1590" s="53"/>
      <c r="F1590" s="53"/>
      <c r="H1590" s="53"/>
      <c r="I1590" s="53"/>
      <c r="J1590" s="53"/>
      <c r="K1590" s="53"/>
      <c r="L1590" s="53"/>
    </row>
    <row r="1591" spans="1:12" ns3:dyDescent="0.2">
      <c r="A1591" s="53" t="s">
        <v>2</v>
      </c>
      <c r="B1591" s="53">
        <v>1</v>
      </c>
      <c r="C1591" s="53"/>
      <c r="D1591" s="53"/>
      <c r="E1591" s="53"/>
      <c r="F1591" s="53"/>
      <c r="H1591" s="53"/>
      <c r="I1591" s="53"/>
      <c r="J1591" s="53"/>
      <c r="K1591" s="53"/>
      <c r="L1591" s="53"/>
    </row>
    <row r="1592" spans="1:12" ns3:dyDescent="0.2">
      <c r="A1592" s="53" t="s">
        <v>3</v>
      </c>
      <c r="B1592" s="53" t="s">
        <v>285</v>
      </c>
      <c r="C1592" s="53"/>
      <c r="D1592" s="53"/>
      <c r="E1592" s="53"/>
      <c r="F1592" s="53"/>
      <c r="H1592" s="53"/>
      <c r="I1592" s="53"/>
      <c r="J1592" s="53"/>
    </row>
    <row r="1593" spans="1:12" ns3:dyDescent="0.2">
      <c r="A1593" s="53" t="s">
        <v>4</v>
      </c>
      <c r="B1593" s="53" t="s">
        <v>5</v>
      </c>
      <c r="C1593" s="53"/>
      <c r="D1593" s="53"/>
      <c r="E1593" s="53"/>
      <c r="F1593" s="53"/>
      <c r="H1593" s="53"/>
      <c r="I1593" s="53"/>
      <c r="J1593" s="53"/>
      <c r="K1593" s="53"/>
      <c r="L1593" s="53"/>
    </row>
    <row r="1594" spans="1:12" ns3:dyDescent="0.2">
      <c r="A1594" s="53" t="s">
        <v>6</v>
      </c>
      <c r="B1594" s="53" t="s">
        <v>17</v>
      </c>
      <c r="C1594" s="53"/>
      <c r="D1594" s="53"/>
      <c r="E1594" s="53"/>
      <c r="F1594" s="53"/>
      <c r="H1594" s="53"/>
      <c r="I1594" s="53"/>
      <c r="J1594" s="53"/>
      <c r="K1594" s="53"/>
      <c r="L1594" s="53"/>
    </row>
    <row r="1595" spans="1:12" ht="16" ns3:dyDescent="0.2">
      <c r="A1595" s="1" t="s">
        <v>10</v>
      </c>
      <c r="B1595" s="53"/>
      <c r="C1595" s="53"/>
      <c r="D1595" s="53"/>
      <c r="E1595" s="53"/>
      <c r="F1595" s="53"/>
      <c r="H1595" s="53"/>
      <c r="I1595" s="53"/>
      <c r="J1595" s="53"/>
      <c r="K1595" s="53"/>
      <c r="L1595" s="53"/>
    </row>
    <row r="1596" spans="1:12" ns3:dyDescent="0.2">
      <c r="A1596" s="53" t="s">
        <v>11</v>
      </c>
      <c r="B1596" s="53" t="s">
        <v>12</v>
      </c>
      <c r="C1596" s="53" t="s">
        <v>1</v>
      </c>
      <c r="D1596" s="53" t="s">
        <v>6</v>
      </c>
      <c r="E1596" s="53" t="s">
        <v>13</v>
      </c>
      <c r="F1596" s="53" t="s">
        <v>4</v>
      </c>
      <c r="G1596" s="50" t="s">
        <v>9</v>
      </c>
      <c r="H1596" s="53" t="s">
        <v>3</v>
      </c>
      <c r="I1596" s="53"/>
      <c r="J1596" s="53"/>
      <c r="K1596" s="53"/>
    </row>
    <row r="1597" spans="1:12" ns3:dyDescent="0.2">
      <c r="A1597" s="53" t="str">
        <f>B1589</f>
        <v>renewable waste, burned in industrial furnace</v>
      </c>
      <c r="B1597" s="53">
        <v>1</v>
      </c>
      <c r="C1597" s="53" t="str">
        <f>B1590</f>
        <v>CH</v>
      </c>
      <c r="D1597" s="53" t="str">
        <f>B1594</f>
        <v>megajoule</v>
      </c>
      <c r="E1597" s="53"/>
      <c r="F1597" s="53" t="s">
        <v>15</v>
      </c>
      <c r="H1597" s="53" t="str">
        <f>B1592</f>
        <v>heat</v>
      </c>
      <c r="I1597" s="53"/>
      <c r="J1597" s="53"/>
      <c r="K1597" s="53"/>
      <c r="L1597" s="53"/>
    </row>
    <row r="1598" spans="1:12" ns3:dyDescent="0.2">
      <c r="A1598" s="53" t="s">
        <v>130</v>
      </c>
      <c r="B1598">
        <f>1/4.28</f>
        <v>0.23364485981308411</v>
      </c>
      <c r="C1598" t="s">
        <v>104</v>
      </c>
      <c r="D1598" t="s">
        <v>17</v>
      </c>
      <c r="F1598" t="s">
        <v>18</v>
      </c>
      <c r="H1598" t="s">
        <v>130</v>
      </c>
    </row>
    <row r="1599" spans="1:12" ns3:dyDescent="0.2">
      <c r="B1599"/>
    </row>
    <row r="1600" spans="1:12" ht="16" ns3:dyDescent="0.2">
      <c r="A1600" s="1" t="s">
        <v>0</v>
      </c>
      <c r="B1600" s="1" t="s">
        <v>324</v>
      </c>
      <c r="C1600" s="53"/>
      <c r="D1600" s="53"/>
      <c r="E1600" s="53"/>
      <c r="F1600" s="53"/>
      <c r="H1600" s="53"/>
    </row>
    <row r="1601" spans="1:12" ns3:dyDescent="0.2">
      <c r="A1601" s="53" t="s">
        <v>1</v>
      </c>
      <c r="B1601" s="53" t="s">
        <v>104</v>
      </c>
      <c r="C1601" s="53"/>
      <c r="D1601" s="53"/>
      <c r="E1601" s="53"/>
      <c r="F1601" s="53"/>
      <c r="H1601" s="53"/>
      <c r="I1601" s="53"/>
      <c r="J1601" s="53"/>
      <c r="K1601" s="53"/>
      <c r="L1601" s="53"/>
    </row>
    <row r="1602" spans="1:12" ns3:dyDescent="0.2">
      <c r="A1602" s="53" t="s">
        <v>2</v>
      </c>
      <c r="B1602" s="53">
        <v>1</v>
      </c>
      <c r="C1602" s="53"/>
      <c r="D1602" s="53"/>
      <c r="E1602" s="53"/>
      <c r="F1602" s="53"/>
      <c r="H1602" s="53"/>
      <c r="I1602" s="53"/>
      <c r="J1602" s="53"/>
      <c r="K1602" s="53"/>
      <c r="L1602" s="53"/>
    </row>
    <row r="1603" spans="1:12" ns3:dyDescent="0.2">
      <c r="A1603" s="53" t="s">
        <v>3</v>
      </c>
      <c r="B1603" s="53" t="s">
        <v>285</v>
      </c>
      <c r="C1603" s="53"/>
      <c r="D1603" s="53"/>
      <c r="E1603" s="53"/>
      <c r="F1603" s="53"/>
      <c r="H1603" s="53"/>
      <c r="I1603" s="53"/>
      <c r="J1603" s="53"/>
    </row>
    <row r="1604" spans="1:12" ns3:dyDescent="0.2">
      <c r="A1604" s="53" t="s">
        <v>4</v>
      </c>
      <c r="B1604" s="53" t="s">
        <v>5</v>
      </c>
      <c r="C1604" s="53"/>
      <c r="D1604" s="53"/>
      <c r="E1604" s="53"/>
      <c r="F1604" s="53"/>
      <c r="H1604" s="53"/>
      <c r="I1604" s="53"/>
      <c r="J1604" s="53"/>
      <c r="K1604" s="53"/>
      <c r="L1604" s="53"/>
    </row>
    <row r="1605" spans="1:12" ns3:dyDescent="0.2">
      <c r="A1605" s="53" t="s">
        <v>6</v>
      </c>
      <c r="B1605" s="53" t="s">
        <v>17</v>
      </c>
      <c r="C1605" s="53"/>
      <c r="D1605" s="53"/>
      <c r="E1605" s="53"/>
      <c r="F1605" s="53"/>
      <c r="H1605" s="53"/>
      <c r="I1605" s="53"/>
      <c r="J1605" s="53"/>
      <c r="K1605" s="53"/>
      <c r="L1605" s="53"/>
    </row>
    <row r="1606" spans="1:12" ht="16" ns3:dyDescent="0.2">
      <c r="A1606" s="1" t="s">
        <v>10</v>
      </c>
      <c r="B1606" s="53"/>
      <c r="C1606" s="53"/>
      <c r="D1606" s="53"/>
      <c r="E1606" s="53"/>
      <c r="F1606" s="53"/>
      <c r="H1606" s="53"/>
      <c r="I1606" s="53"/>
      <c r="J1606" s="53"/>
      <c r="K1606" s="53"/>
      <c r="L1606" s="53"/>
    </row>
    <row r="1607" spans="1:12" ns3:dyDescent="0.2">
      <c r="A1607" s="53" t="s">
        <v>11</v>
      </c>
      <c r="B1607" s="53" t="s">
        <v>12</v>
      </c>
      <c r="C1607" s="53" t="s">
        <v>1</v>
      </c>
      <c r="D1607" s="53" t="s">
        <v>6</v>
      </c>
      <c r="E1607" s="53" t="s">
        <v>13</v>
      </c>
      <c r="F1607" s="53" t="s">
        <v>4</v>
      </c>
      <c r="G1607" s="50" t="s">
        <v>9</v>
      </c>
      <c r="H1607" s="53" t="s">
        <v>3</v>
      </c>
      <c r="I1607" s="53"/>
      <c r="J1607" s="53"/>
      <c r="K1607" s="53"/>
    </row>
    <row r="1608" spans="1:12" ns3:dyDescent="0.2">
      <c r="A1608" s="53" t="str">
        <f>B1600</f>
        <v>solar energy, from industrial hot water tank</v>
      </c>
      <c r="B1608" s="53">
        <v>1</v>
      </c>
      <c r="C1608" s="53" t="str">
        <f>B1601</f>
        <v>CH</v>
      </c>
      <c r="D1608" s="53" t="str">
        <f>B1605</f>
        <v>megajoule</v>
      </c>
      <c r="E1608" s="53"/>
      <c r="F1608" s="53" t="s">
        <v>15</v>
      </c>
      <c r="H1608" s="53" t="str">
        <f>B1603</f>
        <v>heat</v>
      </c>
      <c r="I1608" s="53"/>
      <c r="J1608" s="53"/>
      <c r="K1608" s="53"/>
      <c r="L1608" s="53"/>
    </row>
    <row r="1609" spans="1:12" ns3:dyDescent="0.2">
      <c r="A1609" s="53" t="s">
        <v>325</v>
      </c>
      <c r="B1609">
        <f>1/0.28851</f>
        <v>3.4660843644934318</v>
      </c>
      <c r="C1609" t="s">
        <v>104</v>
      </c>
      <c r="D1609" t="s">
        <v>17</v>
      </c>
      <c r="F1609" t="s">
        <v>18</v>
      </c>
      <c r="H1609" t="s">
        <v>326</v>
      </c>
    </row>
    <row r="1610" spans="1:12" ns3:dyDescent="0.2">
      <c r="B1610"/>
    </row>
    <row r="1611" spans="1:15" ht="16" ns3:dyDescent="0.2">
      <c r="A1611" s="1" t="s">
        <v>0</v>
      </c>
      <c r="B1611" s="1" t="s">
        <v>336</v>
      </c>
      <c r="C1611" s="53"/>
      <c r="D1611" s="53"/>
      <c r="E1611" s="53"/>
      <c r="F1611" s="53"/>
      <c r="H1611" s="53"/>
    </row>
    <row r="1612" spans="1:15" ns3:dyDescent="0.2">
      <c r="A1612" s="53" t="s">
        <v>1</v>
      </c>
      <c r="B1612" s="53" t="s">
        <v>104</v>
      </c>
      <c r="C1612" s="53"/>
      <c r="D1612" s="53"/>
      <c r="E1612" s="53"/>
      <c r="F1612" s="53"/>
      <c r="H1612" s="53"/>
      <c r="I1612" s="53"/>
      <c r="J1612" s="53"/>
      <c r="K1612" s="53"/>
      <c r="L1612" s="53"/>
    </row>
    <row r="1613" spans="1:15" ns3:dyDescent="0.2">
      <c r="A1613" s="53" t="s">
        <v>2</v>
      </c>
      <c r="B1613" s="53">
        <v>1</v>
      </c>
      <c r="C1613" s="53"/>
      <c r="D1613" s="53"/>
      <c r="E1613" s="53"/>
      <c r="F1613" s="53"/>
      <c r="H1613" s="53"/>
      <c r="I1613" s="53"/>
      <c r="J1613" s="53"/>
      <c r="K1613" s="53"/>
      <c r="L1613" s="53"/>
    </row>
    <row r="1614" spans="1:15" ns3:dyDescent="0.2">
      <c r="A1614" s="53" t="s">
        <v>3</v>
      </c>
      <c r="B1614" s="53" t="s">
        <v>285</v>
      </c>
      <c r="C1614" s="53"/>
      <c r="D1614" s="53"/>
      <c r="E1614" s="53"/>
      <c r="F1614" s="53"/>
      <c r="H1614" s="53"/>
      <c r="I1614" s="53"/>
      <c r="J1614" s="53"/>
    </row>
    <row r="1615" spans="1:15" ns3:dyDescent="0.2">
      <c r="A1615" s="53" t="s">
        <v>4</v>
      </c>
      <c r="B1615" s="53" t="s">
        <v>5</v>
      </c>
      <c r="C1615" s="53"/>
      <c r="D1615" s="53"/>
      <c r="E1615" s="53"/>
      <c r="F1615" s="53"/>
      <c r="H1615" s="53"/>
      <c r="I1615" s="53"/>
      <c r="J1615" s="53"/>
      <c r="K1615" s="53"/>
      <c r="L1615" s="53"/>
    </row>
    <row r="1616" spans="1:15" ns3:dyDescent="0.2">
      <c r="A1616" s="53" t="s">
        <v>6</v>
      </c>
      <c r="B1616" s="53" t="s">
        <v>17</v>
      </c>
      <c r="C1616" s="53"/>
      <c r="D1616" s="53"/>
      <c r="E1616" s="53"/>
      <c r="F1616" s="53"/>
      <c r="H1616" s="53"/>
      <c r="I1616" s="53"/>
      <c r="J1616" s="53"/>
      <c r="K1616" s="53"/>
      <c r="L1616" s="53"/>
    </row>
    <row r="1617" spans="1:15" ht="16" ns3:dyDescent="0.2">
      <c r="A1617" s="1" t="s">
        <v>10</v>
      </c>
      <c r="B1617" s="53"/>
      <c r="C1617" s="53"/>
      <c r="D1617" s="53"/>
      <c r="E1617" s="53"/>
      <c r="F1617" s="53"/>
      <c r="H1617" s="53"/>
      <c r="I1617" s="53"/>
      <c r="J1617" s="53"/>
      <c r="K1617" s="53"/>
      <c r="L1617" s="53"/>
    </row>
    <row r="1618" spans="1:15" ns3:dyDescent="0.2">
      <c r="A1618" s="53" t="s">
        <v>11</v>
      </c>
      <c r="B1618" s="53" t="s">
        <v>12</v>
      </c>
      <c r="C1618" s="53" t="s">
        <v>1</v>
      </c>
      <c r="D1618" s="53" t="s">
        <v>6</v>
      </c>
      <c r="E1618" s="53" t="s">
        <v>13</v>
      </c>
      <c r="F1618" s="53" t="s">
        <v>4</v>
      </c>
      <c r="G1618" s="50" t="s">
        <v>9</v>
      </c>
      <c r="H1618" s="53" t="s">
        <v>3</v>
      </c>
      <c r="I1618" s="53"/>
      <c r="J1618" s="53"/>
      <c r="K1618" s="53"/>
    </row>
    <row r="1619" spans="1:15" ns3:dyDescent="0.2">
      <c r="A1619" s="53" t="str">
        <f>B1611</f>
        <v>hydrogen burned, in hydrogen boiler</v>
      </c>
      <c r="B1619" s="53">
        <v>1</v>
      </c>
      <c r="C1619" s="53" t="str">
        <f>B1612</f>
        <v>CH</v>
      </c>
      <c r="D1619" s="53" t="str">
        <f>B1616</f>
        <v>megajoule</v>
      </c>
      <c r="E1619" s="53"/>
      <c r="F1619" s="53" t="s">
        <v>15</v>
      </c>
      <c r="H1619" s="53" t="str">
        <f>B1614</f>
        <v>heat</v>
      </c>
      <c r="I1619" s="53"/>
      <c r="J1619" s="53"/>
      <c r="K1619" s="53"/>
      <c r="L1619" s="53"/>
    </row>
    <row r="1620" spans="1:15" ns3:dyDescent="0.2">
      <c r="A1620" t="s">
        <v>331</v>
      </c>
      <c r="B1620" s="3">
        <v>4.4004494642869032E-7</v>
      </c>
      <c r="C1620" t="s">
        <v>24</v>
      </c>
      <c r="D1620" t="s">
        <v>6</v>
      </c>
      <c r="F1620" t="s">
        <v>18</v>
      </c>
      <c r="H1620" t="s">
        <v>330</v>
      </c>
    </row>
    <row r="1621" spans="1:15" ns3:dyDescent="0.2">
      <c r="A1621" t="s">
        <v>334</v>
      </c>
      <c r="B1621" s="3">
        <v>8.8008989285738064E-7</v>
      </c>
      <c r="C1621" t="s">
        <v>24</v>
      </c>
      <c r="D1621" t="s">
        <v>332</v>
      </c>
      <c r="F1621" t="s">
        <v>18</v>
      </c>
      <c r="H1621" t="s">
        <v>333</v>
      </c>
    </row>
    <row r="1622" spans="1:15" ns3:dyDescent="0.2">
      <c r="A1622" t="s">
        <v>288</v>
      </c>
      <c r="B1622">
        <v>8.1068656716417958E-4</v>
      </c>
      <c r="C1622" t="s">
        <v>104</v>
      </c>
      <c r="D1622" t="s">
        <v>126</v>
      </c>
      <c r="F1622" t="s">
        <v>18</v>
      </c>
      <c r="H1622" t="s">
        <v>287</v>
      </c>
    </row>
    <row r="1623" spans="1:15" s="55" customFormat="1" ht="16" ns3:dyDescent="0.2">
      <c r="A1623" s="53" t="s">
        <v>491</v>
      </c>
      <c r="B1623" s="59">
        <f>1/120</f>
        <v>8.3333333333333332E-3</v>
      </c>
      <c r="C1623" s="55" t="s">
        <v>103</v>
      </c>
      <c r="D1623" s="55" t="s">
        <v>7</v>
      </c>
      <c r="F1623" s="55" t="s">
        <v>18</v>
      </c>
      <c r="H1623" s="53" t="s">
        <v>492</v>
      </c>
      <c r="K1623" s="57"/>
      <c r="L1623"/>
      <c r="M1623"/>
      <c r="O1623" s="56"/>
    </row>
    <row r="1624" spans="1:15" ns3:dyDescent="0.2">
      <c r="A1624" s="53" t="s">
        <v>228</v>
      </c>
      <c r="B1624" s="54">
        <v>7.4626865671641873E-5</v>
      </c>
      <c r="C1624" s="53"/>
      <c r="D1624" s="53" t="s">
        <v>37</v>
      </c>
      <c r="E1624" s="53" t="s">
        <v>136</v>
      </c>
      <c r="F1624" t="s">
        <v>27</v>
      </c>
      <c r="H1624" s="53"/>
      <c r="I1624" s="53"/>
      <c r="J1624" s="53"/>
      <c r="K1624" s="53"/>
      <c r="L1624" s="53"/>
    </row>
    <row r="1625" spans="1:15" ns3:dyDescent="0.2">
      <c r="A1625" s="53" t="s">
        <v>215</v>
      </c>
      <c r="B1625" s="54">
        <v>7.669983416252073E-6</v>
      </c>
      <c r="C1625" s="53"/>
      <c r="D1625" s="53" t="s">
        <v>7</v>
      </c>
      <c r="E1625" s="53" t="s">
        <v>136</v>
      </c>
      <c r="F1625" t="s">
        <v>27</v>
      </c>
      <c r="H1625" s="53"/>
      <c r="I1625" s="53"/>
      <c r="J1625" s="53"/>
      <c r="K1625" s="53"/>
      <c r="L1625" s="53"/>
    </row>
    <row r="1626" spans="1:15" ns3:dyDescent="0.2">
      <c r="A1626" s="53" t="s">
        <v>335</v>
      </c>
      <c r="B1626" s="54">
        <v>4.1459369817577878E-5</v>
      </c>
      <c r="C1626" s="53"/>
      <c r="D1626" s="53" t="s">
        <v>7</v>
      </c>
      <c r="E1626" s="53" t="s">
        <v>136</v>
      </c>
      <c r="F1626" t="s">
        <v>27</v>
      </c>
      <c r="H1626" s="53"/>
      <c r="I1626" s="53"/>
      <c r="J1626" s="53"/>
    </row>
    <row r="1627" spans="1:12" ns3:dyDescent="0.2">
      <c r="A1627" s="53"/>
      <c r="B1627" s="53"/>
      <c r="C1627" s="53"/>
      <c r="D1627" s="53"/>
      <c r="E1627" s="53"/>
      <c r="F1627" s="53"/>
      <c r="H1627" s="53"/>
      <c r="I1627" s="53"/>
      <c r="J1627" s="53"/>
      <c r="K1627" s="53"/>
      <c r="L1627" s="53"/>
    </row>
    <row r="1628">
      <c r="A1628" t="inlineStr">
        <is>
          <t>Activity</t>
        </is>
      </c>
      <c r="B1628" t="inlineStr">
        <is>
          <t>electricity, used in residential electric boiler</t>
        </is>
      </c>
    </row>
    <row r="1629">
      <c r="A1629" t="inlineStr">
        <is>
          <t>location</t>
        </is>
      </c>
      <c r="B1629" t="inlineStr">
        <is>
          <t>CH</t>
        </is>
      </c>
    </row>
    <row r="1630">
      <c r="A1630" t="inlineStr">
        <is>
          <t>production amount</t>
        </is>
      </c>
      <c r="B1630">
        <v>1</v>
      </c>
    </row>
    <row r="1631">
      <c r="A1631" t="inlineStr">
        <is>
          <t>reference product</t>
        </is>
      </c>
      <c r="B1631" t="inlineStr">
        <is>
          <t>electricity, low voltage</t>
        </is>
      </c>
    </row>
    <row r="1632">
      <c r="A1632" t="inlineStr">
        <is>
          <t>type</t>
        </is>
      </c>
      <c r="B1632" t="inlineStr">
        <is>
          <t>process</t>
        </is>
      </c>
    </row>
    <row r="1633">
      <c r="A1633" t="inlineStr">
        <is>
          <t>unit</t>
        </is>
      </c>
      <c r="B1633" t="inlineStr">
        <is>
          <t>megajoule</t>
        </is>
      </c>
    </row>
    <row r="1634">
      <c r="A1634" t="inlineStr">
        <is>
          <t>electric boiler equipment</t>
        </is>
      </c>
      <c r="B1634" t="inlineStr">
        <is>
          <t>{"model": "CTC EL 9", "name": "electricity, used in residential electric boiler", "power_kW": 9, "mass_kg": 9.3, "lifetime_years": 20, "lifetime_range": [20, 25], "material_fractions": {"stainless": 0.577, "brass": 0.041, "electronics": 0.207, "rubber": 0.089, "unmodelled": 0.086}, "source_ids": ["ctc_bvd", "ctc_manual"], "limitations": ["EU resistance-flow heater proxy; Swiss installed technology mix is unknown.", "Steel group represented by 18/8 stainless; actual steel grades and their split are not disclosed.", "Cable/electronics mass uses generic control-unit electronics; unidentified 8.6% remains unmodelled. The control-unit composition is an LCI proxy, not a measured split.", "Installation, circulation pump and manufacturing assembly energy are not quantified by the declaration."], "pathway": "FE_residential_space_heating_electric_boiler", "capacity_variable": "Space and water heat boiler capacity in Residential sector|Space heating|Electricty|Electric boiler", "energy_variable": "Fuel consumption in Residential sector|Electricity|Space heating|Electric boiler", "id": "residential_space", "sources": {"ctc_bvd": {"url": "https://ctc.no/file-download/a9a26013a5c285864d4ad53326bec18c.pdf", "sha256": "8b279c4c47d0e0c1c239d98dea2952f67fade9527b9fcec1e38bd8e0bc6c423a", "locator": "BVD-0045 to BVD-0047, 2022-01-10, material declarations and 20–25 year technical life"}, "ctc_manual": {"url": "https://ctc.se/file-download/97d743f2ce1f34e17d2586fda373f7de.pdf", "sha256": "27c305afaf9e86a445d278b409566a064093ccf6831bc3a7fdb837d533c3b23e", "locator": "Section 3; EL 9 net mass 9.3 kg, EL 42 net mass 33 kg; element EN 1.4404, tube EN 1.4301"}}, "boundary": "Dedicated electric heating equipment only; building fabric and heat-distribution networks excluded.", "hardware": ["electric boiler equipment production, CTC EL 9", "CTC EL 9", "RER", "unit"], "materials_kg": {"stainless": 5.3661, "brass": 0.38130000000000003, "electronics": 1.9251, "rubber": 0.8277, "unmodelled": 0.7998}, "material_suppliers": {"stainless": ["market for steel, chromium steel 18/8", "steel, chromium steel 18/8", "GLO", "kilogram"], "brass": ["market for brass", "brass", "RoW", "kilogram"], "electronics": ["market for electronics, for control units", "electronics, for control units", "GLO", "kilogram"], "rubber": ["market for synthetic rubber", "synthetic rubber", "GLO", "kilogram"]}, "unmodelled_mass_kg": 0.7998}</t>
        </is>
      </c>
    </row>
    <row r="1635">
      <c r="A1635" t="inlineStr">
        <is>
          <t>comment</t>
        </is>
      </c>
      <c r="B1635" t="inlineStr">
        <is>
          <t>Consumes exactly 1 MJ final electricity. Baseline hardware allocation uses SPS1/2020 installed capacity divided by annual electricity and lifetime; the build adapter replaces this for every scenario/year. EU resistance-flow heater proxy; Swiss installed technology mix is unknown. Steel group represented by 18/8 stainless; actual steel grades and their split are not disclosed. Cable/electronics mass uses generic control-unit electronics; unidentified 8.6% remains unmodelled. The control-unit composition is an LCI proxy, not a measured split. Installation, circulation pump and manufacturing assembly energy are not quantified by the declaration.</t>
        </is>
      </c>
    </row>
    <row r="1636">
      <c r="A1636" t="inlineStr">
        <is>
          <t>Exchanges</t>
        </is>
      </c>
    </row>
    <row r="1637">
      <c r="A1637" t="inlineStr">
        <is>
          <t>name</t>
        </is>
      </c>
      <c r="B1637" t="inlineStr">
        <is>
          <t>amount</t>
        </is>
      </c>
      <c r="C1637" t="inlineStr">
        <is>
          <t>location</t>
        </is>
      </c>
      <c r="D1637" t="inlineStr">
        <is>
          <t>unit</t>
        </is>
      </c>
      <c r="E1637" t="inlineStr">
        <is>
          <t>categories</t>
        </is>
      </c>
      <c r="F1637" t="inlineStr">
        <is>
          <t>type</t>
        </is>
      </c>
      <c r="G1637" t="inlineStr">
        <is>
          <t>reference product</t>
        </is>
      </c>
      <c r="H1637" t="inlineStr">
        <is>
          <t>comment</t>
        </is>
      </c>
      <c r="I1637" t="inlineStr">
        <is>
          <t>uncertainty type</t>
        </is>
      </c>
    </row>
    <row r="1638">
      <c r="A1638" t="inlineStr">
        <is>
          <t>electricity, used in residential electric boiler</t>
        </is>
      </c>
      <c r="B1638">
        <v>1</v>
      </c>
      <c r="C1638" t="inlineStr">
        <is>
          <t>CH</t>
        </is>
      </c>
      <c r="D1638" t="inlineStr">
        <is>
          <t>megajoule</t>
        </is>
      </c>
      <c r="F1638" t="inlineStr">
        <is>
          <t>production</t>
        </is>
      </c>
      <c r="G1638" t="inlineStr">
        <is>
          <t>electricity, low voltage</t>
        </is>
      </c>
    </row>
    <row r="1639">
      <c r="A1639" t="inlineStr">
        <is>
          <t>market for electricity, low voltage</t>
        </is>
      </c>
      <c r="B1639">
        <v>0.2777777777777778</v>
      </c>
      <c r="C1639" t="inlineStr">
        <is>
          <t>CH</t>
        </is>
      </c>
      <c r="D1639" t="inlineStr">
        <is>
          <t>kilowatt hour</t>
        </is>
      </c>
      <c r="F1639" t="inlineStr">
        <is>
          <t>technosphere</t>
        </is>
      </c>
      <c r="G1639" t="inlineStr">
        <is>
          <t>electricity, low voltage</t>
        </is>
      </c>
    </row>
    <row r="1640">
      <c r="A1640" t="inlineStr">
        <is>
          <t>electric boiler equipment production, CTC EL 9</t>
        </is>
      </c>
      <c r="B1640">
        <v>3.984801568585644e-07</v>
      </c>
      <c r="C1640" t="inlineStr">
        <is>
          <t>RER</t>
        </is>
      </c>
      <c r="D1640" t="inlineStr">
        <is>
          <t>unit</t>
        </is>
      </c>
      <c r="F1640" t="inlineStr">
        <is>
          <t>technosphere</t>
        </is>
      </c>
      <c r="G1640" t="inlineStr">
        <is>
          <t>CTC EL 9</t>
        </is>
      </c>
    </row>
    <row r="1641"/>
    <row r="1642" spans="1:12" ht="16" ns3:dyDescent="0.2">
      <c r="A1642" s="1" t="s">
        <v>0</v>
      </c>
      <c r="B1642" s="1" t="s">
        <v>340</v>
      </c>
      <c r="C1642" s="53"/>
      <c r="D1642" s="53"/>
      <c r="E1642" s="53"/>
      <c r="F1642" s="53"/>
      <c r="G1642" s="53"/>
      <c r="H1642" s="53"/>
    </row>
    <row r="1643" spans="1:12" ns3:dyDescent="0.2">
      <c r="A1643" s="53" t="s">
        <v>1</v>
      </c>
      <c r="B1643" s="53" t="s">
        <v>104</v>
      </c>
      <c r="C1643" s="53"/>
      <c r="D1643" s="53"/>
      <c r="E1643" s="53"/>
      <c r="F1643" s="53"/>
      <c r="G1643" s="53"/>
      <c r="H1643" s="53"/>
      <c r="I1643" s="53"/>
      <c r="J1643" s="53"/>
      <c r="K1643" s="53"/>
      <c r="L1643" s="53"/>
    </row>
    <row r="1644" spans="1:12" ns3:dyDescent="0.2">
      <c r="A1644" s="53" t="s">
        <v>2</v>
      </c>
      <c r="B1644" s="53">
        <v>1</v>
      </c>
      <c r="C1644" s="53"/>
      <c r="D1644" s="53"/>
      <c r="E1644" s="53"/>
      <c r="F1644" s="53"/>
      <c r="G1644" s="53"/>
      <c r="H1644" s="53"/>
      <c r="I1644" s="53"/>
      <c r="J1644" s="53"/>
      <c r="K1644" s="53"/>
      <c r="L1644" s="53"/>
    </row>
    <row r="1645" spans="1:12" ns3:dyDescent="0.2">
      <c r="A1645" s="53" t="s">
        <v>3</v>
      </c>
      <c r="B1645" s="53" t="s">
        <v>287</v>
      </c>
      <c r="C1645" s="53"/>
      <c r="D1645" s="53"/>
      <c r="E1645" s="53"/>
      <c r="F1645" s="53"/>
      <c r="G1645" s="53"/>
      <c r="H1645" s="53"/>
      <c r="I1645" s="53"/>
      <c r="J1645" s="53"/>
    </row>
    <row r="1646" spans="1:12" ns3:dyDescent="0.2">
      <c r="A1646" s="53" t="s">
        <v>4</v>
      </c>
      <c r="B1646" s="53" t="s">
        <v>5</v>
      </c>
      <c r="C1646" s="53"/>
      <c r="D1646" s="53"/>
      <c r="E1646" s="53"/>
      <c r="F1646" s="53"/>
      <c r="G1646" s="53"/>
      <c r="H1646" s="53"/>
      <c r="I1646" s="53"/>
      <c r="J1646" s="53"/>
      <c r="K1646" s="53"/>
      <c r="L1646" s="53"/>
    </row>
    <row r="1647" spans="1:12" ns3:dyDescent="0.2">
      <c r="A1647" s="53" t="s">
        <v>6</v>
      </c>
      <c r="B1647" s="53" t="s">
        <v>17</v>
      </c>
      <c r="C1647" s="53"/>
      <c r="D1647" s="53"/>
      <c r="E1647" s="53"/>
      <c r="F1647" s="53"/>
      <c r="G1647" s="53"/>
      <c r="H1647" s="53"/>
      <c r="I1647" s="53"/>
      <c r="J1647" s="53"/>
      <c r="K1647" s="53"/>
      <c r="L1647" s="53"/>
    </row>
    <row r="1648" spans="1:12" ht="16" ns3:dyDescent="0.2">
      <c r="A1648" s="1" t="s">
        <v>10</v>
      </c>
      <c r="B1648" s="53"/>
      <c r="C1648" s="53"/>
      <c r="D1648" s="53"/>
      <c r="E1648" s="53"/>
      <c r="F1648" s="53"/>
      <c r="G1648" s="53"/>
      <c r="H1648" s="53"/>
      <c r="I1648" s="53"/>
      <c r="J1648" s="53"/>
      <c r="K1648" s="53"/>
      <c r="L1648" s="53"/>
    </row>
    <row r="1649" spans="1:12" ns3:dyDescent="0.2">
      <c r="A1649" s="53" t="s">
        <v>11</v>
      </c>
      <c r="B1649" s="53" t="s">
        <v>12</v>
      </c>
      <c r="C1649" s="53" t="s">
        <v>1</v>
      </c>
      <c r="D1649" s="53" t="s">
        <v>6</v>
      </c>
      <c r="E1649" s="53" t="s">
        <v>13</v>
      </c>
      <c r="F1649" s="53" t="s">
        <v>4</v>
      </c>
      <c r="G1649" s="50" t="s">
        <v>9</v>
      </c>
      <c r="H1649" s="53" t="s">
        <v>3</v>
      </c>
      <c r="I1649" s="53"/>
      <c r="J1649" s="53"/>
      <c r="K1649" s="53"/>
    </row>
    <row r="1650" spans="1:12" ns3:dyDescent="0.2">
      <c r="A1650" s="53" t="str">
        <f>B1642</f>
        <v>electricity, used in residential heat pump</v>
      </c>
      <c r="B1650" s="53">
        <v>1</v>
      </c>
      <c r="C1650" s="53" t="str">
        <f>B1643</f>
        <v>CH</v>
      </c>
      <c r="D1650" s="53" t="str">
        <f>B1647</f>
        <v>megajoule</v>
      </c>
      <c r="E1650" s="53"/>
      <c r="F1650" s="53" t="s">
        <v>15</v>
      </c>
      <c r="H1650" s="53" t="str">
        <f>B1645</f>
        <v>electricity, low voltage</v>
      </c>
      <c r="I1650" s="53"/>
      <c r="J1650" s="53"/>
      <c r="K1650" s="53"/>
      <c r="L1650" s="53"/>
    </row>
    <row r="1651" spans="1:12" ns3:dyDescent="0.2">
      <c r="A1651" s="53" t="s">
        <v>291</v>
      </c>
      <c r="B1651" s="2">
        <f>1/0.357</f>
        <v>2.801120448179272</v>
      </c>
      <c r="C1651" t="s">
        <v>104</v>
      </c>
      <c r="D1651" t="s">
        <v>17</v>
      </c>
      <c r="F1651" t="s">
        <v>18</v>
      </c>
      <c r="H1651" t="s">
        <v>292</v>
      </c>
    </row>
    <row r="1652" spans="1:12" ns3:dyDescent="0.2">
      <c r="A1652" t="s">
        <v>482</v>
      </c>
      <c r="B1652" s="2">
        <v>2</v>
      </c>
      <c r="D1652" t="s">
        <v>17</v>
      </c>
      <c r="E1652" t="s">
        <v>485</v>
      </c>
      <c r="F1652" t="s">
        <v>27</v>
      </c>
    </row>
    <row r="1653" spans="1:12" ns3:dyDescent="0.2">
      <c r="A1653" s="53"/>
      <c r="B1653"/>
    </row>
    <row r="1654">
      <c r="A1654" t="inlineStr">
        <is>
          <t>Activity</t>
        </is>
      </c>
      <c r="B1654" t="inlineStr">
        <is>
          <t>electricity, used in residential electric appliances</t>
        </is>
      </c>
    </row>
    <row r="1655">
      <c r="A1655" t="inlineStr">
        <is>
          <t>location</t>
        </is>
      </c>
      <c r="B1655" t="inlineStr">
        <is>
          <t>CH</t>
        </is>
      </c>
    </row>
    <row r="1656">
      <c r="A1656" t="inlineStr">
        <is>
          <t>production amount</t>
        </is>
      </c>
      <c r="B1656">
        <v>1</v>
      </c>
    </row>
    <row r="1657">
      <c r="A1657" t="inlineStr">
        <is>
          <t>reference product</t>
        </is>
      </c>
      <c r="B1657" t="inlineStr">
        <is>
          <t>electricity, low voltage</t>
        </is>
      </c>
    </row>
    <row r="1658">
      <c r="A1658" t="inlineStr">
        <is>
          <t>type</t>
        </is>
      </c>
      <c r="B1658" t="inlineStr">
        <is>
          <t>process</t>
        </is>
      </c>
    </row>
    <row r="1659">
      <c r="A1659" t="inlineStr">
        <is>
          <t>unit</t>
        </is>
      </c>
      <c r="B1659" t="inlineStr">
        <is>
          <t>megajoule</t>
        </is>
      </c>
    </row>
    <row r="1660">
      <c r="A1660" t="inlineStr">
        <is>
          <t>aggregate electric equipment</t>
        </is>
      </c>
      <c r="B1660" t="inlineStr">
        <is>
          <t>{"pathway": "FE_residential_FE_other_electric", "name": "electricity, used in residential electric appliances", "energy_PJ": {"lighting": 5.0, "refrigerator": 5.6, "washer": 4.5, "dishwasher": 2.1, "unresolved_HVAC": 4.2, "unresolved_ICT": 6.0, "unresolved_other": 8.4, "unresolved_cooking": 8.2}, "limitations": ["Refrigerator, washer and dishwasher additions contain identifiable copper, cables and circuit boards only. Undifferentiated metal masses are not assigned to motors or heaters.", "Refrigerator represents freezing too; washer represents washing and drying. These proxies do not cover complete functional equipment.", "Appliance lifetimes use the source inventories, respectively 10, 10 and 12.5 years; Swiss stock energy use sets lifetime throughput.", "Lighting uses a CFL proxy. HVAC, ICT, cooking and residual equipment remain gaps."], "id": "residential", "sources": {"swiss_enduse": {"url": "https://pubdb.bfe.admin.ch/de/publication/download/12358", "locator": "Tables 23, 24, 28 and 32, 2020 columns; space/water/process heating excluded from industry/services other electricity."}, "swiss_appliances": {"url": "https://pubdb.bfe.admin.ch/de/publication/download/10742", "locator": "Sections 3.1.3, 3.2 and 3.5; 2020 stock consumption, 214 kWh/year refrigerator, 255 washer, 203 dishwasher. Later editions revise historical values."}, "abb_motor": {"url": "https://library.e.abb.com/public/6d5d9840ca2fa0f3c1256d63003e98bf/EPD%20M3JP180GB.pdf", "locator": "Page 1; M3JP 180MLB, 22 kW shaft output, 93.1% efficiency, 15 years, 5000 hours/year; product material table, excluding wooden packaging."}}, "boundary": "Energy conversion components only; appliance housings, structural frames, buildings and distribution networks excluded.", "interpretation": "Static representative equipment per lifetime MJ; Swiss 2020 energy shares are held constant to 2050, not projected technology shares.", "shares": {"lighting": 0.11363636363636363, "refrigerator": 0.12727272727272726, "washer": 0.10227272727272728, "dishwasher": 0.04772727272727273, "unresolved_HVAC": 0.09545454545454546, "unresolved_ICT": 0.13636363636363635, "unresolved_other": 0.19090909090909092, "unresolved_cooking": 0.18636363636363634}, "components": [{"category": "lighting", "share": 0.11363636363636363, "per_MJ_of_category": 0.002777777777777778, "exchange": {"name": "compact fluorescent lamp production", "product": "compact fluorescent lamp", "location": "GLO", "unit": "unit", "type": "technosphere", "amount": 0.0003156565656565657}}, {"category": "refrigerator", "share": 0.12727272727272726, "per_MJ_of_category": 0.00012980269989615784, "exchange": {"name": "energy equipment production, identified electrical components of refrigerator (SPS)", "product": "energy equipment production, identified electrical components of refrigerator (SPS)", "location": "RER", "unit": "unit", "type": "technosphere", "amount": 1.652034362314736e-05}}, {"category": "washer", "share": 0.10227272727272728, "per_MJ_of_category": 0.00010893246187363834, "exchange": {"name": "energy equipment production, identified electrical components of washer (SPS)", "product": "energy equipment production, identified electrical components of washer (SPS)", "location": "RER", "unit": "unit", "type": "technosphere", "amount": 1.1140819964349376e-05}}, {"category": "dishwasher", "share": 0.04772727272727273, "per_MJ_of_category": 0.00010946907498631637, "exchange": {"name": "energy equipment production, identified electrical components of dishwasher (SPS)", "product": "energy equipment production, identified electrical components of dishwasher (SPS)", "location": "RER", "unit": "unit", "type": "technosphere", "amount": 5.22466039707419e-06}}], "fraction with some identified components": 0.39090909090909093, "fraction without equipment": 0.6090909090909091}</t>
        </is>
      </c>
    </row>
    <row r="1661">
      <c r="A1661" t="inlineStr">
        <is>
          <t>comment</t>
        </is>
      </c>
      <c r="B1661" t="inlineStr">
        <is>
          <t>Energy conversion components only; appliance housings, structural frames, buildings and distribution networks excluded. Static representative equipment per lifetime MJ; Swiss 2020 energy shares are held constant to 2050, not projected technology shares. Refrigerator, washer and dishwasher additions contain identifiable copper, cables and circuit boards only. Undifferentiated metal masses are not assigned to motors or heaters. Refrigerator represents freezing too; washer represents washing and drying. These proxies do not cover complete functional equipment. Appliance lifetimes use the source inventories, respectively 10, 10 and 12.5 years; Swiss stock energy use sets lifetime throughput. Lighting uses a CFL proxy. HVAC, ICT, cooking and residual equipment remain gaps.</t>
        </is>
      </c>
    </row>
    <row r="1662">
      <c r="A1662" t="inlineStr">
        <is>
          <t>Exchanges</t>
        </is>
      </c>
    </row>
    <row r="1663">
      <c r="A1663" t="inlineStr">
        <is>
          <t>name</t>
        </is>
      </c>
      <c r="B1663" t="inlineStr">
        <is>
          <t>amount</t>
        </is>
      </c>
      <c r="C1663" t="inlineStr">
        <is>
          <t>location</t>
        </is>
      </c>
      <c r="D1663" t="inlineStr">
        <is>
          <t>unit</t>
        </is>
      </c>
      <c r="E1663" t="inlineStr">
        <is>
          <t>categories</t>
        </is>
      </c>
      <c r="F1663" t="inlineStr">
        <is>
          <t>type</t>
        </is>
      </c>
      <c r="G1663" t="inlineStr">
        <is>
          <t>reference product</t>
        </is>
      </c>
      <c r="H1663" t="inlineStr">
        <is>
          <t>comment</t>
        </is>
      </c>
      <c r="I1663" t="inlineStr">
        <is>
          <t>uncertainty type</t>
        </is>
      </c>
    </row>
    <row r="1664">
      <c r="A1664" t="inlineStr">
        <is>
          <t>electricity, used in residential electric appliances</t>
        </is>
      </c>
      <c r="B1664">
        <v>1</v>
      </c>
      <c r="C1664" t="inlineStr">
        <is>
          <t>CH</t>
        </is>
      </c>
      <c r="D1664" t="inlineStr">
        <is>
          <t>megajoule</t>
        </is>
      </c>
      <c r="F1664" t="inlineStr">
        <is>
          <t>production</t>
        </is>
      </c>
      <c r="G1664" t="inlineStr">
        <is>
          <t>electricity, low voltage</t>
        </is>
      </c>
    </row>
    <row r="1665">
      <c r="A1665" t="inlineStr">
        <is>
          <t>market for electricity, low voltage</t>
        </is>
      </c>
      <c r="B1665">
        <v>0.2777777777777778</v>
      </c>
      <c r="C1665" t="inlineStr">
        <is>
          <t>CH</t>
        </is>
      </c>
      <c r="D1665" t="inlineStr">
        <is>
          <t>kilowatt hour</t>
        </is>
      </c>
      <c r="F1665" t="inlineStr">
        <is>
          <t>technosphere</t>
        </is>
      </c>
      <c r="G1665" t="inlineStr">
        <is>
          <t>electricity, low voltage</t>
        </is>
      </c>
    </row>
    <row r="1666">
      <c r="A1666" t="inlineStr">
        <is>
          <t>compact fluorescent lamp production</t>
        </is>
      </c>
      <c r="B1666">
        <v>0.0003156565656565657</v>
      </c>
      <c r="C1666" t="inlineStr">
        <is>
          <t>GLO</t>
        </is>
      </c>
      <c r="D1666" t="inlineStr">
        <is>
          <t>unit</t>
        </is>
      </c>
      <c r="F1666" t="inlineStr">
        <is>
          <t>technosphere</t>
        </is>
      </c>
      <c r="G1666" t="inlineStr">
        <is>
          <t>compact fluorescent lamp</t>
        </is>
      </c>
    </row>
    <row r="1667">
      <c r="A1667" t="inlineStr">
        <is>
          <t>energy equipment production, identified electrical components of refrigerator (SPS)</t>
        </is>
      </c>
      <c r="B1667">
        <v>1.652034362314736e-05</v>
      </c>
      <c r="C1667" t="inlineStr">
        <is>
          <t>RER</t>
        </is>
      </c>
      <c r="D1667" t="inlineStr">
        <is>
          <t>unit</t>
        </is>
      </c>
      <c r="F1667" t="inlineStr">
        <is>
          <t>technosphere</t>
        </is>
      </c>
      <c r="G1667" t="inlineStr">
        <is>
          <t>energy equipment production, identified electrical components of refrigerator (SPS)</t>
        </is>
      </c>
    </row>
    <row r="1668">
      <c r="A1668" t="inlineStr">
        <is>
          <t>energy equipment production, identified electrical components of washer (SPS)</t>
        </is>
      </c>
      <c r="B1668">
        <v>1.1140819964349376e-05</v>
      </c>
      <c r="C1668" t="inlineStr">
        <is>
          <t>RER</t>
        </is>
      </c>
      <c r="D1668" t="inlineStr">
        <is>
          <t>unit</t>
        </is>
      </c>
      <c r="F1668" t="inlineStr">
        <is>
          <t>technosphere</t>
        </is>
      </c>
      <c r="G1668" t="inlineStr">
        <is>
          <t>energy equipment production, identified electrical components of washer (SPS)</t>
        </is>
      </c>
    </row>
    <row r="1669">
      <c r="A1669" t="inlineStr">
        <is>
          <t>energy equipment production, identified electrical components of dishwasher (SPS)</t>
        </is>
      </c>
      <c r="B1669">
        <v>5.22466039707419e-06</v>
      </c>
      <c r="C1669" t="inlineStr">
        <is>
          <t>RER</t>
        </is>
      </c>
      <c r="D1669" t="inlineStr">
        <is>
          <t>unit</t>
        </is>
      </c>
      <c r="F1669" t="inlineStr">
        <is>
          <t>technosphere</t>
        </is>
      </c>
      <c r="G1669" t="inlineStr">
        <is>
          <t>energy equipment production, identified electrical components of dishwasher (SPS)</t>
        </is>
      </c>
    </row>
    <row r="1670"/>
    <row r="1671" spans="1:12" ht="16" ns3:dyDescent="0.2">
      <c r="A1671" s="1" t="s">
        <v>0</v>
      </c>
      <c r="B1671" s="1" t="s">
        <v>346</v>
      </c>
      <c r="C1671" s="53"/>
      <c r="D1671" s="53"/>
      <c r="E1671" s="53"/>
      <c r="F1671" s="53"/>
      <c r="G1671" s="53"/>
      <c r="H1671" s="53"/>
    </row>
    <row r="1672" spans="1:12" ns3:dyDescent="0.2">
      <c r="A1672" s="53" t="s">
        <v>1</v>
      </c>
      <c r="B1672" s="53" t="s">
        <v>104</v>
      </c>
      <c r="C1672" s="53"/>
      <c r="D1672" s="53"/>
      <c r="E1672" s="53"/>
      <c r="F1672" s="53"/>
      <c r="G1672" s="53"/>
      <c r="H1672" s="53"/>
      <c r="I1672" s="53"/>
      <c r="J1672" s="53"/>
      <c r="K1672" s="53"/>
      <c r="L1672" s="53"/>
    </row>
    <row r="1673" spans="1:12" ns3:dyDescent="0.2">
      <c r="A1673" s="53" t="s">
        <v>2</v>
      </c>
      <c r="B1673" s="53">
        <v>1</v>
      </c>
      <c r="C1673" s="53"/>
      <c r="D1673" s="53"/>
      <c r="E1673" s="53"/>
      <c r="F1673" s="53"/>
      <c r="G1673" s="53"/>
      <c r="H1673" s="53"/>
      <c r="I1673" s="53"/>
      <c r="J1673" s="53"/>
      <c r="K1673" s="53"/>
      <c r="L1673" s="53"/>
    </row>
    <row r="1674" spans="1:12" ns3:dyDescent="0.2">
      <c r="A1674" s="53" t="s">
        <v>3</v>
      </c>
      <c r="B1674" s="53" t="s">
        <v>285</v>
      </c>
      <c r="C1674" s="53"/>
      <c r="D1674" s="53"/>
      <c r="E1674" s="53"/>
      <c r="F1674" s="53"/>
      <c r="G1674" s="53"/>
      <c r="H1674" s="53"/>
      <c r="I1674" s="53"/>
      <c r="J1674" s="53"/>
    </row>
    <row r="1675" spans="1:12" ns3:dyDescent="0.2">
      <c r="A1675" s="53" t="s">
        <v>4</v>
      </c>
      <c r="B1675" s="53" t="s">
        <v>5</v>
      </c>
      <c r="C1675" s="53"/>
      <c r="D1675" s="53"/>
      <c r="E1675" s="53"/>
      <c r="F1675" s="53"/>
      <c r="G1675" s="53"/>
      <c r="H1675" s="53"/>
      <c r="I1675" s="53"/>
      <c r="J1675" s="53"/>
      <c r="K1675" s="53"/>
      <c r="L1675" s="53"/>
    </row>
    <row r="1676" spans="1:12" ns3:dyDescent="0.2">
      <c r="A1676" s="53" t="s">
        <v>6</v>
      </c>
      <c r="B1676" s="53" t="s">
        <v>17</v>
      </c>
      <c r="C1676" s="53"/>
      <c r="D1676" s="53"/>
      <c r="E1676" s="53"/>
      <c r="F1676" s="53"/>
      <c r="G1676" s="53"/>
      <c r="H1676" s="53"/>
      <c r="I1676" s="53"/>
      <c r="J1676" s="53"/>
      <c r="K1676" s="53"/>
      <c r="L1676" s="53"/>
    </row>
    <row r="1677" spans="1:12" ht="16" ns3:dyDescent="0.2">
      <c r="A1677" s="1" t="s">
        <v>10</v>
      </c>
      <c r="B1677" s="53"/>
      <c r="C1677" s="53"/>
      <c r="D1677" s="53"/>
      <c r="E1677" s="53"/>
      <c r="F1677" s="53"/>
      <c r="G1677" s="53"/>
      <c r="H1677" s="53"/>
      <c r="I1677" s="53"/>
      <c r="J1677" s="53"/>
      <c r="K1677" s="53"/>
      <c r="L1677" s="53"/>
    </row>
    <row r="1678" spans="1:12" ns3:dyDescent="0.2">
      <c r="A1678" s="53" t="s">
        <v>11</v>
      </c>
      <c r="B1678" s="53" t="s">
        <v>12</v>
      </c>
      <c r="C1678" s="53" t="s">
        <v>1</v>
      </c>
      <c r="D1678" s="53" t="s">
        <v>6</v>
      </c>
      <c r="E1678" s="53" t="s">
        <v>13</v>
      </c>
      <c r="F1678" s="53" t="s">
        <v>4</v>
      </c>
      <c r="G1678" s="50" t="s">
        <v>9</v>
      </c>
      <c r="H1678" s="53" t="s">
        <v>3</v>
      </c>
      <c r="I1678" s="53"/>
      <c r="J1678" s="53"/>
      <c r="K1678" s="53"/>
    </row>
    <row r="1679" spans="1:12" ns3:dyDescent="0.2">
      <c r="A1679" s="53" t="str">
        <f>B1671</f>
        <v>light fuel oil, burned in residential 10kW boiler</v>
      </c>
      <c r="B1679" s="53">
        <v>1</v>
      </c>
      <c r="C1679" s="53" t="str">
        <f>B1672</f>
        <v>CH</v>
      </c>
      <c r="D1679" s="53" t="str">
        <f>B1676</f>
        <v>megajoule</v>
      </c>
      <c r="E1679" s="53"/>
      <c r="F1679" s="53" t="s">
        <v>15</v>
      </c>
      <c r="H1679" s="53" t="str">
        <f>B1674</f>
        <v>heat</v>
      </c>
      <c r="I1679" s="53"/>
      <c r="J1679" s="53"/>
      <c r="K1679" s="53"/>
      <c r="L1679" s="53"/>
    </row>
    <row r="1680" spans="1:12" ns3:dyDescent="0.2">
      <c r="A1680" s="53" t="s">
        <v>345</v>
      </c>
      <c r="B1680">
        <f>1/(0.02342*40.1)</f>
        <v>1.0648017019790403</v>
      </c>
      <c r="C1680" t="s">
        <v>104</v>
      </c>
      <c r="D1680" t="s">
        <v>17</v>
      </c>
      <c r="F1680" t="s">
        <v>18</v>
      </c>
      <c r="H1680" t="s">
        <v>318</v>
      </c>
    </row>
    <row r="1682" spans="1:12" ht="16" ns3:dyDescent="0.2">
      <c r="A1682" s="1" t="s">
        <v>0</v>
      </c>
      <c r="B1682" s="1" t="s">
        <v>349</v>
      </c>
      <c r="C1682" s="53"/>
      <c r="D1682" s="53"/>
      <c r="E1682" s="53"/>
      <c r="F1682" s="53"/>
      <c r="H1682" s="53"/>
    </row>
    <row r="1683" spans="1:12" ns3:dyDescent="0.2">
      <c r="A1683" s="53" t="s">
        <v>1</v>
      </c>
      <c r="B1683" s="53" t="s">
        <v>104</v>
      </c>
      <c r="C1683" s="53"/>
      <c r="D1683" s="53"/>
      <c r="E1683" s="53"/>
      <c r="F1683" s="53"/>
      <c r="H1683" s="53"/>
      <c r="I1683" s="53"/>
      <c r="J1683" s="53"/>
      <c r="K1683" s="53"/>
      <c r="L1683" s="53"/>
    </row>
    <row r="1684" spans="1:12" ns3:dyDescent="0.2">
      <c r="A1684" s="53" t="s">
        <v>2</v>
      </c>
      <c r="B1684" s="53">
        <v>1</v>
      </c>
      <c r="C1684" s="53"/>
      <c r="D1684" s="53"/>
      <c r="E1684" s="53"/>
      <c r="F1684" s="53"/>
      <c r="H1684" s="53"/>
      <c r="I1684" s="53"/>
      <c r="J1684" s="53"/>
      <c r="K1684" s="53"/>
      <c r="L1684" s="53"/>
    </row>
    <row r="1685" spans="1:12" ns3:dyDescent="0.2">
      <c r="A1685" s="53" t="s">
        <v>3</v>
      </c>
      <c r="B1685" s="53" t="s">
        <v>285</v>
      </c>
      <c r="C1685" s="53"/>
      <c r="D1685" s="53"/>
      <c r="E1685" s="53"/>
      <c r="F1685" s="53"/>
      <c r="H1685" s="53"/>
      <c r="I1685" s="53"/>
      <c r="J1685" s="53"/>
    </row>
    <row r="1686" spans="1:12" ns3:dyDescent="0.2">
      <c r="A1686" s="53" t="s">
        <v>4</v>
      </c>
      <c r="B1686" s="53" t="s">
        <v>5</v>
      </c>
      <c r="C1686" s="53"/>
      <c r="D1686" s="53"/>
      <c r="E1686" s="53"/>
      <c r="F1686" s="53"/>
      <c r="H1686" s="53"/>
      <c r="I1686" s="53"/>
      <c r="J1686" s="53"/>
      <c r="K1686" s="53"/>
      <c r="L1686" s="53"/>
    </row>
    <row r="1687" spans="1:12" ns3:dyDescent="0.2">
      <c r="A1687" s="53" t="s">
        <v>6</v>
      </c>
      <c r="B1687" s="53" t="s">
        <v>17</v>
      </c>
      <c r="C1687" s="53"/>
      <c r="D1687" s="53"/>
      <c r="E1687" s="53"/>
      <c r="F1687" s="53"/>
      <c r="H1687" s="53"/>
      <c r="I1687" s="53"/>
      <c r="J1687" s="53"/>
      <c r="K1687" s="53"/>
      <c r="L1687" s="53"/>
    </row>
    <row r="1688" spans="1:12" ht="16" ns3:dyDescent="0.2">
      <c r="A1688" s="1" t="s">
        <v>10</v>
      </c>
      <c r="B1688" s="53"/>
      <c r="C1688" s="53"/>
      <c r="D1688" s="53"/>
      <c r="E1688" s="53"/>
      <c r="F1688" s="53"/>
      <c r="H1688" s="53"/>
      <c r="I1688" s="53"/>
      <c r="J1688" s="53"/>
      <c r="K1688" s="53"/>
      <c r="L1688" s="53"/>
    </row>
    <row r="1689" spans="1:12" ns3:dyDescent="0.2">
      <c r="A1689" s="53" t="s">
        <v>11</v>
      </c>
      <c r="B1689" s="53" t="s">
        <v>12</v>
      </c>
      <c r="C1689" s="53" t="s">
        <v>1</v>
      </c>
      <c r="D1689" s="53" t="s">
        <v>6</v>
      </c>
      <c r="E1689" s="53" t="s">
        <v>13</v>
      </c>
      <c r="F1689" s="53" t="s">
        <v>4</v>
      </c>
      <c r="G1689" s="50" t="s">
        <v>9</v>
      </c>
      <c r="H1689" s="53" t="s">
        <v>3</v>
      </c>
      <c r="I1689" s="53"/>
      <c r="J1689" s="53"/>
      <c r="K1689" s="53"/>
    </row>
    <row r="1690" spans="1:12" ns3:dyDescent="0.2">
      <c r="A1690" s="53" t="str">
        <f>B1682</f>
        <v>natural gas, burned in residential natural gas boiler &lt;100kW</v>
      </c>
      <c r="B1690" s="53">
        <v>1</v>
      </c>
      <c r="C1690" s="53" t="str">
        <f>B1683</f>
        <v>CH</v>
      </c>
      <c r="D1690" s="53" t="str">
        <f>B1687</f>
        <v>megajoule</v>
      </c>
      <c r="E1690" s="53"/>
      <c r="F1690" s="53" t="s">
        <v>15</v>
      </c>
      <c r="H1690" s="53" t="str">
        <f>B1685</f>
        <v>heat</v>
      </c>
      <c r="I1690" s="53"/>
      <c r="J1690" s="53"/>
      <c r="K1690" s="53"/>
      <c r="L1690" s="53"/>
    </row>
    <row r="1691" spans="1:12" ns3:dyDescent="0.2">
      <c r="A1691" s="53" t="s">
        <v>347</v>
      </c>
      <c r="B1691">
        <f>1/(0.025337607*36)</f>
        <v>1.0963062840850668</v>
      </c>
      <c r="C1691" t="s">
        <v>104</v>
      </c>
      <c r="D1691" t="s">
        <v>17</v>
      </c>
      <c r="F1691" t="s">
        <v>18</v>
      </c>
      <c r="H1691" t="s">
        <v>348</v>
      </c>
    </row>
    <row r="1692" spans="1:12" ns3:dyDescent="0.2">
      <c r="B1692"/>
    </row>
    <row r="1693">
      <c r="A1693" t="inlineStr">
        <is>
          <t>Activity</t>
        </is>
      </c>
      <c r="B1693" t="inlineStr">
        <is>
          <t>hard coal, burned in hard coal residential boiler 5-15kW</t>
        </is>
      </c>
    </row>
    <row r="1694">
      <c r="A1694" t="inlineStr">
        <is>
          <t>location</t>
        </is>
      </c>
      <c r="B1694" t="inlineStr">
        <is>
          <t>CH</t>
        </is>
      </c>
    </row>
    <row r="1695">
      <c r="A1695" t="inlineStr">
        <is>
          <t>production amount</t>
        </is>
      </c>
      <c r="B1695">
        <v>1</v>
      </c>
    </row>
    <row r="1696">
      <c r="A1696" t="inlineStr">
        <is>
          <t>reference product</t>
        </is>
      </c>
      <c r="B1696" t="inlineStr">
        <is>
          <t>heat</t>
        </is>
      </c>
    </row>
    <row r="1697">
      <c r="A1697" t="inlineStr">
        <is>
          <t>type</t>
        </is>
      </c>
      <c r="B1697" t="inlineStr">
        <is>
          <t>process</t>
        </is>
      </c>
    </row>
    <row r="1698">
      <c r="A1698" t="inlineStr">
        <is>
          <t>unit</t>
        </is>
      </c>
      <c r="B1698" t="inlineStr">
        <is>
          <t>megajoule</t>
        </is>
      </c>
    </row>
    <row r="1699">
      <c r="A1699" t="inlineStr">
        <is>
          <t>Swiss heat provider routing</t>
        </is>
      </c>
      <c r="B1699" t="inlineStr">
        <is>
          <t>[{"wrapper": "hard coal, burned in hard coal residential boiler 5-15kW", "wrapper_product": "heat", "supplier": "heat production, hard coal briquette, stove 5-15kW", "product": "heat, central or small-scale, other than natural gas", "previous_location": "Europe without Switzerland", "location": "CH", "amount": 0.8, "unit": "megajoule"}]</t>
        </is>
      </c>
    </row>
    <row r="1700">
      <c r="A1700" t="inlineStr">
        <is>
          <t>Exchanges</t>
        </is>
      </c>
    </row>
    <row r="1701">
      <c r="A1701" t="inlineStr">
        <is>
          <t>name</t>
        </is>
      </c>
      <c r="B1701" t="inlineStr">
        <is>
          <t>amount</t>
        </is>
      </c>
      <c r="C1701" t="inlineStr">
        <is>
          <t>location</t>
        </is>
      </c>
      <c r="D1701" t="inlineStr">
        <is>
          <t>unit</t>
        </is>
      </c>
      <c r="E1701" t="inlineStr">
        <is>
          <t>categories</t>
        </is>
      </c>
      <c r="F1701" t="inlineStr">
        <is>
          <t>type</t>
        </is>
      </c>
      <c r="G1701" t="inlineStr">
        <is>
          <t>reference product</t>
        </is>
      </c>
      <c r="H1701" t="inlineStr">
        <is>
          <t>comment</t>
        </is>
      </c>
      <c r="I1701" t="inlineStr">
        <is>
          <t>uncertainty type</t>
        </is>
      </c>
    </row>
    <row r="1702">
      <c r="A1702" t="inlineStr">
        <is>
          <t>hard coal, burned in hard coal residential boiler 5-15kW</t>
        </is>
      </c>
      <c r="B1702">
        <v>1</v>
      </c>
      <c r="C1702" t="inlineStr">
        <is>
          <t>CH</t>
        </is>
      </c>
      <c r="D1702" t="inlineStr">
        <is>
          <t>megajoule</t>
        </is>
      </c>
      <c r="F1702" t="inlineStr">
        <is>
          <t>production</t>
        </is>
      </c>
      <c r="G1702" t="inlineStr">
        <is>
          <t>heat</t>
        </is>
      </c>
    </row>
    <row r="1703">
      <c r="A1703" t="inlineStr">
        <is>
          <t>heat production, hard coal briquette, stove 5-15kW</t>
        </is>
      </c>
      <c r="B1703">
        <v>0.8</v>
      </c>
      <c r="C1703" t="inlineStr">
        <is>
          <t>Europe without Switzerland</t>
        </is>
      </c>
      <c r="D1703" t="inlineStr">
        <is>
          <t>megajoule</t>
        </is>
      </c>
      <c r="F1703" t="inlineStr">
        <is>
          <t>technosphere</t>
        </is>
      </c>
      <c r="G1703" t="inlineStr">
        <is>
          <t>heat, central or small-scale, other than natural gas</t>
        </is>
      </c>
    </row>
    <row r="1704"/>
    <row r="1705" spans="1:12" ht="16" ns3:dyDescent="0.2">
      <c r="A1705" s="1" t="s">
        <v>0</v>
      </c>
      <c r="B1705" s="1" t="s">
        <v>353</v>
      </c>
      <c r="C1705" s="53"/>
      <c r="D1705" s="53"/>
      <c r="E1705" s="53"/>
      <c r="F1705" s="53"/>
      <c r="H1705" s="53"/>
    </row>
    <row r="1706" spans="1:12" ns3:dyDescent="0.2">
      <c r="A1706" s="53" t="s">
        <v>1</v>
      </c>
      <c r="B1706" s="53" t="s">
        <v>104</v>
      </c>
      <c r="C1706" s="53"/>
      <c r="D1706" s="53"/>
      <c r="E1706" s="53"/>
      <c r="F1706" s="53"/>
      <c r="H1706" s="53"/>
      <c r="I1706" s="53"/>
      <c r="J1706" s="53"/>
      <c r="K1706" s="53"/>
      <c r="L1706" s="53"/>
    </row>
    <row r="1707" spans="1:12" ns3:dyDescent="0.2">
      <c r="A1707" s="53" t="s">
        <v>2</v>
      </c>
      <c r="B1707" s="53">
        <v>1</v>
      </c>
      <c r="C1707" s="53"/>
      <c r="D1707" s="53"/>
      <c r="E1707" s="53"/>
      <c r="F1707" s="53"/>
      <c r="H1707" s="53"/>
      <c r="I1707" s="53"/>
      <c r="J1707" s="53"/>
      <c r="K1707" s="53"/>
      <c r="L1707" s="53"/>
    </row>
    <row r="1708" spans="1:12" ns3:dyDescent="0.2">
      <c r="A1708" s="53" t="s">
        <v>3</v>
      </c>
      <c r="B1708" s="53" t="s">
        <v>285</v>
      </c>
      <c r="C1708" s="53"/>
      <c r="D1708" s="53"/>
      <c r="E1708" s="53"/>
      <c r="F1708" s="53"/>
      <c r="H1708" s="53"/>
      <c r="I1708" s="53"/>
      <c r="J1708" s="53"/>
    </row>
    <row r="1709" spans="1:12" ns3:dyDescent="0.2">
      <c r="A1709" s="53" t="s">
        <v>4</v>
      </c>
      <c r="B1709" s="53" t="s">
        <v>5</v>
      </c>
      <c r="C1709" s="53"/>
      <c r="D1709" s="53"/>
      <c r="E1709" s="53"/>
      <c r="F1709" s="53"/>
      <c r="H1709" s="53"/>
      <c r="I1709" s="53"/>
      <c r="J1709" s="53"/>
      <c r="K1709" s="53"/>
      <c r="L1709" s="53"/>
    </row>
    <row r="1710" spans="1:12" ns3:dyDescent="0.2">
      <c r="A1710" s="53" t="s">
        <v>6</v>
      </c>
      <c r="B1710" s="53" t="s">
        <v>17</v>
      </c>
      <c r="C1710" s="53"/>
      <c r="D1710" s="53"/>
      <c r="E1710" s="53"/>
      <c r="F1710" s="53"/>
      <c r="H1710" s="53"/>
      <c r="I1710" s="53"/>
      <c r="J1710" s="53"/>
      <c r="K1710" s="53"/>
      <c r="L1710" s="53"/>
    </row>
    <row r="1711" spans="1:12" ht="16" ns3:dyDescent="0.2">
      <c r="A1711" s="1" t="s">
        <v>10</v>
      </c>
      <c r="B1711" s="53"/>
      <c r="C1711" s="53"/>
      <c r="D1711" s="53"/>
      <c r="E1711" s="53"/>
      <c r="F1711" s="53"/>
      <c r="H1711" s="53"/>
      <c r="I1711" s="53"/>
      <c r="J1711" s="53"/>
      <c r="K1711" s="53"/>
      <c r="L1711" s="53"/>
    </row>
    <row r="1712" spans="1:12" ns3:dyDescent="0.2">
      <c r="A1712" s="53" t="s">
        <v>11</v>
      </c>
      <c r="B1712" s="53" t="s">
        <v>12</v>
      </c>
      <c r="C1712" s="53" t="s">
        <v>1</v>
      </c>
      <c r="D1712" s="53" t="s">
        <v>6</v>
      </c>
      <c r="E1712" s="53" t="s">
        <v>13</v>
      </c>
      <c r="F1712" s="53" t="s">
        <v>4</v>
      </c>
      <c r="G1712" s="50" t="s">
        <v>9</v>
      </c>
      <c r="H1712" s="53" t="s">
        <v>3</v>
      </c>
      <c r="I1712" s="53"/>
      <c r="J1712" s="53"/>
      <c r="K1712" s="53"/>
    </row>
    <row r="1713" spans="1:12" ns3:dyDescent="0.2">
      <c r="A1713" s="53" t="str">
        <f>B1705</f>
        <v>wood, burned in residential wood stove 5-15kW</v>
      </c>
      <c r="B1713" s="53">
        <v>1</v>
      </c>
      <c r="C1713" s="53" t="str">
        <f>B1706</f>
        <v>CH</v>
      </c>
      <c r="D1713" s="53" t="str">
        <f>B1710</f>
        <v>megajoule</v>
      </c>
      <c r="E1713" s="53"/>
      <c r="F1713" s="53" t="s">
        <v>15</v>
      </c>
      <c r="H1713" s="53" t="str">
        <f>B1708</f>
        <v>heat</v>
      </c>
      <c r="I1713" s="53"/>
      <c r="J1713" s="53"/>
      <c r="K1713" s="53"/>
      <c r="L1713" s="53"/>
    </row>
    <row r="1714" spans="1:12" ns3:dyDescent="0.2">
      <c r="A1714" s="53" t="s">
        <v>352</v>
      </c>
      <c r="B1714">
        <f>1/(0.1078*19.1)</f>
        <v>0.48567737423384383</v>
      </c>
      <c r="C1714" t="s">
        <v>104</v>
      </c>
      <c r="D1714" t="s">
        <v>17</v>
      </c>
      <c r="F1714" t="s">
        <v>18</v>
      </c>
      <c r="H1714" t="s">
        <v>318</v>
      </c>
    </row>
    <row r="1715" spans="1:12" ns3:dyDescent="0.2">
      <c r="B1715"/>
    </row>
    <row r="1716" spans="1:12" ht="16" ns3:dyDescent="0.2">
      <c r="A1716" s="1" t="s">
        <v>0</v>
      </c>
      <c r="B1716" s="1" t="s">
        <v>354</v>
      </c>
      <c r="C1716" s="53"/>
      <c r="D1716" s="53"/>
      <c r="E1716" s="53"/>
      <c r="F1716" s="53"/>
      <c r="H1716" s="53"/>
    </row>
    <row r="1717" spans="1:12" ns3:dyDescent="0.2">
      <c r="A1717" s="53" t="s">
        <v>1</v>
      </c>
      <c r="B1717" s="53" t="s">
        <v>104</v>
      </c>
      <c r="C1717" s="53"/>
      <c r="D1717" s="53"/>
      <c r="E1717" s="53"/>
      <c r="F1717" s="53"/>
      <c r="H1717" s="53"/>
      <c r="I1717" s="53"/>
      <c r="J1717" s="53"/>
      <c r="K1717" s="53"/>
      <c r="L1717" s="53"/>
    </row>
    <row r="1718" spans="1:12" ns3:dyDescent="0.2">
      <c r="A1718" s="53" t="s">
        <v>2</v>
      </c>
      <c r="B1718" s="53">
        <v>1</v>
      </c>
      <c r="C1718" s="53"/>
      <c r="D1718" s="53"/>
      <c r="E1718" s="53"/>
      <c r="F1718" s="53"/>
      <c r="H1718" s="53"/>
      <c r="I1718" s="53"/>
      <c r="J1718" s="53"/>
      <c r="K1718" s="53"/>
      <c r="L1718" s="53"/>
    </row>
    <row r="1719" spans="1:12" ns3:dyDescent="0.2">
      <c r="A1719" s="53" t="s">
        <v>3</v>
      </c>
      <c r="B1719" s="53" t="s">
        <v>285</v>
      </c>
      <c r="C1719" s="53"/>
      <c r="D1719" s="53"/>
      <c r="E1719" s="53"/>
      <c r="F1719" s="53"/>
      <c r="H1719" s="53"/>
      <c r="I1719" s="53"/>
      <c r="J1719" s="53"/>
    </row>
    <row r="1720" spans="1:12" ns3:dyDescent="0.2">
      <c r="A1720" s="53" t="s">
        <v>4</v>
      </c>
      <c r="B1720" s="53" t="s">
        <v>5</v>
      </c>
      <c r="C1720" s="53"/>
      <c r="D1720" s="53"/>
      <c r="E1720" s="53"/>
      <c r="F1720" s="53"/>
      <c r="H1720" s="53"/>
      <c r="I1720" s="53"/>
      <c r="J1720" s="53"/>
      <c r="K1720" s="53"/>
      <c r="L1720" s="53"/>
    </row>
    <row r="1721" spans="1:12" ns3:dyDescent="0.2">
      <c r="A1721" s="53" t="s">
        <v>6</v>
      </c>
      <c r="B1721" s="53" t="s">
        <v>17</v>
      </c>
      <c r="C1721" s="53"/>
      <c r="D1721" s="53"/>
      <c r="E1721" s="53"/>
      <c r="F1721" s="53"/>
      <c r="H1721" s="53"/>
      <c r="I1721" s="53"/>
      <c r="J1721" s="53"/>
      <c r="K1721" s="53"/>
      <c r="L1721" s="53"/>
    </row>
    <row r="1722" spans="1:12" ht="16" ns3:dyDescent="0.2">
      <c r="A1722" s="1" t="s">
        <v>10</v>
      </c>
      <c r="B1722" s="53"/>
      <c r="C1722" s="53"/>
      <c r="D1722" s="53"/>
      <c r="E1722" s="53"/>
      <c r="F1722" s="53"/>
      <c r="H1722" s="53"/>
      <c r="I1722" s="53"/>
      <c r="J1722" s="53"/>
      <c r="K1722" s="53"/>
      <c r="L1722" s="53"/>
    </row>
    <row r="1723" spans="1:12" ns3:dyDescent="0.2">
      <c r="A1723" s="53" t="s">
        <v>11</v>
      </c>
      <c r="B1723" s="53" t="s">
        <v>12</v>
      </c>
      <c r="C1723" s="53" t="s">
        <v>1</v>
      </c>
      <c r="D1723" s="53" t="s">
        <v>6</v>
      </c>
      <c r="E1723" s="53" t="s">
        <v>13</v>
      </c>
      <c r="F1723" s="53" t="s">
        <v>4</v>
      </c>
      <c r="G1723" s="50" t="s">
        <v>9</v>
      </c>
      <c r="H1723" s="53" t="s">
        <v>3</v>
      </c>
      <c r="I1723" s="53"/>
      <c r="J1723" s="53"/>
      <c r="K1723" s="53"/>
    </row>
    <row r="1724" spans="1:12" ns3:dyDescent="0.2">
      <c r="A1724" s="53" t="str">
        <f>B1716</f>
        <v>pellet, burned in residential pellet stove 5-15kW</v>
      </c>
      <c r="B1724" s="53">
        <v>1</v>
      </c>
      <c r="C1724" s="53" t="str">
        <f>B1717</f>
        <v>CH</v>
      </c>
      <c r="D1724" s="53" t="str">
        <f>B1721</f>
        <v>megajoule</v>
      </c>
      <c r="E1724" s="53"/>
      <c r="F1724" s="53" t="s">
        <v>15</v>
      </c>
      <c r="H1724" s="53" t="str">
        <f>B1719</f>
        <v>heat</v>
      </c>
      <c r="I1724" s="53"/>
      <c r="J1724" s="53"/>
      <c r="K1724" s="53"/>
      <c r="L1724" s="53"/>
    </row>
    <row r="1725" spans="1:12" ns3:dyDescent="0.2">
      <c r="A1725" s="53" t="s">
        <v>355</v>
      </c>
      <c r="B1725">
        <f>1/(0.0762357142857144*19.1)</f>
        <v>0.68676500814552244</v>
      </c>
      <c r="C1725" t="s">
        <v>104</v>
      </c>
      <c r="D1725" t="s">
        <v>17</v>
      </c>
      <c r="F1725" t="s">
        <v>18</v>
      </c>
      <c r="H1725" t="s">
        <v>318</v>
      </c>
    </row>
    <row r="1726" spans="1:12" ns3:dyDescent="0.2">
      <c r="A1726" t="s">
        <v>35</v>
      </c>
      <c r="B1726">
        <v>1</v>
      </c>
      <c r="D1726" t="s">
        <v>17</v>
      </c>
      <c r="E1726" t="s">
        <v>36</v>
      </c>
      <c r="F1726" t="s">
        <v>27</v>
      </c>
    </row>
    <row r="1728" spans="1:12" ht="16" ns3:dyDescent="0.2">
      <c r="A1728" s="1" t="s">
        <v>0</v>
      </c>
      <c r="B1728" s="1" t="s">
        <v>344</v>
      </c>
      <c r="C1728" s="53"/>
      <c r="D1728" s="53"/>
      <c r="E1728" s="53"/>
      <c r="F1728" s="53"/>
      <c r="H1728" s="53"/>
    </row>
    <row r="1729" spans="1:12" ns3:dyDescent="0.2">
      <c r="A1729" s="53" t="s">
        <v>1</v>
      </c>
      <c r="B1729" s="53" t="s">
        <v>104</v>
      </c>
      <c r="C1729" s="53"/>
      <c r="D1729" s="53"/>
      <c r="E1729" s="53"/>
      <c r="F1729" s="53"/>
      <c r="H1729" s="53"/>
      <c r="I1729" s="53"/>
      <c r="J1729" s="53"/>
      <c r="K1729" s="53"/>
      <c r="L1729" s="53"/>
    </row>
    <row r="1730" spans="1:12" ns3:dyDescent="0.2">
      <c r="A1730" s="53" t="s">
        <v>2</v>
      </c>
      <c r="B1730" s="53">
        <v>1</v>
      </c>
      <c r="C1730" s="53"/>
      <c r="D1730" s="53"/>
      <c r="E1730" s="53"/>
      <c r="F1730" s="53"/>
      <c r="H1730" s="53"/>
      <c r="I1730" s="53"/>
      <c r="J1730" s="53"/>
      <c r="K1730" s="53"/>
      <c r="L1730" s="53"/>
    </row>
    <row r="1731" spans="1:12" ns3:dyDescent="0.2">
      <c r="A1731" s="53" t="s">
        <v>3</v>
      </c>
      <c r="B1731" s="53" t="s">
        <v>285</v>
      </c>
      <c r="C1731" s="53"/>
      <c r="D1731" s="53"/>
      <c r="E1731" s="53"/>
      <c r="F1731" s="53"/>
      <c r="H1731" s="53"/>
      <c r="I1731" s="53"/>
      <c r="J1731" s="53"/>
    </row>
    <row r="1732" spans="1:12" ns3:dyDescent="0.2">
      <c r="A1732" s="53" t="s">
        <v>4</v>
      </c>
      <c r="B1732" s="53" t="s">
        <v>5</v>
      </c>
      <c r="C1732" s="53"/>
      <c r="D1732" s="53"/>
      <c r="E1732" s="53"/>
      <c r="F1732" s="53"/>
      <c r="H1732" s="53"/>
      <c r="I1732" s="53"/>
      <c r="J1732" s="53"/>
      <c r="K1732" s="53"/>
      <c r="L1732" s="53"/>
    </row>
    <row r="1733" spans="1:12" ns3:dyDescent="0.2">
      <c r="A1733" s="53" t="s">
        <v>6</v>
      </c>
      <c r="B1733" s="53" t="s">
        <v>17</v>
      </c>
      <c r="C1733" s="53"/>
      <c r="D1733" s="53"/>
      <c r="E1733" s="53"/>
      <c r="F1733" s="53"/>
      <c r="H1733" s="53"/>
      <c r="I1733" s="53"/>
      <c r="J1733" s="53"/>
      <c r="K1733" s="53"/>
      <c r="L1733" s="53"/>
    </row>
    <row r="1734" spans="1:12" ht="16" ns3:dyDescent="0.2">
      <c r="A1734" s="1" t="s">
        <v>10</v>
      </c>
      <c r="B1734" s="53"/>
      <c r="C1734" s="53"/>
      <c r="D1734" s="53"/>
      <c r="E1734" s="53"/>
      <c r="F1734" s="53"/>
      <c r="H1734" s="53"/>
      <c r="I1734" s="53"/>
      <c r="J1734" s="53"/>
      <c r="K1734" s="53"/>
      <c r="L1734" s="53"/>
    </row>
    <row r="1735" spans="1:12" ns3:dyDescent="0.2">
      <c r="A1735" s="53" t="s">
        <v>11</v>
      </c>
      <c r="B1735" s="53" t="s">
        <v>12</v>
      </c>
      <c r="C1735" s="53" t="s">
        <v>1</v>
      </c>
      <c r="D1735" s="53" t="s">
        <v>6</v>
      </c>
      <c r="E1735" s="53" t="s">
        <v>13</v>
      </c>
      <c r="F1735" s="53" t="s">
        <v>4</v>
      </c>
      <c r="G1735" s="50" t="s">
        <v>9</v>
      </c>
      <c r="H1735" s="53" t="s">
        <v>3</v>
      </c>
      <c r="I1735" s="53"/>
      <c r="J1735" s="53"/>
      <c r="K1735" s="53"/>
    </row>
    <row r="1736" spans="1:12" ns3:dyDescent="0.2">
      <c r="A1736" s="53" t="str">
        <f>B1728</f>
        <v>solar energy, from residential hot water tank</v>
      </c>
      <c r="B1736" s="53">
        <v>1</v>
      </c>
      <c r="C1736" s="53" t="str">
        <f>B1729</f>
        <v>CH</v>
      </c>
      <c r="D1736" s="53" t="str">
        <f>B1733</f>
        <v>megajoule</v>
      </c>
      <c r="E1736" s="53"/>
      <c r="F1736" s="53" t="s">
        <v>15</v>
      </c>
      <c r="H1736" s="53" t="str">
        <f>B1731</f>
        <v>heat</v>
      </c>
      <c r="I1736" s="53"/>
      <c r="J1736" s="53"/>
      <c r="K1736" s="53"/>
      <c r="L1736" s="53"/>
    </row>
    <row r="1737" spans="1:12" ns3:dyDescent="0.2">
      <c r="A1737" s="53" t="s">
        <v>325</v>
      </c>
      <c r="B1737">
        <f>1/0.28851</f>
        <v>3.4660843644934318</v>
      </c>
      <c r="C1737" t="s">
        <v>104</v>
      </c>
      <c r="D1737" t="s">
        <v>17</v>
      </c>
      <c r="F1737" t="s">
        <v>18</v>
      </c>
      <c r="H1737" t="s">
        <v>326</v>
      </c>
    </row>
    <row r="1738" spans="1:12" ns3:dyDescent="0.2">
      <c r="B1738"/>
    </row>
    <row r="1739" spans="1:12" ht="16" ns3:dyDescent="0.2">
      <c r="A1739" s="1" t="s">
        <v>0</v>
      </c>
      <c r="B1739" s="1" t="s">
        <v>341</v>
      </c>
      <c r="C1739" s="53"/>
      <c r="D1739" s="53"/>
      <c r="E1739" s="53"/>
      <c r="F1739" s="53"/>
      <c r="H1739" s="53"/>
    </row>
    <row r="1740" spans="1:12" ns3:dyDescent="0.2">
      <c r="A1740" s="53" t="s">
        <v>1</v>
      </c>
      <c r="B1740" s="53" t="s">
        <v>104</v>
      </c>
      <c r="C1740" s="53"/>
      <c r="D1740" s="53"/>
      <c r="E1740" s="53"/>
      <c r="F1740" s="53"/>
      <c r="H1740" s="53"/>
      <c r="I1740" s="53"/>
      <c r="J1740" s="53"/>
      <c r="K1740" s="53"/>
      <c r="L1740" s="53"/>
    </row>
    <row r="1741" spans="1:12" ns3:dyDescent="0.2">
      <c r="A1741" s="53" t="s">
        <v>2</v>
      </c>
      <c r="B1741" s="53">
        <v>1</v>
      </c>
      <c r="C1741" s="53"/>
      <c r="D1741" s="53"/>
      <c r="E1741" s="53"/>
      <c r="F1741" s="53"/>
      <c r="H1741" s="53"/>
      <c r="I1741" s="53"/>
      <c r="J1741" s="53"/>
      <c r="K1741" s="53"/>
      <c r="L1741" s="53"/>
    </row>
    <row r="1742" spans="1:12" ns3:dyDescent="0.2">
      <c r="A1742" s="53" t="s">
        <v>3</v>
      </c>
      <c r="B1742" s="53" t="s">
        <v>285</v>
      </c>
      <c r="C1742" s="53"/>
      <c r="D1742" s="53"/>
      <c r="E1742" s="53"/>
      <c r="F1742" s="53"/>
      <c r="H1742" s="53"/>
      <c r="I1742" s="53"/>
      <c r="J1742" s="53"/>
    </row>
    <row r="1743" spans="1:12" ns3:dyDescent="0.2">
      <c r="A1743" s="53" t="s">
        <v>4</v>
      </c>
      <c r="B1743" s="53" t="s">
        <v>5</v>
      </c>
      <c r="C1743" s="53"/>
      <c r="D1743" s="53"/>
      <c r="E1743" s="53"/>
      <c r="F1743" s="53"/>
      <c r="H1743" s="53"/>
      <c r="I1743" s="53"/>
      <c r="J1743" s="53"/>
      <c r="K1743" s="53"/>
      <c r="L1743" s="53"/>
    </row>
    <row r="1744" spans="1:12" ns3:dyDescent="0.2">
      <c r="A1744" s="53" t="s">
        <v>6</v>
      </c>
      <c r="B1744" s="53" t="s">
        <v>17</v>
      </c>
      <c r="C1744" s="53"/>
      <c r="D1744" s="53"/>
      <c r="E1744" s="53"/>
      <c r="F1744" s="53"/>
      <c r="H1744" s="53"/>
      <c r="I1744" s="53"/>
      <c r="J1744" s="53"/>
      <c r="K1744" s="53"/>
      <c r="L1744" s="53"/>
    </row>
    <row r="1745" spans="1:12" ht="16" ns3:dyDescent="0.2">
      <c r="A1745" s="1" t="s">
        <v>10</v>
      </c>
      <c r="B1745" s="53"/>
      <c r="C1745" s="53"/>
      <c r="D1745" s="53"/>
      <c r="E1745" s="53"/>
      <c r="F1745" s="53"/>
      <c r="H1745" s="53"/>
      <c r="I1745" s="53"/>
      <c r="J1745" s="53"/>
      <c r="K1745" s="53"/>
      <c r="L1745" s="53"/>
    </row>
    <row r="1746" spans="1:12" ns3:dyDescent="0.2">
      <c r="A1746" s="53" t="s">
        <v>11</v>
      </c>
      <c r="B1746" s="53" t="s">
        <v>12</v>
      </c>
      <c r="C1746" s="53" t="s">
        <v>1</v>
      </c>
      <c r="D1746" s="53" t="s">
        <v>6</v>
      </c>
      <c r="E1746" s="53" t="s">
        <v>13</v>
      </c>
      <c r="F1746" s="53" t="s">
        <v>4</v>
      </c>
      <c r="G1746" s="50" t="s">
        <v>9</v>
      </c>
      <c r="H1746" s="53" t="s">
        <v>3</v>
      </c>
      <c r="I1746" s="53"/>
      <c r="J1746" s="53"/>
      <c r="K1746" s="53"/>
    </row>
    <row r="1747" spans="1:12" ns3:dyDescent="0.2">
      <c r="A1747" s="53" t="str">
        <f>B1739</f>
        <v>heat, from on-site residential gas-fired CHP</v>
      </c>
      <c r="B1747" s="53">
        <v>1</v>
      </c>
      <c r="C1747" s="53" t="str">
        <f>B1740</f>
        <v>CH</v>
      </c>
      <c r="D1747" s="53" t="str">
        <f>B1744</f>
        <v>megajoule</v>
      </c>
      <c r="E1747" s="53"/>
      <c r="F1747" s="53" t="s">
        <v>15</v>
      </c>
      <c r="H1747" s="53" t="str">
        <f>B1742</f>
        <v>heat</v>
      </c>
      <c r="I1747" s="53"/>
      <c r="J1747" s="53"/>
      <c r="K1747" s="53"/>
      <c r="L1747" s="53"/>
    </row>
    <row r="1748" spans="1:12" ns3:dyDescent="0.2">
      <c r="A1748" s="53" t="s">
        <v>305</v>
      </c>
      <c r="B1748">
        <f>1/(0.0095*36)</f>
        <v>2.9239766081871346</v>
      </c>
      <c r="C1748" t="s">
        <v>104</v>
      </c>
      <c r="D1748" t="s">
        <v>17</v>
      </c>
      <c r="F1748" t="s">
        <v>18</v>
      </c>
      <c r="H1748" t="s">
        <v>187</v>
      </c>
    </row>
    <row r="1749" spans="1:12" ns3:dyDescent="0.2">
      <c r="B1749"/>
    </row>
    <row r="1750" spans="1:12" ht="16" ns3:dyDescent="0.2">
      <c r="A1750" s="1" t="s">
        <v>0</v>
      </c>
      <c r="B1750" s="1" t="s">
        <v>342</v>
      </c>
      <c r="C1750" s="53"/>
      <c r="D1750" s="53"/>
      <c r="E1750" s="53"/>
      <c r="F1750" s="53"/>
      <c r="H1750" s="53"/>
    </row>
    <row r="1751" spans="1:12" ns3:dyDescent="0.2">
      <c r="A1751" s="53" t="s">
        <v>1</v>
      </c>
      <c r="B1751" s="53" t="s">
        <v>104</v>
      </c>
      <c r="C1751" s="53"/>
      <c r="D1751" s="53"/>
      <c r="E1751" s="53"/>
      <c r="F1751" s="53"/>
      <c r="H1751" s="53"/>
      <c r="I1751" s="53"/>
      <c r="J1751" s="53"/>
      <c r="K1751" s="53"/>
      <c r="L1751" s="53"/>
    </row>
    <row r="1752" spans="1:12" ns3:dyDescent="0.2">
      <c r="A1752" s="53" t="s">
        <v>2</v>
      </c>
      <c r="B1752" s="53">
        <v>1</v>
      </c>
      <c r="C1752" s="53"/>
      <c r="D1752" s="53"/>
      <c r="E1752" s="53"/>
      <c r="F1752" s="53"/>
      <c r="H1752" s="53"/>
      <c r="I1752" s="53"/>
      <c r="J1752" s="53"/>
      <c r="K1752" s="53"/>
      <c r="L1752" s="53"/>
    </row>
    <row r="1753" spans="1:12" ns3:dyDescent="0.2">
      <c r="A1753" s="53" t="s">
        <v>3</v>
      </c>
      <c r="B1753" s="53" t="s">
        <v>285</v>
      </c>
      <c r="C1753" s="53"/>
      <c r="D1753" s="53"/>
      <c r="E1753" s="53"/>
      <c r="F1753" s="53"/>
      <c r="H1753" s="53"/>
      <c r="I1753" s="53"/>
      <c r="J1753" s="53"/>
    </row>
    <row r="1754" spans="1:12" ns3:dyDescent="0.2">
      <c r="A1754" s="53" t="s">
        <v>4</v>
      </c>
      <c r="B1754" s="53" t="s">
        <v>5</v>
      </c>
      <c r="C1754" s="53"/>
      <c r="D1754" s="53"/>
      <c r="E1754" s="53"/>
      <c r="F1754" s="53"/>
      <c r="H1754" s="53"/>
      <c r="I1754" s="53"/>
      <c r="J1754" s="53"/>
      <c r="K1754" s="53"/>
      <c r="L1754" s="53"/>
    </row>
    <row r="1755" spans="1:12" ns3:dyDescent="0.2">
      <c r="A1755" s="53" t="s">
        <v>6</v>
      </c>
      <c r="B1755" s="53" t="s">
        <v>17</v>
      </c>
      <c r="C1755" s="53"/>
      <c r="D1755" s="53"/>
      <c r="E1755" s="53"/>
      <c r="F1755" s="53"/>
      <c r="H1755" s="53"/>
      <c r="I1755" s="53"/>
      <c r="J1755" s="53"/>
      <c r="K1755" s="53"/>
      <c r="L1755" s="53"/>
    </row>
    <row r="1756" spans="1:12" ht="16" ns3:dyDescent="0.2">
      <c r="A1756" s="1" t="s">
        <v>10</v>
      </c>
      <c r="B1756" s="53"/>
      <c r="C1756" s="53"/>
      <c r="D1756" s="53"/>
      <c r="E1756" s="53"/>
      <c r="F1756" s="53"/>
      <c r="H1756" s="53"/>
      <c r="I1756" s="53"/>
      <c r="J1756" s="53"/>
      <c r="K1756" s="53"/>
      <c r="L1756" s="53"/>
    </row>
    <row r="1757" spans="1:12" ns3:dyDescent="0.2">
      <c r="A1757" s="53" t="s">
        <v>11</v>
      </c>
      <c r="B1757" s="53" t="s">
        <v>12</v>
      </c>
      <c r="C1757" s="53" t="s">
        <v>1</v>
      </c>
      <c r="D1757" s="53" t="s">
        <v>6</v>
      </c>
      <c r="E1757" s="53" t="s">
        <v>13</v>
      </c>
      <c r="F1757" s="53" t="s">
        <v>4</v>
      </c>
      <c r="G1757" s="50" t="s">
        <v>9</v>
      </c>
      <c r="H1757" s="53" t="s">
        <v>3</v>
      </c>
      <c r="I1757" s="53"/>
      <c r="J1757" s="53"/>
      <c r="K1757" s="53"/>
    </row>
    <row r="1758" spans="1:12" ns3:dyDescent="0.2">
      <c r="A1758" s="53" t="str">
        <f>B1750</f>
        <v>heat, from on-site residential fuel cell CHP</v>
      </c>
      <c r="B1758" s="53">
        <v>1</v>
      </c>
      <c r="C1758" s="53" t="str">
        <f>B1751</f>
        <v>CH</v>
      </c>
      <c r="D1758" s="53" t="str">
        <f>B1755</f>
        <v>megajoule</v>
      </c>
      <c r="E1758" s="53"/>
      <c r="F1758" s="53" t="s">
        <v>15</v>
      </c>
      <c r="H1758" s="53" t="str">
        <f>B1753</f>
        <v>heat</v>
      </c>
      <c r="I1758" s="53"/>
      <c r="J1758" s="53"/>
      <c r="K1758" s="53"/>
      <c r="L1758" s="53"/>
    </row>
    <row r="1759" spans="1:12" ns3:dyDescent="0.2">
      <c r="A1759" s="53" t="s">
        <v>305</v>
      </c>
      <c r="B1759">
        <f>1/(0.0095*36)</f>
        <v>2.9239766081871346</v>
      </c>
      <c r="C1759" t="s">
        <v>104</v>
      </c>
      <c r="D1759" t="s">
        <v>17</v>
      </c>
      <c r="F1759" t="s">
        <v>18</v>
      </c>
      <c r="H1759" t="s">
        <v>187</v>
      </c>
    </row>
    <row r="1760" spans="1:12" ns3:dyDescent="0.2">
      <c r="B1760"/>
    </row>
    <row r="1761" spans="1:12" ht="16" ns3:dyDescent="0.2">
      <c r="A1761" s="1" t="s">
        <v>0</v>
      </c>
      <c r="B1761" s="1" t="s">
        <v>343</v>
      </c>
      <c r="C1761" s="53"/>
      <c r="D1761" s="53"/>
      <c r="E1761" s="53"/>
      <c r="F1761" s="53"/>
      <c r="H1761" s="53"/>
    </row>
    <row r="1762" spans="1:12" ns3:dyDescent="0.2">
      <c r="A1762" s="53" t="s">
        <v>1</v>
      </c>
      <c r="B1762" s="53" t="s">
        <v>104</v>
      </c>
      <c r="C1762" s="53"/>
      <c r="D1762" s="53"/>
      <c r="E1762" s="53"/>
      <c r="F1762" s="53"/>
      <c r="H1762" s="53"/>
      <c r="I1762" s="53"/>
      <c r="J1762" s="53"/>
      <c r="K1762" s="53"/>
      <c r="L1762" s="53"/>
    </row>
    <row r="1763" spans="1:12" ns3:dyDescent="0.2">
      <c r="A1763" s="53" t="s">
        <v>2</v>
      </c>
      <c r="B1763" s="53">
        <v>1</v>
      </c>
      <c r="C1763" s="53"/>
      <c r="D1763" s="53"/>
      <c r="E1763" s="53"/>
      <c r="F1763" s="53"/>
      <c r="H1763" s="53"/>
      <c r="I1763" s="53"/>
      <c r="J1763" s="53"/>
      <c r="K1763" s="53"/>
      <c r="L1763" s="53"/>
    </row>
    <row r="1764" spans="1:12" ns3:dyDescent="0.2">
      <c r="A1764" s="53" t="s">
        <v>3</v>
      </c>
      <c r="B1764" s="53" t="s">
        <v>285</v>
      </c>
      <c r="C1764" s="53"/>
      <c r="D1764" s="53"/>
      <c r="E1764" s="53"/>
      <c r="F1764" s="53"/>
      <c r="H1764" s="53"/>
      <c r="I1764" s="53"/>
      <c r="J1764" s="53"/>
    </row>
    <row r="1765" spans="1:12" ns3:dyDescent="0.2">
      <c r="A1765" s="53" t="s">
        <v>4</v>
      </c>
      <c r="B1765" s="53" t="s">
        <v>5</v>
      </c>
      <c r="C1765" s="53"/>
      <c r="D1765" s="53"/>
      <c r="E1765" s="53"/>
      <c r="F1765" s="53"/>
      <c r="H1765" s="53"/>
      <c r="I1765" s="53"/>
      <c r="J1765" s="53"/>
      <c r="K1765" s="53"/>
      <c r="L1765" s="53"/>
    </row>
    <row r="1766" spans="1:12" ns3:dyDescent="0.2">
      <c r="A1766" s="53" t="s">
        <v>6</v>
      </c>
      <c r="B1766" s="53" t="s">
        <v>17</v>
      </c>
      <c r="C1766" s="53"/>
      <c r="D1766" s="53"/>
      <c r="E1766" s="53"/>
      <c r="F1766" s="53"/>
      <c r="H1766" s="53"/>
      <c r="I1766" s="53"/>
      <c r="J1766" s="53"/>
      <c r="K1766" s="53"/>
      <c r="L1766" s="53"/>
    </row>
    <row r="1767" spans="1:12" ht="16" ns3:dyDescent="0.2">
      <c r="A1767" s="1" t="s">
        <v>10</v>
      </c>
      <c r="B1767" s="53"/>
      <c r="C1767" s="53"/>
      <c r="D1767" s="53"/>
      <c r="E1767" s="53"/>
      <c r="F1767" s="53"/>
      <c r="H1767" s="53"/>
      <c r="I1767" s="53"/>
      <c r="J1767" s="53"/>
      <c r="K1767" s="53"/>
      <c r="L1767" s="53"/>
    </row>
    <row r="1768" spans="1:12" ns3:dyDescent="0.2">
      <c r="A1768" s="53" t="s">
        <v>11</v>
      </c>
      <c r="B1768" s="53" t="s">
        <v>12</v>
      </c>
      <c r="C1768" s="53" t="s">
        <v>1</v>
      </c>
      <c r="D1768" s="53" t="s">
        <v>6</v>
      </c>
      <c r="E1768" s="53" t="s">
        <v>13</v>
      </c>
      <c r="F1768" s="53" t="s">
        <v>4</v>
      </c>
      <c r="G1768" s="50" t="s">
        <v>9</v>
      </c>
      <c r="H1768" s="53" t="s">
        <v>3</v>
      </c>
      <c r="I1768" s="53"/>
      <c r="J1768" s="53"/>
      <c r="K1768" s="53"/>
    </row>
    <row r="1769" spans="1:12" ns3:dyDescent="0.2">
      <c r="A1769" s="53" t="str">
        <f>B1761</f>
        <v>heat, from on-site residential wood-fired CHP</v>
      </c>
      <c r="B1769" s="53">
        <v>1</v>
      </c>
      <c r="C1769" s="53" t="str">
        <f>B1762</f>
        <v>CH</v>
      </c>
      <c r="D1769" s="53" t="str">
        <f>B1766</f>
        <v>megajoule</v>
      </c>
      <c r="E1769" s="53"/>
      <c r="F1769" s="53" t="s">
        <v>15</v>
      </c>
      <c r="H1769" s="53" t="str">
        <f>B1764</f>
        <v>heat</v>
      </c>
      <c r="I1769" s="53"/>
      <c r="J1769" s="53"/>
      <c r="K1769" s="53"/>
      <c r="L1769" s="53"/>
    </row>
    <row r="1770" spans="1:12" ns3:dyDescent="0.2">
      <c r="A1770" s="53" t="s">
        <v>327</v>
      </c>
      <c r="B1770">
        <f>1/(0.0396618169378429*19)</f>
        <v>1.3270087709257352</v>
      </c>
      <c r="C1770" t="s">
        <v>104</v>
      </c>
      <c r="D1770" t="s">
        <v>17</v>
      </c>
      <c r="F1770" t="s">
        <v>18</v>
      </c>
      <c r="H1770" t="s">
        <v>295</v>
      </c>
    </row>
    <row r="1772" spans="1:12" ns3:dyDescent="0.2">
      <c r="B1772"/>
    </row>
    <row r="1773">
      <c r="A1773" t="inlineStr">
        <is>
          <t>Activity</t>
        </is>
      </c>
      <c r="B1773" t="inlineStr">
        <is>
          <t>diesel, burned in passenger car vehicle</t>
        </is>
      </c>
    </row>
    <row r="1774">
      <c r="A1774" t="inlineStr">
        <is>
          <t>location</t>
        </is>
      </c>
      <c r="B1774" t="inlineStr">
        <is>
          <t>CH</t>
        </is>
      </c>
    </row>
    <row r="1775">
      <c r="A1775" t="inlineStr">
        <is>
          <t>production amount</t>
        </is>
      </c>
      <c r="B1775">
        <v>1</v>
      </c>
    </row>
    <row r="1776">
      <c r="A1776" t="inlineStr">
        <is>
          <t>reference product</t>
        </is>
      </c>
      <c r="B1776" t="inlineStr">
        <is>
          <t>heat</t>
        </is>
      </c>
    </row>
    <row r="1777">
      <c r="A1777" t="inlineStr">
        <is>
          <t>type</t>
        </is>
      </c>
      <c r="B1777" t="inlineStr">
        <is>
          <t>process</t>
        </is>
      </c>
    </row>
    <row r="1778">
      <c r="A1778" t="inlineStr">
        <is>
          <t>unit</t>
        </is>
      </c>
      <c r="B1778" t="inlineStr">
        <is>
          <t>megajoule</t>
        </is>
      </c>
    </row>
    <row r="1779">
      <c r="A1779" t="inlineStr">
        <is>
          <t>energy use source</t>
        </is>
      </c>
      <c r="B1779"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1780">
      <c r="A1780" t="inlineStr">
        <is>
          <t>comment</t>
        </is>
      </c>
      <c r="B1780"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1781">
      <c r="A1781" t="inlineStr">
        <is>
          <t>Exchanges</t>
        </is>
      </c>
    </row>
    <row r="1782">
      <c r="A1782" t="inlineStr">
        <is>
          <t>name</t>
        </is>
      </c>
      <c r="B1782" t="inlineStr">
        <is>
          <t>amount</t>
        </is>
      </c>
      <c r="C1782" t="inlineStr">
        <is>
          <t>location</t>
        </is>
      </c>
      <c r="D1782" t="inlineStr">
        <is>
          <t>unit</t>
        </is>
      </c>
      <c r="E1782" t="inlineStr">
        <is>
          <t>categories</t>
        </is>
      </c>
      <c r="F1782" t="inlineStr">
        <is>
          <t>type</t>
        </is>
      </c>
      <c r="G1782" t="inlineStr">
        <is>
          <t>reference product</t>
        </is>
      </c>
      <c r="H1782" t="inlineStr">
        <is>
          <t>comment</t>
        </is>
      </c>
      <c r="I1782" t="inlineStr">
        <is>
          <t>uncertainty type</t>
        </is>
      </c>
    </row>
    <row r="1783">
      <c r="A1783" t="inlineStr">
        <is>
          <t>diesel, burned in passenger car vehicle</t>
        </is>
      </c>
      <c r="B1783">
        <v>1.0</v>
      </c>
      <c r="C1783" t="inlineStr">
        <is>
          <t>CH</t>
        </is>
      </c>
      <c r="D1783" t="inlineStr">
        <is>
          <t>megajoule</t>
        </is>
      </c>
      <c r="F1783" t="inlineStr">
        <is>
          <t>production</t>
        </is>
      </c>
      <c r="G1783" t="inlineStr">
        <is>
          <t>heat</t>
        </is>
      </c>
      <c r="I1783">
        <v>0</v>
      </c>
    </row>
    <row r="1784">
      <c r="A1784" t="inlineStr">
        <is>
          <t>market for diesel, low-sulfur</t>
        </is>
      </c>
      <c r="B1784">
        <v>0.023255813953488375</v>
      </c>
      <c r="C1784" t="inlineStr">
        <is>
          <t>Europe without Switzerland</t>
        </is>
      </c>
      <c r="D1784" t="inlineStr">
        <is>
          <t>kilogram</t>
        </is>
      </c>
      <c r="F1784" t="inlineStr">
        <is>
          <t>technosphere</t>
        </is>
      </c>
      <c r="G1784" t="inlineStr">
        <is>
          <t>diesel, low-sulfur</t>
        </is>
      </c>
      <c r="H1784" t="inlineStr">
        <is>
          <t>Default carculator fuel energy preserved (1.86607492037 MJ/vkm); premise reference LHV 43.0 MJ/kg. Regional scenario blend belongs to premise.</t>
        </is>
      </c>
      <c r="I1784">
        <v>0</v>
      </c>
    </row>
    <row r="1785">
      <c r="A1785" t="inlineStr">
        <is>
          <t>treatment of brake wear emissions, passenger car</t>
        </is>
      </c>
      <c r="B1785">
        <v>-7.967052081550097e-06</v>
      </c>
      <c r="C1785" t="inlineStr">
        <is>
          <t>RER</t>
        </is>
      </c>
      <c r="D1785" t="inlineStr">
        <is>
          <t>kilogram</t>
        </is>
      </c>
      <c r="F1785" t="inlineStr">
        <is>
          <t>technosphere</t>
        </is>
      </c>
      <c r="G1785" t="inlineStr">
        <is>
          <t>brake wear emissions, passenger car</t>
        </is>
      </c>
      <c r="I1785">
        <v>0</v>
      </c>
    </row>
    <row r="1786">
      <c r="A1786" t="inlineStr">
        <is>
          <t>treatment of road wear emissions, passenger car</t>
        </is>
      </c>
      <c r="B1786">
        <v>-9.150770397723165e-06</v>
      </c>
      <c r="C1786" t="inlineStr">
        <is>
          <t>RER</t>
        </is>
      </c>
      <c r="D1786" t="inlineStr">
        <is>
          <t>kilogram</t>
        </is>
      </c>
      <c r="F1786" t="inlineStr">
        <is>
          <t>technosphere</t>
        </is>
      </c>
      <c r="G1786" t="inlineStr">
        <is>
          <t>road wear emissions, passenger car</t>
        </is>
      </c>
      <c r="I1786">
        <v>0</v>
      </c>
    </row>
    <row r="1787">
      <c r="A1787" t="inlineStr">
        <is>
          <t>treatment of tyre wear emissions, passenger car</t>
        </is>
      </c>
      <c r="B1787">
        <v>-1.0568832109350394e-05</v>
      </c>
      <c r="C1787" t="inlineStr">
        <is>
          <t>RER</t>
        </is>
      </c>
      <c r="D1787" t="inlineStr">
        <is>
          <t>kilogram</t>
        </is>
      </c>
      <c r="F1787" t="inlineStr">
        <is>
          <t>technosphere</t>
        </is>
      </c>
      <c r="G1787" t="inlineStr">
        <is>
          <t>tyre wear emissions, passenger car</t>
        </is>
      </c>
      <c r="I1787">
        <v>0</v>
      </c>
    </row>
    <row r="1788">
      <c r="A1788" t="inlineStr">
        <is>
          <t>market for tetrafluoroethane, R134a</t>
        </is>
      </c>
      <c r="B1788">
        <v>3.4832470313950515e-06</v>
      </c>
      <c r="C1788" t="inlineStr">
        <is>
          <t>GLO</t>
        </is>
      </c>
      <c r="D1788" t="inlineStr">
        <is>
          <t>kilogram</t>
        </is>
      </c>
      <c r="F1788" t="inlineStr">
        <is>
          <t>technosphere</t>
        </is>
      </c>
      <c r="G1788" t="inlineStr">
        <is>
          <t>tetrafluoroethane, R134a</t>
        </is>
      </c>
      <c r="I1788">
        <v>0</v>
      </c>
    </row>
    <row r="1789">
      <c r="A1789" t="inlineStr">
        <is>
          <t>Toluene</t>
        </is>
      </c>
      <c r="B1789">
        <v>1.8388993477254683e-09</v>
      </c>
      <c r="D1789" t="inlineStr">
        <is>
          <t>kilogram</t>
        </is>
      </c>
      <c r="E1789" t="inlineStr">
        <is>
          <t>air::non-urban air or from high stacks</t>
        </is>
      </c>
      <c r="F1789" t="inlineStr">
        <is>
          <t>biosphere</t>
        </is>
      </c>
      <c r="I1789">
        <v>0</v>
      </c>
    </row>
    <row r="1790">
      <c r="A1790" t="inlineStr">
        <is>
          <t>NMVOC, non-methane volatile organic compounds</t>
        </is>
      </c>
      <c r="B1790">
        <v>1.4657892889270108e-07</v>
      </c>
      <c r="D1790" t="inlineStr">
        <is>
          <t>kilogram</t>
        </is>
      </c>
      <c r="E1790" t="inlineStr">
        <is>
          <t>air::non-urban air or from high stacks</t>
        </is>
      </c>
      <c r="F1790" t="inlineStr">
        <is>
          <t>biosphere</t>
        </is>
      </c>
      <c r="I1790">
        <v>0</v>
      </c>
    </row>
    <row r="1791">
      <c r="A1791" t="inlineStr">
        <is>
          <t>Dinitrogen monoxide</t>
        </is>
      </c>
      <c r="B1791">
        <v>1.3837910754355256e-06</v>
      </c>
      <c r="D1791" t="inlineStr">
        <is>
          <t>kilogram</t>
        </is>
      </c>
      <c r="E1791" t="inlineStr">
        <is>
          <t>air::non-urban air or from high stacks</t>
        </is>
      </c>
      <c r="F1791" t="inlineStr">
        <is>
          <t>biosphere</t>
        </is>
      </c>
      <c r="I1791">
        <v>0</v>
      </c>
    </row>
    <row r="1792">
      <c r="A1792" t="inlineStr">
        <is>
          <t>Ethane</t>
        </is>
      </c>
      <c r="B1792">
        <v>4.072149787837132e-09</v>
      </c>
      <c r="D1792" t="inlineStr">
        <is>
          <t>kilogram</t>
        </is>
      </c>
      <c r="E1792" t="inlineStr">
        <is>
          <t>air::urban air close to ground</t>
        </is>
      </c>
      <c r="F1792" t="inlineStr">
        <is>
          <t>biosphere</t>
        </is>
      </c>
      <c r="I1792">
        <v>0</v>
      </c>
    </row>
    <row r="1793">
      <c r="A1793" t="inlineStr">
        <is>
          <t>Pentane</t>
        </is>
      </c>
      <c r="B1793">
        <v>4.935939064657017e-10</v>
      </c>
      <c r="D1793" t="inlineStr">
        <is>
          <t>kilogram</t>
        </is>
      </c>
      <c r="E1793" t="inlineStr">
        <is>
          <t>air::urban air close to ground</t>
        </is>
      </c>
      <c r="F1793" t="inlineStr">
        <is>
          <t>biosphere</t>
        </is>
      </c>
      <c r="I1793">
        <v>0</v>
      </c>
    </row>
    <row r="1794">
      <c r="A1794" t="inlineStr">
        <is>
          <t>Selenium IV</t>
        </is>
      </c>
      <c r="B1794">
        <v>1.4312488373385127e-12</v>
      </c>
      <c r="D1794" t="inlineStr">
        <is>
          <t>kilogram</t>
        </is>
      </c>
      <c r="E1794" t="inlineStr">
        <is>
          <t>air::non-urban air or from high stacks</t>
        </is>
      </c>
      <c r="F1794" t="inlineStr">
        <is>
          <t>biosphere</t>
        </is>
      </c>
      <c r="I1794">
        <v>0</v>
      </c>
    </row>
    <row r="1795">
      <c r="A1795" t="inlineStr">
        <is>
          <t>Arsenic ion</t>
        </is>
      </c>
      <c r="B1795">
        <v>1.4312488373385127e-12</v>
      </c>
      <c r="D1795" t="inlineStr">
        <is>
          <t>kilogram</t>
        </is>
      </c>
      <c r="E1795" t="inlineStr">
        <is>
          <t>air::non-urban air or from high stacks</t>
        </is>
      </c>
      <c r="F1795" t="inlineStr">
        <is>
          <t>biosphere</t>
        </is>
      </c>
      <c r="I1795">
        <v>0</v>
      </c>
    </row>
    <row r="1796">
      <c r="A1796" t="inlineStr">
        <is>
          <t>Arsenic ion</t>
        </is>
      </c>
      <c r="B1796">
        <v>8.98750956554421e-13</v>
      </c>
      <c r="D1796" t="inlineStr">
        <is>
          <t>kilogram</t>
        </is>
      </c>
      <c r="E1796" t="inlineStr">
        <is>
          <t>air::urban air close to ground</t>
        </is>
      </c>
      <c r="F1796" t="inlineStr">
        <is>
          <t>biosphere</t>
        </is>
      </c>
      <c r="I1796">
        <v>0</v>
      </c>
    </row>
    <row r="1797">
      <c r="A1797" t="inlineStr">
        <is>
          <t>Propylene</t>
        </is>
      </c>
      <c r="B1797">
        <v>9.594256886963272e-09</v>
      </c>
      <c r="D1797" t="inlineStr">
        <is>
          <t>kilogram</t>
        </is>
      </c>
      <c r="E1797" t="inlineStr">
        <is>
          <t>air::non-urban air or from high stacks</t>
        </is>
      </c>
      <c r="F1797" t="inlineStr">
        <is>
          <t>biosphere</t>
        </is>
      </c>
      <c r="I1797">
        <v>0</v>
      </c>
    </row>
    <row r="1798">
      <c r="A1798" t="inlineStr">
        <is>
          <t>Particulate Matter, &lt; 2.5 um</t>
        </is>
      </c>
      <c r="B1798">
        <v>1.636891619531532e-07</v>
      </c>
      <c r="D1798" t="inlineStr">
        <is>
          <t>kilogram</t>
        </is>
      </c>
      <c r="E1798" t="inlineStr">
        <is>
          <t>air::urban air close to ground</t>
        </is>
      </c>
      <c r="F1798" t="inlineStr">
        <is>
          <t>biosphere</t>
        </is>
      </c>
      <c r="I1798">
        <v>0</v>
      </c>
    </row>
    <row r="1799">
      <c r="A1799" t="inlineStr">
        <is>
          <t>Nickel II</t>
        </is>
      </c>
      <c r="B1799">
        <v>2.856355271045539e-12</v>
      </c>
      <c r="D1799" t="inlineStr">
        <is>
          <t>kilogram</t>
        </is>
      </c>
      <c r="E1799" t="inlineStr">
        <is>
          <t>air::non-urban air or from high stacks</t>
        </is>
      </c>
      <c r="F1799" t="inlineStr">
        <is>
          <t>biosphere</t>
        </is>
      </c>
      <c r="I1799">
        <v>0</v>
      </c>
    </row>
    <row r="1800">
      <c r="A1800" t="inlineStr">
        <is>
          <t>Methane, fossil</t>
        </is>
      </c>
      <c r="B1800">
        <v>2.3985624245130236e-06</v>
      </c>
      <c r="D1800" t="inlineStr">
        <is>
          <t>kilogram</t>
        </is>
      </c>
      <c r="E1800" t="inlineStr">
        <is>
          <t>air::non-urban air or from high stacks</t>
        </is>
      </c>
      <c r="F1800" t="inlineStr">
        <is>
          <t>biosphere</t>
        </is>
      </c>
      <c r="I1800">
        <v>0</v>
      </c>
    </row>
    <row r="1801">
      <c r="A1801" t="inlineStr">
        <is>
          <t>Mercury II</t>
        </is>
      </c>
      <c r="B1801">
        <v>7.555519944566824e-11</v>
      </c>
      <c r="D1801" t="inlineStr">
        <is>
          <t>kilogram</t>
        </is>
      </c>
      <c r="E1801" t="inlineStr">
        <is>
          <t>air::non-urban air or from high stacks</t>
        </is>
      </c>
      <c r="F1801" t="inlineStr">
        <is>
          <t>biosphere</t>
        </is>
      </c>
      <c r="I1801">
        <v>0</v>
      </c>
    </row>
    <row r="1802">
      <c r="A1802" t="inlineStr">
        <is>
          <t>Ammonia</t>
        </is>
      </c>
      <c r="B1802">
        <v>8.515878173642505e-07</v>
      </c>
      <c r="D1802" t="inlineStr">
        <is>
          <t>kilogram</t>
        </is>
      </c>
      <c r="E1802" t="inlineStr">
        <is>
          <t>air::non-urban air or from high stacks</t>
        </is>
      </c>
      <c r="F1802" t="inlineStr">
        <is>
          <t>biosphere</t>
        </is>
      </c>
      <c r="I1802">
        <v>0</v>
      </c>
    </row>
    <row r="1803">
      <c r="A1803" t="inlineStr">
        <is>
          <t>Ethane</t>
        </is>
      </c>
      <c r="B1803">
        <v>8.794736114330666e-10</v>
      </c>
      <c r="D1803" t="inlineStr">
        <is>
          <t>kilogram</t>
        </is>
      </c>
      <c r="E1803" t="inlineStr">
        <is>
          <t>air::non-urban air or from high stacks</t>
        </is>
      </c>
      <c r="F1803" t="inlineStr">
        <is>
          <t>biosphere</t>
        </is>
      </c>
      <c r="I1803">
        <v>0</v>
      </c>
    </row>
    <row r="1804">
      <c r="A1804" t="inlineStr">
        <is>
          <t>Nickel II</t>
        </is>
      </c>
      <c r="B1804">
        <v>1.7936446091257316e-12</v>
      </c>
      <c r="D1804" t="inlineStr">
        <is>
          <t>kilogram</t>
        </is>
      </c>
      <c r="E1804" t="inlineStr">
        <is>
          <t>air::urban air close to ground</t>
        </is>
      </c>
      <c r="F1804" t="inlineStr">
        <is>
          <t>biosphere</t>
        </is>
      </c>
      <c r="I1804">
        <v>0</v>
      </c>
    </row>
    <row r="1805">
      <c r="A1805" t="inlineStr">
        <is>
          <t>Cadmium II</t>
        </is>
      </c>
      <c r="B1805">
        <v>7.12553100652158e-13</v>
      </c>
      <c r="D1805" t="inlineStr">
        <is>
          <t>kilogram</t>
        </is>
      </c>
      <c r="E1805" t="inlineStr">
        <is>
          <t>air::non-urban air or from high stacks</t>
        </is>
      </c>
      <c r="F1805" t="inlineStr">
        <is>
          <t>biosphere</t>
        </is>
      </c>
      <c r="I1805">
        <v>0</v>
      </c>
    </row>
    <row r="1806">
      <c r="A1806" t="inlineStr">
        <is>
          <t>Ammonia</t>
        </is>
      </c>
      <c r="B1806">
        <v>5.347535547726079e-07</v>
      </c>
      <c r="D1806" t="inlineStr">
        <is>
          <t>kilogram</t>
        </is>
      </c>
      <c r="E1806" t="inlineStr">
        <is>
          <t>air::urban air close to ground</t>
        </is>
      </c>
      <c r="F1806" t="inlineStr">
        <is>
          <t>biosphere</t>
        </is>
      </c>
      <c r="I1806">
        <v>0</v>
      </c>
    </row>
    <row r="1807">
      <c r="A1807" t="inlineStr">
        <is>
          <t>Butane</t>
        </is>
      </c>
      <c r="B1807">
        <v>2.9315788039353776e-10</v>
      </c>
      <c r="D1807" t="inlineStr">
        <is>
          <t>kilogram</t>
        </is>
      </c>
      <c r="E1807" t="inlineStr">
        <is>
          <t>air::non-urban air or from high stacks</t>
        </is>
      </c>
      <c r="F1807" t="inlineStr">
        <is>
          <t>biosphere</t>
        </is>
      </c>
      <c r="I1807">
        <v>0</v>
      </c>
    </row>
    <row r="1808">
      <c r="A1808" t="inlineStr">
        <is>
          <t>PAH, polycyclic aromatic hydrocarbons</t>
        </is>
      </c>
      <c r="B1808">
        <v>5.091636535281869e-10</v>
      </c>
      <c r="D1808" t="inlineStr">
        <is>
          <t>kilogram</t>
        </is>
      </c>
      <c r="E1808" t="inlineStr">
        <is>
          <t>air::urban air close to ground</t>
        </is>
      </c>
      <c r="F1808" t="inlineStr">
        <is>
          <t>biosphere</t>
        </is>
      </c>
      <c r="I1808">
        <v>0</v>
      </c>
    </row>
    <row r="1809">
      <c r="A1809" t="inlineStr">
        <is>
          <t>Copper ion</t>
        </is>
      </c>
      <c r="B1809">
        <v>8.16979042710669e-11</v>
      </c>
      <c r="D1809" t="inlineStr">
        <is>
          <t>kilogram</t>
        </is>
      </c>
      <c r="E1809" t="inlineStr">
        <is>
          <t>air::non-urban air or from high stacks</t>
        </is>
      </c>
      <c r="F1809" t="inlineStr">
        <is>
          <t>biosphere</t>
        </is>
      </c>
      <c r="I1809">
        <v>0</v>
      </c>
    </row>
    <row r="1810">
      <c r="A1810" t="inlineStr">
        <is>
          <t>Nitrogen oxides</t>
        </is>
      </c>
      <c r="B1810">
        <v>1.2205207650351623e-05</v>
      </c>
      <c r="D1810" t="inlineStr">
        <is>
          <t>kilogram</t>
        </is>
      </c>
      <c r="E1810" t="inlineStr">
        <is>
          <t>air::non-urban air or from high stacks</t>
        </is>
      </c>
      <c r="F1810" t="inlineStr">
        <is>
          <t>biosphere</t>
        </is>
      </c>
      <c r="I1810">
        <v>0</v>
      </c>
    </row>
    <row r="1811">
      <c r="A1811" t="inlineStr">
        <is>
          <t>Butane</t>
        </is>
      </c>
      <c r="B1811">
        <v>1.3573831832855856e-09</v>
      </c>
      <c r="D1811" t="inlineStr">
        <is>
          <t>kilogram</t>
        </is>
      </c>
      <c r="E1811" t="inlineStr">
        <is>
          <t>air::urban air close to ground</t>
        </is>
      </c>
      <c r="F1811" t="inlineStr">
        <is>
          <t>biosphere</t>
        </is>
      </c>
      <c r="I1811">
        <v>0</v>
      </c>
    </row>
    <row r="1812">
      <c r="A1812" t="inlineStr">
        <is>
          <t>Copper ion</t>
        </is>
      </c>
      <c r="B1812">
        <v>5.130209510040208e-11</v>
      </c>
      <c r="D1812" t="inlineStr">
        <is>
          <t>kilogram</t>
        </is>
      </c>
      <c r="E1812" t="inlineStr">
        <is>
          <t>air::urban air close to ground</t>
        </is>
      </c>
      <c r="F1812" t="inlineStr">
        <is>
          <t>biosphere</t>
        </is>
      </c>
      <c r="I1812">
        <v>0</v>
      </c>
    </row>
    <row r="1813">
      <c r="A1813" t="inlineStr">
        <is>
          <t>Chromium III</t>
        </is>
      </c>
      <c r="B1813">
        <v>7.637454356709601e-11</v>
      </c>
      <c r="D1813" t="inlineStr">
        <is>
          <t>kilogram</t>
        </is>
      </c>
      <c r="E1813" t="inlineStr">
        <is>
          <t>air::urban air close to ground</t>
        </is>
      </c>
      <c r="F1813" t="inlineStr">
        <is>
          <t>biosphere</t>
        </is>
      </c>
      <c r="I1813">
        <v>0</v>
      </c>
    </row>
    <row r="1814">
      <c r="A1814" t="inlineStr">
        <is>
          <t>Propane</t>
        </is>
      </c>
      <c r="B1814">
        <v>1.3573831832855856e-09</v>
      </c>
      <c r="D1814" t="inlineStr">
        <is>
          <t>kilogram</t>
        </is>
      </c>
      <c r="E1814" t="inlineStr">
        <is>
          <t>air::urban air close to ground</t>
        </is>
      </c>
      <c r="F1814" t="inlineStr">
        <is>
          <t>biosphere</t>
        </is>
      </c>
      <c r="I1814">
        <v>0</v>
      </c>
    </row>
    <row r="1815">
      <c r="A1815" t="inlineStr">
        <is>
          <t>Toluene</t>
        </is>
      </c>
      <c r="B1815">
        <v>8.514495184008822e-09</v>
      </c>
      <c r="D1815" t="inlineStr">
        <is>
          <t>kilogram</t>
        </is>
      </c>
      <c r="E1815" t="inlineStr">
        <is>
          <t>air::urban air close to ground</t>
        </is>
      </c>
      <c r="F1815" t="inlineStr">
        <is>
          <t>biosphere</t>
        </is>
      </c>
      <c r="I1815">
        <v>0</v>
      </c>
    </row>
    <row r="1816">
      <c r="A1816" t="inlineStr">
        <is>
          <t>Dinitrogen monoxide</t>
        </is>
      </c>
      <c r="B1816">
        <v>8.68949829854063e-07</v>
      </c>
      <c r="D1816" t="inlineStr">
        <is>
          <t>kilogram</t>
        </is>
      </c>
      <c r="E1816" t="inlineStr">
        <is>
          <t>air::urban air close to ground</t>
        </is>
      </c>
      <c r="F1816" t="inlineStr">
        <is>
          <t>biosphere</t>
        </is>
      </c>
      <c r="I1816">
        <v>0</v>
      </c>
    </row>
    <row r="1817">
      <c r="A1817" t="inlineStr">
        <is>
          <t>Zinc II</t>
        </is>
      </c>
      <c r="B1817">
        <v>1.6162087653443074e-10</v>
      </c>
      <c r="D1817" t="inlineStr">
        <is>
          <t>kilogram</t>
        </is>
      </c>
      <c r="E1817" t="inlineStr">
        <is>
          <t>air::urban air close to ground</t>
        </is>
      </c>
      <c r="F1817" t="inlineStr">
        <is>
          <t>biosphere</t>
        </is>
      </c>
      <c r="I1817">
        <v>0</v>
      </c>
    </row>
    <row r="1818">
      <c r="A1818" t="inlineStr">
        <is>
          <t>Chromium VI</t>
        </is>
      </c>
      <c r="B1818">
        <v>2.426366216798939e-13</v>
      </c>
      <c r="D1818" t="inlineStr">
        <is>
          <t>kilogram</t>
        </is>
      </c>
      <c r="E1818" t="inlineStr">
        <is>
          <t>air::non-urban air or from high stacks</t>
        </is>
      </c>
      <c r="F1818" t="inlineStr">
        <is>
          <t>biosphere</t>
        </is>
      </c>
      <c r="I1818">
        <v>0</v>
      </c>
    </row>
    <row r="1819">
      <c r="A1819" t="inlineStr">
        <is>
          <t>Benzene</t>
        </is>
      </c>
      <c r="B1819">
        <v>2.1320570436842153e-08</v>
      </c>
      <c r="D1819" t="inlineStr">
        <is>
          <t>kilogram</t>
        </is>
      </c>
      <c r="E1819" t="inlineStr">
        <is>
          <t>air::non-urban air or from high stacks</t>
        </is>
      </c>
      <c r="F1819" t="inlineStr">
        <is>
          <t>biosphere</t>
        </is>
      </c>
      <c r="I1819">
        <v>0</v>
      </c>
    </row>
    <row r="1820">
      <c r="A1820" t="inlineStr">
        <is>
          <t>Carbon monoxide, fossil</t>
        </is>
      </c>
      <c r="B1820">
        <v>4.486574608647261e-06</v>
      </c>
      <c r="D1820" t="inlineStr">
        <is>
          <t>kilogram</t>
        </is>
      </c>
      <c r="E1820" t="inlineStr">
        <is>
          <t>air::non-urban air or from high stacks</t>
        </is>
      </c>
      <c r="F1820" t="inlineStr">
        <is>
          <t>biosphere</t>
        </is>
      </c>
      <c r="I1820">
        <v>0</v>
      </c>
    </row>
    <row r="1821">
      <c r="A1821" t="inlineStr">
        <is>
          <t>Chromium VI</t>
        </is>
      </c>
      <c r="B1821">
        <v>1.5236336208114335e-13</v>
      </c>
      <c r="D1821" t="inlineStr">
        <is>
          <t>kilogram</t>
        </is>
      </c>
      <c r="E1821" t="inlineStr">
        <is>
          <t>air::urban air close to ground</t>
        </is>
      </c>
      <c r="F1821" t="inlineStr">
        <is>
          <t>biosphere</t>
        </is>
      </c>
      <c r="I1821">
        <v>0</v>
      </c>
    </row>
    <row r="1822">
      <c r="A1822" t="inlineStr">
        <is>
          <t>Methane, fossil</t>
        </is>
      </c>
      <c r="B1822">
        <v>1.5324029278860158e-06</v>
      </c>
      <c r="D1822" t="inlineStr">
        <is>
          <t>kilogram</t>
        </is>
      </c>
      <c r="E1822" t="inlineStr">
        <is>
          <t>air::urban air close to ground</t>
        </is>
      </c>
      <c r="F1822" t="inlineStr">
        <is>
          <t>biosphere</t>
        </is>
      </c>
      <c r="I1822">
        <v>0</v>
      </c>
    </row>
    <row r="1823">
      <c r="A1823" t="inlineStr">
        <is>
          <t>Sulfur dioxide</t>
        </is>
      </c>
      <c r="B1823">
        <v>4.6773094625996215e-07</v>
      </c>
      <c r="D1823" t="inlineStr">
        <is>
          <t>kilogram</t>
        </is>
      </c>
      <c r="E1823" t="inlineStr">
        <is>
          <t>air</t>
        </is>
      </c>
      <c r="F1823" t="inlineStr">
        <is>
          <t>biosphere</t>
        </is>
      </c>
      <c r="I1823">
        <v>0</v>
      </c>
    </row>
    <row r="1824">
      <c r="A1824" t="inlineStr">
        <is>
          <t>NMVOC, non-methane volatile organic compounds</t>
        </is>
      </c>
      <c r="B1824">
        <v>6.786915792678135e-07</v>
      </c>
      <c r="D1824" t="inlineStr">
        <is>
          <t>kilogram</t>
        </is>
      </c>
      <c r="E1824" t="inlineStr">
        <is>
          <t>air::urban air close to ground</t>
        </is>
      </c>
      <c r="F1824" t="inlineStr">
        <is>
          <t>biosphere</t>
        </is>
      </c>
      <c r="I1824">
        <v>0</v>
      </c>
    </row>
    <row r="1825">
      <c r="A1825" t="inlineStr">
        <is>
          <t>Formaldehyde</t>
        </is>
      </c>
      <c r="B1825">
        <v>1.4807816718010298e-07</v>
      </c>
      <c r="D1825" t="inlineStr">
        <is>
          <t>kilogram</t>
        </is>
      </c>
      <c r="E1825" t="inlineStr">
        <is>
          <t>air::urban air close to ground</t>
        </is>
      </c>
      <c r="F1825" t="inlineStr">
        <is>
          <t>biosphere</t>
        </is>
      </c>
      <c r="I1825">
        <v>0</v>
      </c>
    </row>
    <row r="1826">
      <c r="A1826" t="inlineStr">
        <is>
          <t>Nitrogen oxides</t>
        </is>
      </c>
      <c r="B1826">
        <v>1.6646759692298164e-05</v>
      </c>
      <c r="D1826" t="inlineStr">
        <is>
          <t>kilogram</t>
        </is>
      </c>
      <c r="E1826" t="inlineStr">
        <is>
          <t>air::urban air close to ground</t>
        </is>
      </c>
      <c r="F1826" t="inlineStr">
        <is>
          <t>biosphere</t>
        </is>
      </c>
      <c r="I1826">
        <v>0</v>
      </c>
    </row>
    <row r="1827">
      <c r="A1827" t="inlineStr">
        <is>
          <t>Formaldehyde</t>
        </is>
      </c>
      <c r="B1827">
        <v>3.198085755910623e-08</v>
      </c>
      <c r="D1827" t="inlineStr">
        <is>
          <t>kilogram</t>
        </is>
      </c>
      <c r="E1827" t="inlineStr">
        <is>
          <t>air::non-urban air or from high stacks</t>
        </is>
      </c>
      <c r="F1827" t="inlineStr">
        <is>
          <t>biosphere</t>
        </is>
      </c>
      <c r="I1827">
        <v>0</v>
      </c>
    </row>
    <row r="1828">
      <c r="A1828" t="inlineStr">
        <is>
          <t>Zinc II</t>
        </is>
      </c>
      <c r="B1828">
        <v>2.5737910759022457e-10</v>
      </c>
      <c r="D1828" t="inlineStr">
        <is>
          <t>kilogram</t>
        </is>
      </c>
      <c r="E1828" t="inlineStr">
        <is>
          <t>air::non-urban air or from high stacks</t>
        </is>
      </c>
      <c r="F1828" t="inlineStr">
        <is>
          <t>biosphere</t>
        </is>
      </c>
      <c r="I1828">
        <v>0</v>
      </c>
    </row>
    <row r="1829">
      <c r="A1829" t="inlineStr">
        <is>
          <t>Carbon monoxide, fossil</t>
        </is>
      </c>
      <c r="B1829">
        <v>1.4237602031170576e-05</v>
      </c>
      <c r="D1829" t="inlineStr">
        <is>
          <t>kilogram</t>
        </is>
      </c>
      <c r="E1829" t="inlineStr">
        <is>
          <t>air::urban air close to ground</t>
        </is>
      </c>
      <c r="F1829" t="inlineStr">
        <is>
          <t>biosphere</t>
        </is>
      </c>
      <c r="I1829">
        <v>0</v>
      </c>
    </row>
    <row r="1830">
      <c r="A1830" t="inlineStr">
        <is>
          <t>m-Xylene</t>
        </is>
      </c>
      <c r="B1830">
        <v>7.527306895116669e-09</v>
      </c>
      <c r="D1830" t="inlineStr">
        <is>
          <t>kilogram</t>
        </is>
      </c>
      <c r="E1830" t="inlineStr">
        <is>
          <t>air::urban air close to ground</t>
        </is>
      </c>
      <c r="F1830" t="inlineStr">
        <is>
          <t>biosphere</t>
        </is>
      </c>
      <c r="I1830">
        <v>0</v>
      </c>
    </row>
    <row r="1831">
      <c r="A1831" t="inlineStr">
        <is>
          <t>PAH, polycyclic aromatic hydrocarbons</t>
        </is>
      </c>
      <c r="B1831">
        <v>8.108362635164032e-10</v>
      </c>
      <c r="D1831" t="inlineStr">
        <is>
          <t>kilogram</t>
        </is>
      </c>
      <c r="E1831" t="inlineStr">
        <is>
          <t>air::non-urban air or from high stacks</t>
        </is>
      </c>
      <c r="F1831" t="inlineStr">
        <is>
          <t>biosphere</t>
        </is>
      </c>
      <c r="I1831">
        <v>0</v>
      </c>
    </row>
    <row r="1832">
      <c r="A1832" t="inlineStr">
        <is>
          <t>Particulate Matter, &lt; 2.5 um</t>
        </is>
      </c>
      <c r="B1832">
        <v>1.5058152272837298e-07</v>
      </c>
      <c r="D1832" t="inlineStr">
        <is>
          <t>kilogram</t>
        </is>
      </c>
      <c r="E1832" t="inlineStr">
        <is>
          <t>air::non-urban air or from high stacks</t>
        </is>
      </c>
      <c r="F1832" t="inlineStr">
        <is>
          <t>biosphere</t>
        </is>
      </c>
      <c r="I1832">
        <v>0</v>
      </c>
    </row>
    <row r="1833">
      <c r="A1833" t="inlineStr">
        <is>
          <t>Pentane</t>
        </is>
      </c>
      <c r="B1833">
        <v>1.0660286289332767e-10</v>
      </c>
      <c r="D1833" t="inlineStr">
        <is>
          <t>kilogram</t>
        </is>
      </c>
      <c r="E1833" t="inlineStr">
        <is>
          <t>air::non-urban air or from high stacks</t>
        </is>
      </c>
      <c r="F1833" t="inlineStr">
        <is>
          <t>biosphere</t>
        </is>
      </c>
      <c r="I1833">
        <v>0</v>
      </c>
    </row>
    <row r="1834">
      <c r="A1834" t="inlineStr">
        <is>
          <t>1,1,1,2-Tetrafluoroethane</t>
        </is>
      </c>
      <c r="B1834">
        <v>2.00956556691731e-06</v>
      </c>
      <c r="D1834" t="inlineStr">
        <is>
          <t>kilogram</t>
        </is>
      </c>
      <c r="E1834" t="inlineStr">
        <is>
          <t>air</t>
        </is>
      </c>
      <c r="F1834" t="inlineStr">
        <is>
          <t>biosphere</t>
        </is>
      </c>
      <c r="I1834">
        <v>0</v>
      </c>
    </row>
    <row r="1835">
      <c r="A1835" t="inlineStr">
        <is>
          <t>Acetaldehyde</t>
        </is>
      </c>
      <c r="B1835">
        <v>7.983881383537138e-08</v>
      </c>
      <c r="D1835" t="inlineStr">
        <is>
          <t>kilogram</t>
        </is>
      </c>
      <c r="E1835" t="inlineStr">
        <is>
          <t>air::urban air close to ground</t>
        </is>
      </c>
      <c r="F1835" t="inlineStr">
        <is>
          <t>biosphere</t>
        </is>
      </c>
      <c r="I1835">
        <v>0</v>
      </c>
    </row>
    <row r="1836">
      <c r="A1836" t="inlineStr">
        <is>
          <t>Benzene</t>
        </is>
      </c>
      <c r="B1836">
        <v>2.617468470906676e-08</v>
      </c>
      <c r="D1836" t="inlineStr">
        <is>
          <t>kilogram</t>
        </is>
      </c>
      <c r="E1836" t="inlineStr">
        <is>
          <t>air::urban air close to ground</t>
        </is>
      </c>
      <c r="F1836" t="inlineStr">
        <is>
          <t>biosphere</t>
        </is>
      </c>
      <c r="I1836">
        <v>0</v>
      </c>
    </row>
    <row r="1837">
      <c r="A1837" t="inlineStr">
        <is>
          <t>Mercury II</t>
        </is>
      </c>
      <c r="B1837">
        <v>4.74447939061248e-11</v>
      </c>
      <c r="D1837" t="inlineStr">
        <is>
          <t>kilogram</t>
        </is>
      </c>
      <c r="E1837" t="inlineStr">
        <is>
          <t>air::urban air close to ground</t>
        </is>
      </c>
      <c r="F1837" t="inlineStr">
        <is>
          <t>biosphere</t>
        </is>
      </c>
      <c r="I1837">
        <v>0</v>
      </c>
    </row>
    <row r="1838">
      <c r="A1838" t="inlineStr">
        <is>
          <t>Cadmium II</t>
        </is>
      </c>
      <c r="B1838">
        <v>4.4744682628565553e-13</v>
      </c>
      <c r="D1838" t="inlineStr">
        <is>
          <t>kilogram</t>
        </is>
      </c>
      <c r="E1838" t="inlineStr">
        <is>
          <t>air::urban air close to ground</t>
        </is>
      </c>
      <c r="F1838" t="inlineStr">
        <is>
          <t>biosphere</t>
        </is>
      </c>
      <c r="I1838">
        <v>0</v>
      </c>
    </row>
    <row r="1839">
      <c r="A1839" t="inlineStr">
        <is>
          <t>Propane</t>
        </is>
      </c>
      <c r="B1839">
        <v>2.9315788039353776e-10</v>
      </c>
      <c r="D1839" t="inlineStr">
        <is>
          <t>kilogram</t>
        </is>
      </c>
      <c r="E1839" t="inlineStr">
        <is>
          <t>air::non-urban air or from high stacks</t>
        </is>
      </c>
      <c r="F1839" t="inlineStr">
        <is>
          <t>biosphere</t>
        </is>
      </c>
      <c r="I1839">
        <v>0</v>
      </c>
    </row>
    <row r="1840">
      <c r="A1840" t="inlineStr">
        <is>
          <t>Chromium III</t>
        </is>
      </c>
      <c r="B1840">
        <v>1.2162544101483783e-10</v>
      </c>
      <c r="D1840" t="inlineStr">
        <is>
          <t>kilogram</t>
        </is>
      </c>
      <c r="E1840" t="inlineStr">
        <is>
          <t>air::non-urban air or from high stacks</t>
        </is>
      </c>
      <c r="F1840" t="inlineStr">
        <is>
          <t>biosphere</t>
        </is>
      </c>
      <c r="I1840">
        <v>0</v>
      </c>
    </row>
    <row r="1841">
      <c r="A1841" t="inlineStr">
        <is>
          <t>Acetone</t>
        </is>
      </c>
      <c r="B1841">
        <v>3.627915248219963e-08</v>
      </c>
      <c r="D1841" t="inlineStr">
        <is>
          <t>kilogram</t>
        </is>
      </c>
      <c r="E1841" t="inlineStr">
        <is>
          <t>air::urban air close to ground</t>
        </is>
      </c>
      <c r="F1841" t="inlineStr">
        <is>
          <t>biosphere</t>
        </is>
      </c>
      <c r="I1841">
        <v>0</v>
      </c>
    </row>
    <row r="1842">
      <c r="A1842" t="inlineStr">
        <is>
          <t>Acrolein</t>
        </is>
      </c>
      <c r="B1842">
        <v>4.4176654985650857e-08</v>
      </c>
      <c r="D1842" t="inlineStr">
        <is>
          <t>kilogram</t>
        </is>
      </c>
      <c r="E1842" t="inlineStr">
        <is>
          <t>air::urban air close to ground</t>
        </is>
      </c>
      <c r="F1842" t="inlineStr">
        <is>
          <t>biosphere</t>
        </is>
      </c>
      <c r="I1842">
        <v>0</v>
      </c>
    </row>
    <row r="1843">
      <c r="A1843" t="inlineStr">
        <is>
          <t>Benzaldehyde</t>
        </is>
      </c>
      <c r="B1843">
        <v>1.061226839406165e-08</v>
      </c>
      <c r="D1843" t="inlineStr">
        <is>
          <t>kilogram</t>
        </is>
      </c>
      <c r="E1843" t="inlineStr">
        <is>
          <t>air::urban air close to ground</t>
        </is>
      </c>
      <c r="F1843" t="inlineStr">
        <is>
          <t>biosphere</t>
        </is>
      </c>
      <c r="I1843">
        <v>0</v>
      </c>
    </row>
    <row r="1844">
      <c r="A1844" t="inlineStr">
        <is>
          <t>Cyclohexane</t>
        </is>
      </c>
      <c r="B1844">
        <v>8.020901039562743e-09</v>
      </c>
      <c r="D1844" t="inlineStr">
        <is>
          <t>kilogram</t>
        </is>
      </c>
      <c r="E1844" t="inlineStr">
        <is>
          <t>air::urban air close to ground</t>
        </is>
      </c>
      <c r="F1844" t="inlineStr">
        <is>
          <t>biosphere</t>
        </is>
      </c>
      <c r="I1844">
        <v>0</v>
      </c>
    </row>
    <row r="1845">
      <c r="A1845" t="inlineStr">
        <is>
          <t>Heptane</t>
        </is>
      </c>
      <c r="B1845">
        <v>2.4679695323285083e-09</v>
      </c>
      <c r="D1845" t="inlineStr">
        <is>
          <t>kilogram</t>
        </is>
      </c>
      <c r="E1845" t="inlineStr">
        <is>
          <t>air::urban air close to ground</t>
        </is>
      </c>
      <c r="F1845" t="inlineStr">
        <is>
          <t>biosphere</t>
        </is>
      </c>
      <c r="I1845">
        <v>0</v>
      </c>
    </row>
    <row r="1846">
      <c r="A1846" t="inlineStr">
        <is>
          <t>Methyl ethyl ketone</t>
        </is>
      </c>
      <c r="B1846">
        <v>1.4807816718010298e-08</v>
      </c>
      <c r="D1846" t="inlineStr">
        <is>
          <t>kilogram</t>
        </is>
      </c>
      <c r="E1846" t="inlineStr">
        <is>
          <t>air::urban air close to ground</t>
        </is>
      </c>
      <c r="F1846" t="inlineStr">
        <is>
          <t>biosphere</t>
        </is>
      </c>
      <c r="I1846">
        <v>0</v>
      </c>
    </row>
    <row r="1847">
      <c r="A1847" t="inlineStr">
        <is>
          <t>o-Xylene</t>
        </is>
      </c>
      <c r="B1847">
        <v>3.331758809148392e-09</v>
      </c>
      <c r="D1847" t="inlineStr">
        <is>
          <t>kilogram</t>
        </is>
      </c>
      <c r="E1847" t="inlineStr">
        <is>
          <t>air::urban air close to ground</t>
        </is>
      </c>
      <c r="F1847" t="inlineStr">
        <is>
          <t>biosphere</t>
        </is>
      </c>
      <c r="I1847">
        <v>0</v>
      </c>
    </row>
    <row r="1848">
      <c r="A1848" t="inlineStr">
        <is>
          <t>Propylene</t>
        </is>
      </c>
      <c r="B1848">
        <v>4.4423450154030895e-08</v>
      </c>
      <c r="D1848" t="inlineStr">
        <is>
          <t>kilogram</t>
        </is>
      </c>
      <c r="E1848" t="inlineStr">
        <is>
          <t>air::urban air close to ground</t>
        </is>
      </c>
      <c r="F1848" t="inlineStr">
        <is>
          <t>biosphere</t>
        </is>
      </c>
      <c r="I1848">
        <v>0</v>
      </c>
    </row>
    <row r="1849">
      <c r="A1849" t="inlineStr">
        <is>
          <t>Selenium IV</t>
        </is>
      </c>
      <c r="B1849">
        <v>8.98750956554421e-13</v>
      </c>
      <c r="D1849" t="inlineStr">
        <is>
          <t>kilogram</t>
        </is>
      </c>
      <c r="E1849" t="inlineStr">
        <is>
          <t>air::urban air close to ground</t>
        </is>
      </c>
      <c r="F1849" t="inlineStr">
        <is>
          <t>biosphere</t>
        </is>
      </c>
      <c r="I1849">
        <v>0</v>
      </c>
    </row>
    <row r="1850">
      <c r="A1850" t="inlineStr">
        <is>
          <t>Styrene</t>
        </is>
      </c>
      <c r="B1850">
        <v>4.5657434563224585e-09</v>
      </c>
      <c r="D1850" t="inlineStr">
        <is>
          <t>kilogram</t>
        </is>
      </c>
      <c r="E1850" t="inlineStr">
        <is>
          <t>air::urban air close to ground</t>
        </is>
      </c>
      <c r="F1850" t="inlineStr">
        <is>
          <t>biosphere</t>
        </is>
      </c>
      <c r="I1850">
        <v>0</v>
      </c>
    </row>
    <row r="1851">
      <c r="A1851" t="inlineStr">
        <is>
          <t>Acetaldehyde</t>
        </is>
      </c>
      <c r="B1851">
        <v>1.7243010879114162e-08</v>
      </c>
      <c r="D1851" t="inlineStr">
        <is>
          <t>kilogram</t>
        </is>
      </c>
      <c r="E1851" t="inlineStr">
        <is>
          <t>air::non-urban air or from high stacks</t>
        </is>
      </c>
      <c r="F1851" t="inlineStr">
        <is>
          <t>biosphere</t>
        </is>
      </c>
      <c r="I1851">
        <v>0</v>
      </c>
    </row>
    <row r="1852">
      <c r="A1852" t="inlineStr">
        <is>
          <t>Acetone</t>
        </is>
      </c>
      <c r="B1852">
        <v>7.835309664097135e-09</v>
      </c>
      <c r="D1852" t="inlineStr">
        <is>
          <t>kilogram</t>
        </is>
      </c>
      <c r="E1852" t="inlineStr">
        <is>
          <t>air::non-urban air or from high stacks</t>
        </is>
      </c>
      <c r="F1852" t="inlineStr">
        <is>
          <t>biosphere</t>
        </is>
      </c>
      <c r="I1852">
        <v>0</v>
      </c>
    </row>
    <row r="1853">
      <c r="A1853" t="inlineStr">
        <is>
          <t>Acrolein</t>
        </is>
      </c>
      <c r="B1853">
        <v>9.540955946351132e-09</v>
      </c>
      <c r="D1853" t="inlineStr">
        <is>
          <t>kilogram</t>
        </is>
      </c>
      <c r="E1853" t="inlineStr">
        <is>
          <t>air::non-urban air or from high stacks</t>
        </is>
      </c>
      <c r="F1853" t="inlineStr">
        <is>
          <t>biosphere</t>
        </is>
      </c>
      <c r="I1853">
        <v>0</v>
      </c>
    </row>
    <row r="1854">
      <c r="A1854" t="inlineStr">
        <is>
          <t>Benzaldehyde</t>
        </is>
      </c>
      <c r="B1854">
        <v>2.291961388595036e-09</v>
      </c>
      <c r="D1854" t="inlineStr">
        <is>
          <t>kilogram</t>
        </is>
      </c>
      <c r="E1854" t="inlineStr">
        <is>
          <t>air::non-urban air or from high stacks</t>
        </is>
      </c>
      <c r="F1854" t="inlineStr">
        <is>
          <t>biosphere</t>
        </is>
      </c>
      <c r="I1854">
        <v>0</v>
      </c>
    </row>
    <row r="1855">
      <c r="A1855" t="inlineStr">
        <is>
          <t>Cyclohexane</t>
        </is>
      </c>
      <c r="B1855">
        <v>1.7322965145796874e-09</v>
      </c>
      <c r="D1855" t="inlineStr">
        <is>
          <t>kilogram</t>
        </is>
      </c>
      <c r="E1855" t="inlineStr">
        <is>
          <t>air::non-urban air or from high stacks</t>
        </is>
      </c>
      <c r="F1855" t="inlineStr">
        <is>
          <t>biosphere</t>
        </is>
      </c>
      <c r="I1855">
        <v>0</v>
      </c>
    </row>
    <row r="1856">
      <c r="A1856" t="inlineStr">
        <is>
          <t>Heptane</t>
        </is>
      </c>
      <c r="B1856">
        <v>5.330142847190914e-10</v>
      </c>
      <c r="D1856" t="inlineStr">
        <is>
          <t>kilogram</t>
        </is>
      </c>
      <c r="E1856" t="inlineStr">
        <is>
          <t>air::non-urban air or from high stacks</t>
        </is>
      </c>
      <c r="F1856" t="inlineStr">
        <is>
          <t>biosphere</t>
        </is>
      </c>
      <c r="I1856">
        <v>0</v>
      </c>
    </row>
    <row r="1857">
      <c r="A1857" t="inlineStr">
        <is>
          <t>Methyl ethyl ketone</t>
        </is>
      </c>
      <c r="B1857">
        <v>3.198085708314548e-09</v>
      </c>
      <c r="D1857" t="inlineStr">
        <is>
          <t>kilogram</t>
        </is>
      </c>
      <c r="E1857" t="inlineStr">
        <is>
          <t>air::non-urban air or from high stacks</t>
        </is>
      </c>
      <c r="F1857" t="inlineStr">
        <is>
          <t>biosphere</t>
        </is>
      </c>
      <c r="I1857">
        <v>0</v>
      </c>
    </row>
    <row r="1858">
      <c r="A1858" t="inlineStr">
        <is>
          <t>m-Xylene</t>
        </is>
      </c>
      <c r="B1858">
        <v>1.6256935624437191e-09</v>
      </c>
      <c r="D1858" t="inlineStr">
        <is>
          <t>kilogram</t>
        </is>
      </c>
      <c r="E1858" t="inlineStr">
        <is>
          <t>air::non-urban air or from high stacks</t>
        </is>
      </c>
      <c r="F1858" t="inlineStr">
        <is>
          <t>biosphere</t>
        </is>
      </c>
      <c r="I1858">
        <v>0</v>
      </c>
    </row>
    <row r="1859">
      <c r="A1859" t="inlineStr">
        <is>
          <t>o-Xylene</t>
        </is>
      </c>
      <c r="B1859">
        <v>7.195693022193013e-10</v>
      </c>
      <c r="D1859" t="inlineStr">
        <is>
          <t>kilogram</t>
        </is>
      </c>
      <c r="E1859" t="inlineStr">
        <is>
          <t>air::non-urban air or from high stacks</t>
        </is>
      </c>
      <c r="F1859" t="inlineStr">
        <is>
          <t>biosphere</t>
        </is>
      </c>
      <c r="I1859">
        <v>0</v>
      </c>
    </row>
    <row r="1860">
      <c r="A1860" t="inlineStr">
        <is>
          <t>Styrene</t>
        </is>
      </c>
      <c r="B1860">
        <v>9.86076444578847e-10</v>
      </c>
      <c r="D1860" t="inlineStr">
        <is>
          <t>kilogram</t>
        </is>
      </c>
      <c r="E1860" t="inlineStr">
        <is>
          <t>air::non-urban air or from high stacks</t>
        </is>
      </c>
      <c r="F1860" t="inlineStr">
        <is>
          <t>biosphere</t>
        </is>
      </c>
      <c r="I1860">
        <v>0</v>
      </c>
    </row>
    <row r="1861">
      <c r="A1861" t="inlineStr">
        <is>
          <t>Ethylene</t>
        </is>
      </c>
      <c r="B1861">
        <v>1.3536812652791e-07</v>
      </c>
      <c r="D1861" t="inlineStr">
        <is>
          <t>kilogram</t>
        </is>
      </c>
      <c r="E1861" t="inlineStr">
        <is>
          <t>air::urban air close to ground</t>
        </is>
      </c>
      <c r="F1861" t="inlineStr">
        <is>
          <t>biosphere</t>
        </is>
      </c>
      <c r="I1861">
        <v>0</v>
      </c>
    </row>
    <row r="1862">
      <c r="A1862" t="inlineStr">
        <is>
          <t>Ethylene</t>
        </is>
      </c>
      <c r="B1862">
        <v>2.923583389166125e-08</v>
      </c>
      <c r="D1862" t="inlineStr">
        <is>
          <t>kilogram</t>
        </is>
      </c>
      <c r="E1862" t="inlineStr">
        <is>
          <t>air::non-urban air or from high stacks</t>
        </is>
      </c>
      <c r="F1862" t="inlineStr">
        <is>
          <t>biosphere</t>
        </is>
      </c>
      <c r="I1862">
        <v>0</v>
      </c>
    </row>
    <row r="1863">
      <c r="A1863" t="inlineStr">
        <is>
          <t>market for internal combustion engine, passenger car</t>
        </is>
      </c>
      <c r="B1863">
        <v>0.0007866161325923368</v>
      </c>
      <c r="C1863" t="inlineStr">
        <is>
          <t>GLO</t>
        </is>
      </c>
      <c r="D1863" t="inlineStr">
        <is>
          <t>kilogram</t>
        </is>
      </c>
      <c r="F1863" t="inlineStr">
        <is>
          <t>technosphere</t>
        </is>
      </c>
      <c r="G1863" t="inlineStr">
        <is>
          <t>internal combustion engine, passenger car</t>
        </is>
      </c>
      <c r="H1863" t="inlineStr">
        <is>
          <t> Energy-use allocation: 293.5769348144531 * 4.999999873689376e-06 / 1.866074920371751 MJ per kilometer.</t>
        </is>
      </c>
      <c r="I1863">
        <v>0</v>
      </c>
    </row>
    <row r="1864">
      <c r="A1864" t="inlineStr">
        <is>
          <t>market for waste plastic, industrial electronics</t>
        </is>
      </c>
      <c r="B1864">
        <v>-0.00013127930051786527</v>
      </c>
      <c r="C1864" t="inlineStr">
        <is>
          <t>CH</t>
        </is>
      </c>
      <c r="D1864" t="inlineStr">
        <is>
          <t>kilogram</t>
        </is>
      </c>
      <c r="F1864" t="inlineStr">
        <is>
          <t>technosphere</t>
        </is>
      </c>
      <c r="G1864" t="inlineStr">
        <is>
          <t>waste plastic, industrial electronics</t>
        </is>
      </c>
      <c r="H1864" t="inlineStr">
        <is>
          <t> Energy-use allocation: -48.99540328979492 * 4.999999873689376e-06 / 1.866074920371751 MJ per kilometer.</t>
        </is>
      </c>
      <c r="I1864">
        <v>0</v>
      </c>
    </row>
    <row r="1865">
      <c r="A1865" t="inlineStr">
        <is>
          <t>polyethylene production, high density, granulate</t>
        </is>
      </c>
      <c r="B1865">
        <v>0.00013127930051786527</v>
      </c>
      <c r="C1865" t="inlineStr">
        <is>
          <t>RER</t>
        </is>
      </c>
      <c r="D1865" t="inlineStr">
        <is>
          <t>kilogram</t>
        </is>
      </c>
      <c r="F1865" t="inlineStr">
        <is>
          <t>technosphere</t>
        </is>
      </c>
      <c r="G1865" t="inlineStr">
        <is>
          <t>polyethylene, high density, granulate</t>
        </is>
      </c>
      <c r="H1865" t="inlineStr">
        <is>
          <t> Energy-use allocation: 48.99540328979492 * 4.999999873689376e-06 / 1.866074920371751 MJ per kilometer.</t>
        </is>
      </c>
      <c r="I1865">
        <v>0</v>
      </c>
    </row>
    <row r="1866">
      <c r="A1866" t="inlineStr">
        <is>
          <t>Carbon dioxide, fossil</t>
        </is>
      </c>
      <c r="B1866">
        <v>0.07320000000000003</v>
      </c>
      <c r="D1866" t="inlineStr">
        <is>
          <t>kilogram</t>
        </is>
      </c>
      <c r="E1866" t="inlineStr">
        <is>
          <t>air</t>
        </is>
      </c>
      <c r="F1866" t="inlineStr">
        <is>
          <t>biosphere</t>
        </is>
      </c>
      <c r="H1866" t="inlineStr">
        <is>
          <t>Reference fuel full-oxidation CO2; premise reclassifies fossil/biogenic emissions with its regional blend. Other carbon pollutants remain model defaults (not an elemental closure).</t>
        </is>
      </c>
      <c r="I1866">
        <v>0</v>
      </c>
    </row>
    <row r="1867"/>
    <row r="1868">
      <c r="A1868" t="inlineStr">
        <is>
          <t>Activity</t>
        </is>
      </c>
      <c r="B1868" t="inlineStr">
        <is>
          <t>petrol, burned in passenger car vehicle</t>
        </is>
      </c>
    </row>
    <row r="1869">
      <c r="A1869" t="inlineStr">
        <is>
          <t>location</t>
        </is>
      </c>
      <c r="B1869" t="inlineStr">
        <is>
          <t>CH</t>
        </is>
      </c>
    </row>
    <row r="1870">
      <c r="A1870" t="inlineStr">
        <is>
          <t>production amount</t>
        </is>
      </c>
      <c r="B1870">
        <v>1</v>
      </c>
    </row>
    <row r="1871">
      <c r="A1871" t="inlineStr">
        <is>
          <t>reference product</t>
        </is>
      </c>
      <c r="B1871" t="inlineStr">
        <is>
          <t>heat</t>
        </is>
      </c>
    </row>
    <row r="1872">
      <c r="A1872" t="inlineStr">
        <is>
          <t>type</t>
        </is>
      </c>
      <c r="B1872" t="inlineStr">
        <is>
          <t>process</t>
        </is>
      </c>
    </row>
    <row r="1873">
      <c r="A1873" t="inlineStr">
        <is>
          <t>unit</t>
        </is>
      </c>
      <c r="B1873" t="inlineStr">
        <is>
          <t>megajoule</t>
        </is>
      </c>
    </row>
    <row r="1874">
      <c r="A1874" t="inlineStr">
        <is>
          <t>energy use source</t>
        </is>
      </c>
      <c r="B187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1875">
      <c r="A1875" t="inlineStr">
        <is>
          <t>comment</t>
        </is>
      </c>
      <c r="B187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1876">
      <c r="A1876" t="inlineStr">
        <is>
          <t>Exchanges</t>
        </is>
      </c>
    </row>
    <row r="1877">
      <c r="A1877" t="inlineStr">
        <is>
          <t>name</t>
        </is>
      </c>
      <c r="B1877" t="inlineStr">
        <is>
          <t>amount</t>
        </is>
      </c>
      <c r="C1877" t="inlineStr">
        <is>
          <t>location</t>
        </is>
      </c>
      <c r="D1877" t="inlineStr">
        <is>
          <t>unit</t>
        </is>
      </c>
      <c r="E1877" t="inlineStr">
        <is>
          <t>categories</t>
        </is>
      </c>
      <c r="F1877" t="inlineStr">
        <is>
          <t>type</t>
        </is>
      </c>
      <c r="G1877" t="inlineStr">
        <is>
          <t>reference product</t>
        </is>
      </c>
      <c r="H1877" t="inlineStr">
        <is>
          <t>comment</t>
        </is>
      </c>
      <c r="I1877" t="inlineStr">
        <is>
          <t>uncertainty type</t>
        </is>
      </c>
    </row>
    <row r="1878">
      <c r="A1878" t="inlineStr">
        <is>
          <t>petrol, burned in passenger car vehicle</t>
        </is>
      </c>
      <c r="B1878">
        <v>1.0</v>
      </c>
      <c r="C1878" t="inlineStr">
        <is>
          <t>CH</t>
        </is>
      </c>
      <c r="D1878" t="inlineStr">
        <is>
          <t>megajoule</t>
        </is>
      </c>
      <c r="F1878" t="inlineStr">
        <is>
          <t>production</t>
        </is>
      </c>
      <c r="G1878" t="inlineStr">
        <is>
          <t>heat</t>
        </is>
      </c>
      <c r="I1878">
        <v>0</v>
      </c>
    </row>
    <row r="1879">
      <c r="A1879" t="inlineStr">
        <is>
          <t>market for petrol, low-sulfur</t>
        </is>
      </c>
      <c r="B1879">
        <v>0.023474178403755867</v>
      </c>
      <c r="C1879" t="inlineStr">
        <is>
          <t>Europe without Switzerland</t>
        </is>
      </c>
      <c r="D1879" t="inlineStr">
        <is>
          <t>kilogram</t>
        </is>
      </c>
      <c r="F1879" t="inlineStr">
        <is>
          <t>technosphere</t>
        </is>
      </c>
      <c r="G1879" t="inlineStr">
        <is>
          <t>petrol, low-sulfur</t>
        </is>
      </c>
      <c r="H1879" t="inlineStr">
        <is>
          <t>Default carculator fuel energy preserved (2.70629967951 MJ/vkm); premise reference LHV 42.6 MJ/kg. Regional scenario blend belongs to premise.</t>
        </is>
      </c>
      <c r="I1879">
        <v>0</v>
      </c>
    </row>
    <row r="1880">
      <c r="A1880" t="inlineStr">
        <is>
          <t>treatment of brake wear emissions, passenger car</t>
        </is>
      </c>
      <c r="B1880">
        <v>-5.438002312680902e-06</v>
      </c>
      <c r="C1880" t="inlineStr">
        <is>
          <t>RER</t>
        </is>
      </c>
      <c r="D1880" t="inlineStr">
        <is>
          <t>kilogram</t>
        </is>
      </c>
      <c r="F1880" t="inlineStr">
        <is>
          <t>technosphere</t>
        </is>
      </c>
      <c r="G1880" t="inlineStr">
        <is>
          <t>brake wear emissions, passenger car</t>
        </is>
      </c>
      <c r="I1880">
        <v>0</v>
      </c>
    </row>
    <row r="1881">
      <c r="A1881" t="inlineStr">
        <is>
          <t>treatment of road wear emissions, passenger car</t>
        </is>
      </c>
      <c r="B1881">
        <v>-6.242977641245232e-06</v>
      </c>
      <c r="C1881" t="inlineStr">
        <is>
          <t>RER</t>
        </is>
      </c>
      <c r="D1881" t="inlineStr">
        <is>
          <t>kilogram</t>
        </is>
      </c>
      <c r="F1881" t="inlineStr">
        <is>
          <t>technosphere</t>
        </is>
      </c>
      <c r="G1881" t="inlineStr">
        <is>
          <t>road wear emissions, passenger car</t>
        </is>
      </c>
      <c r="I1881">
        <v>0</v>
      </c>
    </row>
    <row r="1882">
      <c r="A1882" t="inlineStr">
        <is>
          <t>treatment of tyre wear emissions, passenger car</t>
        </is>
      </c>
      <c r="B1882">
        <v>-7.228598070295418e-06</v>
      </c>
      <c r="C1882" t="inlineStr">
        <is>
          <t>RER</t>
        </is>
      </c>
      <c r="D1882" t="inlineStr">
        <is>
          <t>kilogram</t>
        </is>
      </c>
      <c r="F1882" t="inlineStr">
        <is>
          <t>technosphere</t>
        </is>
      </c>
      <c r="G1882" t="inlineStr">
        <is>
          <t>tyre wear emissions, passenger car</t>
        </is>
      </c>
      <c r="I1882">
        <v>0</v>
      </c>
    </row>
    <row r="1883">
      <c r="A1883" t="inlineStr">
        <is>
          <t>market for tetrafluoroethane, R134a</t>
        </is>
      </c>
      <c r="B1883">
        <v>2.4018034573062128e-06</v>
      </c>
      <c r="C1883" t="inlineStr">
        <is>
          <t>GLO</t>
        </is>
      </c>
      <c r="D1883" t="inlineStr">
        <is>
          <t>kilogram</t>
        </is>
      </c>
      <c r="F1883" t="inlineStr">
        <is>
          <t>technosphere</t>
        </is>
      </c>
      <c r="G1883" t="inlineStr">
        <is>
          <t>tetrafluoroethane, R134a</t>
        </is>
      </c>
      <c r="I1883">
        <v>0</v>
      </c>
    </row>
    <row r="1884">
      <c r="A1884" t="inlineStr">
        <is>
          <t>Toluene</t>
        </is>
      </c>
      <c r="B1884">
        <v>8.485774790285088e-08</v>
      </c>
      <c r="D1884" t="inlineStr">
        <is>
          <t>kilogram</t>
        </is>
      </c>
      <c r="E1884" t="inlineStr">
        <is>
          <t>air::non-urban air or from high stacks</t>
        </is>
      </c>
      <c r="F1884" t="inlineStr">
        <is>
          <t>biosphere</t>
        </is>
      </c>
      <c r="I1884">
        <v>0</v>
      </c>
    </row>
    <row r="1885">
      <c r="A1885" t="inlineStr">
        <is>
          <t>NMVOC, non-methane volatile organic compounds</t>
        </is>
      </c>
      <c r="B1885">
        <v>3.1778359610804548e-06</v>
      </c>
      <c r="D1885" t="inlineStr">
        <is>
          <t>kilogram</t>
        </is>
      </c>
      <c r="E1885" t="inlineStr">
        <is>
          <t>air::non-urban air or from high stacks</t>
        </is>
      </c>
      <c r="F1885" t="inlineStr">
        <is>
          <t>biosphere</t>
        </is>
      </c>
      <c r="I1885">
        <v>0</v>
      </c>
    </row>
    <row r="1886">
      <c r="A1886" t="inlineStr">
        <is>
          <t>Dinitrogen monoxide</t>
        </is>
      </c>
      <c r="B1886">
        <v>4.674883409401355e-08</v>
      </c>
      <c r="D1886" t="inlineStr">
        <is>
          <t>kilogram</t>
        </is>
      </c>
      <c r="E1886" t="inlineStr">
        <is>
          <t>air::non-urban air or from high stacks</t>
        </is>
      </c>
      <c r="F1886" t="inlineStr">
        <is>
          <t>biosphere</t>
        </is>
      </c>
      <c r="I1886">
        <v>0</v>
      </c>
    </row>
    <row r="1887">
      <c r="A1887" t="inlineStr">
        <is>
          <t>Ethane</t>
        </is>
      </c>
      <c r="B1887">
        <v>6.178202979323652e-07</v>
      </c>
      <c r="D1887" t="inlineStr">
        <is>
          <t>kilogram</t>
        </is>
      </c>
      <c r="E1887" t="inlineStr">
        <is>
          <t>air::urban air close to ground</t>
        </is>
      </c>
      <c r="F1887" t="inlineStr">
        <is>
          <t>biosphere</t>
        </is>
      </c>
      <c r="I1887">
        <v>0</v>
      </c>
    </row>
    <row r="1888">
      <c r="A1888" t="inlineStr">
        <is>
          <t>Pentane</t>
        </is>
      </c>
      <c r="B1888">
        <v>4.2475143382439017e-07</v>
      </c>
      <c r="D1888" t="inlineStr">
        <is>
          <t>kilogram</t>
        </is>
      </c>
      <c r="E1888" t="inlineStr">
        <is>
          <t>air::urban air close to ground</t>
        </is>
      </c>
      <c r="F1888" t="inlineStr">
        <is>
          <t>biosphere</t>
        </is>
      </c>
      <c r="I1888">
        <v>0</v>
      </c>
    </row>
    <row r="1889">
      <c r="A1889" t="inlineStr">
        <is>
          <t>Selenium IV</t>
        </is>
      </c>
      <c r="B1889">
        <v>2.6658564722165628e-12</v>
      </c>
      <c r="D1889" t="inlineStr">
        <is>
          <t>kilogram</t>
        </is>
      </c>
      <c r="E1889" t="inlineStr">
        <is>
          <t>air::non-urban air or from high stacks</t>
        </is>
      </c>
      <c r="F1889" t="inlineStr">
        <is>
          <t>biosphere</t>
        </is>
      </c>
      <c r="I1889">
        <v>0</v>
      </c>
    </row>
    <row r="1890">
      <c r="A1890" t="inlineStr">
        <is>
          <t>Arsenic ion</t>
        </is>
      </c>
      <c r="B1890">
        <v>4.001626718125109e-12</v>
      </c>
      <c r="D1890" t="inlineStr">
        <is>
          <t>kilogram</t>
        </is>
      </c>
      <c r="E1890" t="inlineStr">
        <is>
          <t>air::non-urban air or from high stacks</t>
        </is>
      </c>
      <c r="F1890" t="inlineStr">
        <is>
          <t>biosphere</t>
        </is>
      </c>
      <c r="I1890">
        <v>0</v>
      </c>
    </row>
    <row r="1891">
      <c r="A1891" t="inlineStr">
        <is>
          <t>Arsenic ion</t>
        </is>
      </c>
      <c r="B1891">
        <v>3.038373047003884e-12</v>
      </c>
      <c r="D1891" t="inlineStr">
        <is>
          <t>kilogram</t>
        </is>
      </c>
      <c r="E1891" t="inlineStr">
        <is>
          <t>air::urban air close to ground</t>
        </is>
      </c>
      <c r="F1891" t="inlineStr">
        <is>
          <t>biosphere</t>
        </is>
      </c>
      <c r="I1891">
        <v>0</v>
      </c>
    </row>
    <row r="1892">
      <c r="A1892" t="inlineStr">
        <is>
          <t>Propylene</t>
        </is>
      </c>
      <c r="B1892">
        <v>2.9314492534191425e-08</v>
      </c>
      <c r="D1892" t="inlineStr">
        <is>
          <t>kilogram</t>
        </is>
      </c>
      <c r="E1892" t="inlineStr">
        <is>
          <t>air::non-urban air or from high stacks</t>
        </is>
      </c>
      <c r="F1892" t="inlineStr">
        <is>
          <t>biosphere</t>
        </is>
      </c>
      <c r="I1892">
        <v>0</v>
      </c>
    </row>
    <row r="1893">
      <c r="A1893" t="inlineStr">
        <is>
          <t>Particulate Matter, &lt; 2.5 um</t>
        </is>
      </c>
      <c r="B1893">
        <v>2.3699093868880875e-07</v>
      </c>
      <c r="D1893" t="inlineStr">
        <is>
          <t>kilogram</t>
        </is>
      </c>
      <c r="E1893" t="inlineStr">
        <is>
          <t>air::urban air close to ground</t>
        </is>
      </c>
      <c r="F1893" t="inlineStr">
        <is>
          <t>biosphere</t>
        </is>
      </c>
      <c r="I1893">
        <v>0</v>
      </c>
    </row>
    <row r="1894">
      <c r="A1894" t="inlineStr">
        <is>
          <t>Nickel II</t>
        </is>
      </c>
      <c r="B1894">
        <v>3.069429555789392e-11</v>
      </c>
      <c r="D1894" t="inlineStr">
        <is>
          <t>kilogram</t>
        </is>
      </c>
      <c r="E1894" t="inlineStr">
        <is>
          <t>air::non-urban air or from high stacks</t>
        </is>
      </c>
      <c r="F1894" t="inlineStr">
        <is>
          <t>biosphere</t>
        </is>
      </c>
      <c r="I1894">
        <v>0</v>
      </c>
    </row>
    <row r="1895">
      <c r="A1895" t="inlineStr">
        <is>
          <t>Methane, fossil</t>
        </is>
      </c>
      <c r="B1895">
        <v>5.142891864640064e-07</v>
      </c>
      <c r="D1895" t="inlineStr">
        <is>
          <t>kilogram</t>
        </is>
      </c>
      <c r="E1895" t="inlineStr">
        <is>
          <t>air::non-urban air or from high stacks</t>
        </is>
      </c>
      <c r="F1895" t="inlineStr">
        <is>
          <t>biosphere</t>
        </is>
      </c>
      <c r="I1895">
        <v>0</v>
      </c>
    </row>
    <row r="1896">
      <c r="A1896" t="inlineStr">
        <is>
          <t>Mercury II</t>
        </is>
      </c>
      <c r="B1896">
        <v>1.1595623051201971e-10</v>
      </c>
      <c r="D1896" t="inlineStr">
        <is>
          <t>kilogram</t>
        </is>
      </c>
      <c r="E1896" t="inlineStr">
        <is>
          <t>air::non-urban air or from high stacks</t>
        </is>
      </c>
      <c r="F1896" t="inlineStr">
        <is>
          <t>biosphere</t>
        </is>
      </c>
      <c r="I1896">
        <v>0</v>
      </c>
    </row>
    <row r="1897">
      <c r="A1897" t="inlineStr">
        <is>
          <t>Ammonia</t>
        </is>
      </c>
      <c r="B1897">
        <v>1.8978800516687959e-06</v>
      </c>
      <c r="D1897" t="inlineStr">
        <is>
          <t>kilogram</t>
        </is>
      </c>
      <c r="E1897" t="inlineStr">
        <is>
          <t>air::non-urban air or from high stacks</t>
        </is>
      </c>
      <c r="F1897" t="inlineStr">
        <is>
          <t>biosphere</t>
        </is>
      </c>
      <c r="I1897">
        <v>0</v>
      </c>
    </row>
    <row r="1898">
      <c r="A1898" t="inlineStr">
        <is>
          <t>Ethane</t>
        </is>
      </c>
      <c r="B1898">
        <v>2.46858901080647e-08</v>
      </c>
      <c r="D1898" t="inlineStr">
        <is>
          <t>kilogram</t>
        </is>
      </c>
      <c r="E1898" t="inlineStr">
        <is>
          <t>air::non-urban air or from high stacks</t>
        </is>
      </c>
      <c r="F1898" t="inlineStr">
        <is>
          <t>biosphere</t>
        </is>
      </c>
      <c r="I1898">
        <v>0</v>
      </c>
    </row>
    <row r="1899">
      <c r="A1899" t="inlineStr">
        <is>
          <t>Nickel II</t>
        </is>
      </c>
      <c r="B1899">
        <v>2.33057020978785e-11</v>
      </c>
      <c r="D1899" t="inlineStr">
        <is>
          <t>kilogram</t>
        </is>
      </c>
      <c r="E1899" t="inlineStr">
        <is>
          <t>air::urban air close to ground</t>
        </is>
      </c>
      <c r="F1899" t="inlineStr">
        <is>
          <t>biosphere</t>
        </is>
      </c>
      <c r="I1899">
        <v>0</v>
      </c>
    </row>
    <row r="1900">
      <c r="A1900" t="inlineStr">
        <is>
          <t>Cadmium II</t>
        </is>
      </c>
      <c r="B1900">
        <v>2.6658564722165628e-12</v>
      </c>
      <c r="D1900" t="inlineStr">
        <is>
          <t>kilogram</t>
        </is>
      </c>
      <c r="E1900" t="inlineStr">
        <is>
          <t>air::non-urban air or from high stacks</t>
        </is>
      </c>
      <c r="F1900" t="inlineStr">
        <is>
          <t>biosphere</t>
        </is>
      </c>
      <c r="I1900">
        <v>0</v>
      </c>
    </row>
    <row r="1901">
      <c r="A1901" t="inlineStr">
        <is>
          <t>Ammonia</t>
        </is>
      </c>
      <c r="B1901">
        <v>1.4410307235331609e-06</v>
      </c>
      <c r="D1901" t="inlineStr">
        <is>
          <t>kilogram</t>
        </is>
      </c>
      <c r="E1901" t="inlineStr">
        <is>
          <t>air::urban air close to ground</t>
        </is>
      </c>
      <c r="F1901" t="inlineStr">
        <is>
          <t>biosphere</t>
        </is>
      </c>
      <c r="I1901">
        <v>0</v>
      </c>
    </row>
    <row r="1902">
      <c r="A1902" t="inlineStr">
        <is>
          <t>Butane</t>
        </is>
      </c>
      <c r="B1902">
        <v>4.0114570112848195e-08</v>
      </c>
      <c r="D1902" t="inlineStr">
        <is>
          <t>kilogram</t>
        </is>
      </c>
      <c r="E1902" t="inlineStr">
        <is>
          <t>air::non-urban air or from high stacks</t>
        </is>
      </c>
      <c r="F1902" t="inlineStr">
        <is>
          <t>biosphere</t>
        </is>
      </c>
      <c r="I1902">
        <v>0</v>
      </c>
    </row>
    <row r="1903">
      <c r="A1903" t="inlineStr">
        <is>
          <t>PAH, polycyclic aromatic hydrocarbons</t>
        </is>
      </c>
      <c r="B1903">
        <v>3.5346981515115725e-10</v>
      </c>
      <c r="D1903" t="inlineStr">
        <is>
          <t>kilogram</t>
        </is>
      </c>
      <c r="E1903" t="inlineStr">
        <is>
          <t>air::urban air close to ground</t>
        </is>
      </c>
      <c r="F1903" t="inlineStr">
        <is>
          <t>biosphere</t>
        </is>
      </c>
      <c r="I1903">
        <v>0</v>
      </c>
    </row>
    <row r="1904">
      <c r="A1904" t="inlineStr">
        <is>
          <t>Copper ion</t>
        </is>
      </c>
      <c r="B1904">
        <v>6.025176924783301e-11</v>
      </c>
      <c r="D1904" t="inlineStr">
        <is>
          <t>kilogram</t>
        </is>
      </c>
      <c r="E1904" t="inlineStr">
        <is>
          <t>air::non-urban air or from high stacks</t>
        </is>
      </c>
      <c r="F1904" t="inlineStr">
        <is>
          <t>biosphere</t>
        </is>
      </c>
      <c r="I1904">
        <v>0</v>
      </c>
    </row>
    <row r="1905">
      <c r="A1905" t="inlineStr">
        <is>
          <t>Nitrogen oxides</t>
        </is>
      </c>
      <c r="B1905">
        <v>8.487546844117613e-06</v>
      </c>
      <c r="D1905" t="inlineStr">
        <is>
          <t>kilogram</t>
        </is>
      </c>
      <c r="E1905" t="inlineStr">
        <is>
          <t>air::non-urban air or from high stacks</t>
        </is>
      </c>
      <c r="F1905" t="inlineStr">
        <is>
          <t>biosphere</t>
        </is>
      </c>
      <c r="I1905">
        <v>0</v>
      </c>
    </row>
    <row r="1906">
      <c r="A1906" t="inlineStr">
        <is>
          <t>Hexane</t>
        </is>
      </c>
      <c r="B1906">
        <v>3.089101489661827e-07</v>
      </c>
      <c r="D1906" t="inlineStr">
        <is>
          <t>kilogram</t>
        </is>
      </c>
      <c r="E1906" t="inlineStr">
        <is>
          <t>air::urban air close to ground</t>
        </is>
      </c>
      <c r="F1906" t="inlineStr">
        <is>
          <t>biosphere</t>
        </is>
      </c>
      <c r="I1906">
        <v>0</v>
      </c>
    </row>
    <row r="1907">
      <c r="A1907" t="inlineStr">
        <is>
          <t>Butane</t>
        </is>
      </c>
      <c r="B1907">
        <v>1.0039579421318718e-06</v>
      </c>
      <c r="D1907" t="inlineStr">
        <is>
          <t>kilogram</t>
        </is>
      </c>
      <c r="E1907" t="inlineStr">
        <is>
          <t>air::urban air close to ground</t>
        </is>
      </c>
      <c r="F1907" t="inlineStr">
        <is>
          <t>biosphere</t>
        </is>
      </c>
      <c r="I1907">
        <v>0</v>
      </c>
    </row>
    <row r="1908">
      <c r="A1908" t="inlineStr">
        <is>
          <t>Copper ion</t>
        </is>
      </c>
      <c r="B1908">
        <v>4.57482306137567e-11</v>
      </c>
      <c r="D1908" t="inlineStr">
        <is>
          <t>kilogram</t>
        </is>
      </c>
      <c r="E1908" t="inlineStr">
        <is>
          <t>air::urban air close to ground</t>
        </is>
      </c>
      <c r="F1908" t="inlineStr">
        <is>
          <t>biosphere</t>
        </is>
      </c>
      <c r="I1908">
        <v>0</v>
      </c>
    </row>
    <row r="1909">
      <c r="A1909" t="inlineStr">
        <is>
          <t>Chromium III</t>
        </is>
      </c>
      <c r="B1909">
        <v>6.387488609167662e-11</v>
      </c>
      <c r="D1909" t="inlineStr">
        <is>
          <t>kilogram</t>
        </is>
      </c>
      <c r="E1909" t="inlineStr">
        <is>
          <t>air::urban air close to ground</t>
        </is>
      </c>
      <c r="F1909" t="inlineStr">
        <is>
          <t>biosphere</t>
        </is>
      </c>
      <c r="I1909">
        <v>0</v>
      </c>
    </row>
    <row r="1910">
      <c r="A1910" t="inlineStr">
        <is>
          <t>Propane</t>
        </is>
      </c>
      <c r="B1910">
        <v>1.351481901727049e-07</v>
      </c>
      <c r="D1910" t="inlineStr">
        <is>
          <t>kilogram</t>
        </is>
      </c>
      <c r="E1910" t="inlineStr">
        <is>
          <t>air::urban air close to ground</t>
        </is>
      </c>
      <c r="F1910" t="inlineStr">
        <is>
          <t>biosphere</t>
        </is>
      </c>
      <c r="I1910">
        <v>0</v>
      </c>
    </row>
    <row r="1911">
      <c r="A1911" t="inlineStr">
        <is>
          <t>Toluene</t>
        </is>
      </c>
      <c r="B1911">
        <v>2.1237572531383947e-06</v>
      </c>
      <c r="D1911" t="inlineStr">
        <is>
          <t>kilogram</t>
        </is>
      </c>
      <c r="E1911" t="inlineStr">
        <is>
          <t>air::urban air close to ground</t>
        </is>
      </c>
      <c r="F1911" t="inlineStr">
        <is>
          <t>biosphere</t>
        </is>
      </c>
      <c r="I1911">
        <v>0</v>
      </c>
    </row>
    <row r="1912">
      <c r="A1912" t="inlineStr">
        <is>
          <t>Dinitrogen monoxide</t>
        </is>
      </c>
      <c r="B1912">
        <v>3.5495663709460686e-08</v>
      </c>
      <c r="D1912" t="inlineStr">
        <is>
          <t>kilogram</t>
        </is>
      </c>
      <c r="E1912" t="inlineStr">
        <is>
          <t>air::urban air close to ground</t>
        </is>
      </c>
      <c r="F1912" t="inlineStr">
        <is>
          <t>biosphere</t>
        </is>
      </c>
      <c r="I1912">
        <v>0</v>
      </c>
    </row>
    <row r="1913">
      <c r="A1913" t="inlineStr">
        <is>
          <t>Zinc II</t>
        </is>
      </c>
      <c r="B1913">
        <v>3.3447998609123704e-10</v>
      </c>
      <c r="D1913" t="inlineStr">
        <is>
          <t>kilogram</t>
        </is>
      </c>
      <c r="E1913" t="inlineStr">
        <is>
          <t>air::urban air close to ground</t>
        </is>
      </c>
      <c r="F1913" t="inlineStr">
        <is>
          <t>biosphere</t>
        </is>
      </c>
      <c r="I1913">
        <v>0</v>
      </c>
    </row>
    <row r="1914">
      <c r="A1914" t="inlineStr">
        <is>
          <t>Chromium VI</t>
        </is>
      </c>
      <c r="B1914">
        <v>1.6825022521085002e-13</v>
      </c>
      <c r="D1914" t="inlineStr">
        <is>
          <t>kilogram</t>
        </is>
      </c>
      <c r="E1914" t="inlineStr">
        <is>
          <t>air::non-urban air or from high stacks</t>
        </is>
      </c>
      <c r="F1914" t="inlineStr">
        <is>
          <t>biosphere</t>
        </is>
      </c>
      <c r="I1914">
        <v>0</v>
      </c>
    </row>
    <row r="1915">
      <c r="A1915" t="inlineStr">
        <is>
          <t>Benzene</t>
        </is>
      </c>
      <c r="B1915">
        <v>3.53245327151087e-08</v>
      </c>
      <c r="D1915" t="inlineStr">
        <is>
          <t>kilogram</t>
        </is>
      </c>
      <c r="E1915" t="inlineStr">
        <is>
          <t>air::non-urban air or from high stacks</t>
        </is>
      </c>
      <c r="F1915" t="inlineStr">
        <is>
          <t>biosphere</t>
        </is>
      </c>
      <c r="I1915">
        <v>0</v>
      </c>
    </row>
    <row r="1916">
      <c r="A1916" t="inlineStr">
        <is>
          <t>Carbon monoxide, fossil</t>
        </is>
      </c>
      <c r="B1916">
        <v>0.0001087694681937128</v>
      </c>
      <c r="D1916" t="inlineStr">
        <is>
          <t>kilogram</t>
        </is>
      </c>
      <c r="E1916" t="inlineStr">
        <is>
          <t>air::non-urban air or from high stacks</t>
        </is>
      </c>
      <c r="F1916" t="inlineStr">
        <is>
          <t>biosphere</t>
        </is>
      </c>
      <c r="I1916">
        <v>0</v>
      </c>
    </row>
    <row r="1917">
      <c r="A1917" t="inlineStr">
        <is>
          <t>Chromium VI</t>
        </is>
      </c>
      <c r="B1917">
        <v>1.2774977274422347e-13</v>
      </c>
      <c r="D1917" t="inlineStr">
        <is>
          <t>kilogram</t>
        </is>
      </c>
      <c r="E1917" t="inlineStr">
        <is>
          <t>air::urban air close to ground</t>
        </is>
      </c>
      <c r="F1917" t="inlineStr">
        <is>
          <t>biosphere</t>
        </is>
      </c>
      <c r="I1917">
        <v>0</v>
      </c>
    </row>
    <row r="1918">
      <c r="A1918" t="inlineStr">
        <is>
          <t>Methane, fossil</t>
        </is>
      </c>
      <c r="B1918">
        <v>1.4737951202945778e-06</v>
      </c>
      <c r="D1918" t="inlineStr">
        <is>
          <t>kilogram</t>
        </is>
      </c>
      <c r="E1918" t="inlineStr">
        <is>
          <t>air::urban air close to ground</t>
        </is>
      </c>
      <c r="F1918" t="inlineStr">
        <is>
          <t>biosphere</t>
        </is>
      </c>
      <c r="I1918">
        <v>0</v>
      </c>
    </row>
    <row r="1919">
      <c r="A1919" t="inlineStr">
        <is>
          <t>Sulfur dioxide</t>
        </is>
      </c>
      <c r="B1919">
        <v>3.7723729745496776e-07</v>
      </c>
      <c r="D1919" t="inlineStr">
        <is>
          <t>kilogram</t>
        </is>
      </c>
      <c r="E1919" t="inlineStr">
        <is>
          <t>air</t>
        </is>
      </c>
      <c r="F1919" t="inlineStr">
        <is>
          <t>biosphere</t>
        </is>
      </c>
      <c r="I1919">
        <v>0</v>
      </c>
    </row>
    <row r="1920">
      <c r="A1920" t="inlineStr">
        <is>
          <t>NMVOC, non-methane volatile organic compounds</t>
        </is>
      </c>
      <c r="B1920">
        <v>1.9676329903559775e-05</v>
      </c>
      <c r="D1920" t="inlineStr">
        <is>
          <t>kilogram</t>
        </is>
      </c>
      <c r="E1920" t="inlineStr">
        <is>
          <t>air::urban air close to ground</t>
        </is>
      </c>
      <c r="F1920" t="inlineStr">
        <is>
          <t>biosphere</t>
        </is>
      </c>
      <c r="I1920">
        <v>0</v>
      </c>
    </row>
    <row r="1921">
      <c r="A1921" t="inlineStr">
        <is>
          <t>Formaldehyde</t>
        </is>
      </c>
      <c r="B1921">
        <v>3.282170227745136e-07</v>
      </c>
      <c r="D1921" t="inlineStr">
        <is>
          <t>kilogram</t>
        </is>
      </c>
      <c r="E1921" t="inlineStr">
        <is>
          <t>air::urban air close to ground</t>
        </is>
      </c>
      <c r="F1921" t="inlineStr">
        <is>
          <t>biosphere</t>
        </is>
      </c>
      <c r="I1921">
        <v>0</v>
      </c>
    </row>
    <row r="1922">
      <c r="A1922" t="inlineStr">
        <is>
          <t>Nitrogen oxides</t>
        </is>
      </c>
      <c r="B1922">
        <v>1.1323855960379002e-05</v>
      </c>
      <c r="D1922" t="inlineStr">
        <is>
          <t>kilogram</t>
        </is>
      </c>
      <c r="E1922" t="inlineStr">
        <is>
          <t>air::urban air close to ground</t>
        </is>
      </c>
      <c r="F1922" t="inlineStr">
        <is>
          <t>biosphere</t>
        </is>
      </c>
      <c r="I1922">
        <v>0</v>
      </c>
    </row>
    <row r="1923">
      <c r="A1923" t="inlineStr">
        <is>
          <t>Formaldehyde</t>
        </is>
      </c>
      <c r="B1923">
        <v>1.3114378791720136e-08</v>
      </c>
      <c r="D1923" t="inlineStr">
        <is>
          <t>kilogram</t>
        </is>
      </c>
      <c r="E1923" t="inlineStr">
        <is>
          <t>air::non-urban air or from high stacks</t>
        </is>
      </c>
      <c r="F1923" t="inlineStr">
        <is>
          <t>biosphere</t>
        </is>
      </c>
      <c r="I1923">
        <v>0</v>
      </c>
    </row>
    <row r="1924">
      <c r="A1924" t="inlineStr">
        <is>
          <t>Zinc II</t>
        </is>
      </c>
      <c r="B1924">
        <v>4.4051995837597756e-10</v>
      </c>
      <c r="D1924" t="inlineStr">
        <is>
          <t>kilogram</t>
        </is>
      </c>
      <c r="E1924" t="inlineStr">
        <is>
          <t>air::non-urban air or from high stacks</t>
        </is>
      </c>
      <c r="F1924" t="inlineStr">
        <is>
          <t>biosphere</t>
        </is>
      </c>
      <c r="I1924">
        <v>0</v>
      </c>
    </row>
    <row r="1925">
      <c r="A1925" t="inlineStr">
        <is>
          <t>Carbon monoxide, fossil</t>
        </is>
      </c>
      <c r="B1925">
        <v>0.00020171446470292127</v>
      </c>
      <c r="D1925" t="inlineStr">
        <is>
          <t>kilogram</t>
        </is>
      </c>
      <c r="E1925" t="inlineStr">
        <is>
          <t>air::urban air close to ground</t>
        </is>
      </c>
      <c r="F1925" t="inlineStr">
        <is>
          <t>biosphere</t>
        </is>
      </c>
      <c r="I1925">
        <v>0</v>
      </c>
    </row>
    <row r="1926">
      <c r="A1926" t="inlineStr">
        <is>
          <t>m-Xylene</t>
        </is>
      </c>
      <c r="B1926">
        <v>1.0425717317567554e-06</v>
      </c>
      <c r="D1926" t="inlineStr">
        <is>
          <t>kilogram</t>
        </is>
      </c>
      <c r="E1926" t="inlineStr">
        <is>
          <t>air::urban air close to ground</t>
        </is>
      </c>
      <c r="F1926" t="inlineStr">
        <is>
          <t>biosphere</t>
        </is>
      </c>
      <c r="I1926">
        <v>0</v>
      </c>
    </row>
    <row r="1927">
      <c r="A1927" t="inlineStr">
        <is>
          <t>PAH, polycyclic aromatic hydrocarbons</t>
        </is>
      </c>
      <c r="B1927">
        <v>4.655301522860326e-10</v>
      </c>
      <c r="D1927" t="inlineStr">
        <is>
          <t>kilogram</t>
        </is>
      </c>
      <c r="E1927" t="inlineStr">
        <is>
          <t>air::non-urban air or from high stacks</t>
        </is>
      </c>
      <c r="F1927" t="inlineStr">
        <is>
          <t>biosphere</t>
        </is>
      </c>
      <c r="I1927">
        <v>0</v>
      </c>
    </row>
    <row r="1928">
      <c r="A1928" t="inlineStr">
        <is>
          <t>Particulate Matter, &lt; 2.5 um</t>
        </is>
      </c>
      <c r="B1928">
        <v>3.1212402999812946e-07</v>
      </c>
      <c r="D1928" t="inlineStr">
        <is>
          <t>kilogram</t>
        </is>
      </c>
      <c r="E1928" t="inlineStr">
        <is>
          <t>air::non-urban air or from high stacks</t>
        </is>
      </c>
      <c r="F1928" t="inlineStr">
        <is>
          <t>biosphere</t>
        </is>
      </c>
      <c r="I1928">
        <v>0</v>
      </c>
    </row>
    <row r="1929">
      <c r="A1929" t="inlineStr">
        <is>
          <t>Pentane</t>
        </is>
      </c>
      <c r="B1929">
        <v>1.697155010567295e-08</v>
      </c>
      <c r="D1929" t="inlineStr">
        <is>
          <t>kilogram</t>
        </is>
      </c>
      <c r="E1929" t="inlineStr">
        <is>
          <t>air::non-urban air or from high stacks</t>
        </is>
      </c>
      <c r="F1929" t="inlineStr">
        <is>
          <t>biosphere</t>
        </is>
      </c>
      <c r="I1929">
        <v>0</v>
      </c>
    </row>
    <row r="1930">
      <c r="A1930" t="inlineStr">
        <is>
          <t>1,1,1,2-Tetrafluoroethane</t>
        </is>
      </c>
      <c r="B1930">
        <v>1.3856558213651742e-06</v>
      </c>
      <c r="D1930" t="inlineStr">
        <is>
          <t>kilogram</t>
        </is>
      </c>
      <c r="E1930" t="inlineStr">
        <is>
          <t>air</t>
        </is>
      </c>
      <c r="F1930" t="inlineStr">
        <is>
          <t>biosphere</t>
        </is>
      </c>
      <c r="I1930">
        <v>0</v>
      </c>
    </row>
    <row r="1931">
      <c r="A1931" t="inlineStr">
        <is>
          <t>Acetaldehyde</t>
        </is>
      </c>
      <c r="B1931">
        <v>1.544550744830913e-07</v>
      </c>
      <c r="D1931" t="inlineStr">
        <is>
          <t>kilogram</t>
        </is>
      </c>
      <c r="E1931" t="inlineStr">
        <is>
          <t>air::urban air close to ground</t>
        </is>
      </c>
      <c r="F1931" t="inlineStr">
        <is>
          <t>biosphere</t>
        </is>
      </c>
      <c r="I1931">
        <v>0</v>
      </c>
    </row>
    <row r="1932">
      <c r="A1932" t="inlineStr">
        <is>
          <t>Benzene</t>
        </is>
      </c>
      <c r="B1932">
        <v>1.4380293200880646e-06</v>
      </c>
      <c r="D1932" t="inlineStr">
        <is>
          <t>kilogram</t>
        </is>
      </c>
      <c r="E1932" t="inlineStr">
        <is>
          <t>air::urban air close to ground</t>
        </is>
      </c>
      <c r="F1932" t="inlineStr">
        <is>
          <t>biosphere</t>
        </is>
      </c>
      <c r="I1932">
        <v>0</v>
      </c>
    </row>
    <row r="1933">
      <c r="A1933" t="inlineStr">
        <is>
          <t>Mercury II</t>
        </is>
      </c>
      <c r="B1933">
        <v>8.804375664359864e-11</v>
      </c>
      <c r="D1933" t="inlineStr">
        <is>
          <t>kilogram</t>
        </is>
      </c>
      <c r="E1933" t="inlineStr">
        <is>
          <t>air::urban air close to ground</t>
        </is>
      </c>
      <c r="F1933" t="inlineStr">
        <is>
          <t>biosphere</t>
        </is>
      </c>
      <c r="I1933">
        <v>0</v>
      </c>
    </row>
    <row r="1934">
      <c r="A1934" t="inlineStr">
        <is>
          <t>Cadmium II</t>
        </is>
      </c>
      <c r="B1934">
        <v>2.0241433189600118e-12</v>
      </c>
      <c r="D1934" t="inlineStr">
        <is>
          <t>kilogram</t>
        </is>
      </c>
      <c r="E1934" t="inlineStr">
        <is>
          <t>air::urban air close to ground</t>
        </is>
      </c>
      <c r="F1934" t="inlineStr">
        <is>
          <t>biosphere</t>
        </is>
      </c>
      <c r="I1934">
        <v>0</v>
      </c>
    </row>
    <row r="1935">
      <c r="A1935" t="inlineStr">
        <is>
          <t>Propane</t>
        </is>
      </c>
      <c r="B1935">
        <v>5.4000384611391535e-09</v>
      </c>
      <c r="D1935" t="inlineStr">
        <is>
          <t>kilogram</t>
        </is>
      </c>
      <c r="E1935" t="inlineStr">
        <is>
          <t>air::non-urban air or from high stacks</t>
        </is>
      </c>
      <c r="F1935" t="inlineStr">
        <is>
          <t>biosphere</t>
        </is>
      </c>
      <c r="I1935">
        <v>0</v>
      </c>
    </row>
    <row r="1936">
      <c r="A1936" t="inlineStr">
        <is>
          <t>Chromium III</t>
        </is>
      </c>
      <c r="B1936">
        <v>8.412510539423576e-11</v>
      </c>
      <c r="D1936" t="inlineStr">
        <is>
          <t>kilogram</t>
        </is>
      </c>
      <c r="E1936" t="inlineStr">
        <is>
          <t>air::non-urban air or from high stacks</t>
        </is>
      </c>
      <c r="F1936" t="inlineStr">
        <is>
          <t>biosphere</t>
        </is>
      </c>
      <c r="I1936">
        <v>0</v>
      </c>
    </row>
    <row r="1937">
      <c r="A1937" t="inlineStr">
        <is>
          <t>1-Pentene</t>
        </is>
      </c>
      <c r="B1937">
        <v>1.9306884310386414e-08</v>
      </c>
      <c r="D1937" t="inlineStr">
        <is>
          <t>kilogram</t>
        </is>
      </c>
      <c r="E1937" t="inlineStr">
        <is>
          <t>air::urban air close to ground</t>
        </is>
      </c>
      <c r="F1937" t="inlineStr">
        <is>
          <t>biosphere</t>
        </is>
      </c>
      <c r="I1937">
        <v>0</v>
      </c>
    </row>
    <row r="1938">
      <c r="A1938" t="inlineStr">
        <is>
          <t>Acetone</t>
        </is>
      </c>
      <c r="B1938">
        <v>1.158413058623185e-07</v>
      </c>
      <c r="D1938" t="inlineStr">
        <is>
          <t>kilogram</t>
        </is>
      </c>
      <c r="E1938" t="inlineStr">
        <is>
          <t>air::urban air close to ground</t>
        </is>
      </c>
      <c r="F1938" t="inlineStr">
        <is>
          <t>biosphere</t>
        </is>
      </c>
      <c r="I1938">
        <v>0</v>
      </c>
    </row>
    <row r="1939">
      <c r="A1939" t="inlineStr">
        <is>
          <t>Acrolein</t>
        </is>
      </c>
      <c r="B1939">
        <v>3.861376862077283e-08</v>
      </c>
      <c r="D1939" t="inlineStr">
        <is>
          <t>kilogram</t>
        </is>
      </c>
      <c r="E1939" t="inlineStr">
        <is>
          <t>air::urban air close to ground</t>
        </is>
      </c>
      <c r="F1939" t="inlineStr">
        <is>
          <t>biosphere</t>
        </is>
      </c>
      <c r="I1939">
        <v>0</v>
      </c>
    </row>
    <row r="1940">
      <c r="A1940" t="inlineStr">
        <is>
          <t>Benzaldehyde</t>
        </is>
      </c>
      <c r="B1940">
        <v>3.861376862077283e-08</v>
      </c>
      <c r="D1940" t="inlineStr">
        <is>
          <t>kilogram</t>
        </is>
      </c>
      <c r="E1940" t="inlineStr">
        <is>
          <t>air::urban air close to ground</t>
        </is>
      </c>
      <c r="F1940" t="inlineStr">
        <is>
          <t>biosphere</t>
        </is>
      </c>
      <c r="I1940">
        <v>0</v>
      </c>
    </row>
    <row r="1941">
      <c r="A1941" t="inlineStr">
        <is>
          <t>Cyclohexane</t>
        </is>
      </c>
      <c r="B1941">
        <v>2.1237571691219508e-07</v>
      </c>
      <c r="D1941" t="inlineStr">
        <is>
          <t>kilogram</t>
        </is>
      </c>
      <c r="E1941" t="inlineStr">
        <is>
          <t>air::urban air close to ground</t>
        </is>
      </c>
      <c r="F1941" t="inlineStr">
        <is>
          <t>biosphere</t>
        </is>
      </c>
      <c r="I1941">
        <v>0</v>
      </c>
    </row>
    <row r="1942">
      <c r="A1942" t="inlineStr">
        <is>
          <t>Heptane</t>
        </is>
      </c>
      <c r="B1942">
        <v>1.351481901727049e-07</v>
      </c>
      <c r="D1942" t="inlineStr">
        <is>
          <t>kilogram</t>
        </is>
      </c>
      <c r="E1942" t="inlineStr">
        <is>
          <t>air::urban air close to ground</t>
        </is>
      </c>
      <c r="F1942" t="inlineStr">
        <is>
          <t>biosphere</t>
        </is>
      </c>
      <c r="I1942">
        <v>0</v>
      </c>
    </row>
    <row r="1943">
      <c r="A1943" t="inlineStr">
        <is>
          <t>Methyl ethyl ketone</t>
        </is>
      </c>
      <c r="B1943">
        <v>1.9306884310386414e-08</v>
      </c>
      <c r="D1943" t="inlineStr">
        <is>
          <t>kilogram</t>
        </is>
      </c>
      <c r="E1943" t="inlineStr">
        <is>
          <t>air::urban air close to ground</t>
        </is>
      </c>
      <c r="F1943" t="inlineStr">
        <is>
          <t>biosphere</t>
        </is>
      </c>
      <c r="I1943">
        <v>0</v>
      </c>
    </row>
    <row r="1944">
      <c r="A1944" t="inlineStr">
        <is>
          <t>o-Xylene</t>
        </is>
      </c>
      <c r="B1944">
        <v>4.4405832863683197e-07</v>
      </c>
      <c r="D1944" t="inlineStr">
        <is>
          <t>kilogram</t>
        </is>
      </c>
      <c r="E1944" t="inlineStr">
        <is>
          <t>air::urban air close to ground</t>
        </is>
      </c>
      <c r="F1944" t="inlineStr">
        <is>
          <t>biosphere</t>
        </is>
      </c>
      <c r="I1944">
        <v>0</v>
      </c>
    </row>
    <row r="1945">
      <c r="A1945" t="inlineStr">
        <is>
          <t>Propylene</t>
        </is>
      </c>
      <c r="B1945">
        <v>7.33661582790573e-07</v>
      </c>
      <c r="D1945" t="inlineStr">
        <is>
          <t>kilogram</t>
        </is>
      </c>
      <c r="E1945" t="inlineStr">
        <is>
          <t>air::urban air close to ground</t>
        </is>
      </c>
      <c r="F1945" t="inlineStr">
        <is>
          <t>biosphere</t>
        </is>
      </c>
      <c r="I1945">
        <v>0</v>
      </c>
    </row>
    <row r="1946">
      <c r="A1946" t="inlineStr">
        <is>
          <t>Selenium IV</t>
        </is>
      </c>
      <c r="B1946">
        <v>2.0241433189600118e-12</v>
      </c>
      <c r="D1946" t="inlineStr">
        <is>
          <t>kilogram</t>
        </is>
      </c>
      <c r="E1946" t="inlineStr">
        <is>
          <t>air::urban air close to ground</t>
        </is>
      </c>
      <c r="F1946" t="inlineStr">
        <is>
          <t>biosphere</t>
        </is>
      </c>
      <c r="I1946">
        <v>0</v>
      </c>
    </row>
    <row r="1947">
      <c r="A1947" t="inlineStr">
        <is>
          <t>Styrene</t>
        </is>
      </c>
      <c r="B1947">
        <v>1.9306884310386417e-07</v>
      </c>
      <c r="D1947" t="inlineStr">
        <is>
          <t>kilogram</t>
        </is>
      </c>
      <c r="E1947" t="inlineStr">
        <is>
          <t>air::urban air close to ground</t>
        </is>
      </c>
      <c r="F1947" t="inlineStr">
        <is>
          <t>biosphere</t>
        </is>
      </c>
      <c r="I1947">
        <v>0</v>
      </c>
    </row>
    <row r="1948">
      <c r="A1948" t="inlineStr">
        <is>
          <t>1-Pentene</t>
        </is>
      </c>
      <c r="B1948">
        <v>7.714340658770217e-10</v>
      </c>
      <c r="D1948" t="inlineStr">
        <is>
          <t>kilogram</t>
        </is>
      </c>
      <c r="E1948" t="inlineStr">
        <is>
          <t>air::non-urban air or from high stacks</t>
        </is>
      </c>
      <c r="F1948" t="inlineStr">
        <is>
          <t>biosphere</t>
        </is>
      </c>
      <c r="I1948">
        <v>0</v>
      </c>
    </row>
    <row r="1949">
      <c r="A1949" t="inlineStr">
        <is>
          <t>Acetaldehyde</t>
        </is>
      </c>
      <c r="B1949">
        <v>6.171472527016175e-09</v>
      </c>
      <c r="D1949" t="inlineStr">
        <is>
          <t>kilogram</t>
        </is>
      </c>
      <c r="E1949" t="inlineStr">
        <is>
          <t>air::non-urban air or from high stacks</t>
        </is>
      </c>
      <c r="F1949" t="inlineStr">
        <is>
          <t>biosphere</t>
        </is>
      </c>
      <c r="I1949">
        <v>0</v>
      </c>
    </row>
    <row r="1950">
      <c r="A1950" t="inlineStr">
        <is>
          <t>Acetone</t>
        </is>
      </c>
      <c r="B1950">
        <v>4.628604395262132e-09</v>
      </c>
      <c r="D1950" t="inlineStr">
        <is>
          <t>kilogram</t>
        </is>
      </c>
      <c r="E1950" t="inlineStr">
        <is>
          <t>air::non-urban air or from high stacks</t>
        </is>
      </c>
      <c r="F1950" t="inlineStr">
        <is>
          <t>biosphere</t>
        </is>
      </c>
      <c r="I1950">
        <v>0</v>
      </c>
    </row>
    <row r="1951">
      <c r="A1951" t="inlineStr">
        <is>
          <t>Acrolein</t>
        </is>
      </c>
      <c r="B1951">
        <v>1.542868131754044e-09</v>
      </c>
      <c r="D1951" t="inlineStr">
        <is>
          <t>kilogram</t>
        </is>
      </c>
      <c r="E1951" t="inlineStr">
        <is>
          <t>air::non-urban air or from high stacks</t>
        </is>
      </c>
      <c r="F1951" t="inlineStr">
        <is>
          <t>biosphere</t>
        </is>
      </c>
      <c r="I1951">
        <v>0</v>
      </c>
    </row>
    <row r="1952">
      <c r="A1952" t="inlineStr">
        <is>
          <t>Benzaldehyde</t>
        </is>
      </c>
      <c r="B1952">
        <v>1.542868131754044e-09</v>
      </c>
      <c r="D1952" t="inlineStr">
        <is>
          <t>kilogram</t>
        </is>
      </c>
      <c r="E1952" t="inlineStr">
        <is>
          <t>air::non-urban air or from high stacks</t>
        </is>
      </c>
      <c r="F1952" t="inlineStr">
        <is>
          <t>biosphere</t>
        </is>
      </c>
      <c r="I1952">
        <v>0</v>
      </c>
    </row>
    <row r="1953">
      <c r="A1953" t="inlineStr">
        <is>
          <t>Cyclohexane</t>
        </is>
      </c>
      <c r="B1953">
        <v>8.485775052836473e-09</v>
      </c>
      <c r="D1953" t="inlineStr">
        <is>
          <t>kilogram</t>
        </is>
      </c>
      <c r="E1953" t="inlineStr">
        <is>
          <t>air::non-urban air or from high stacks</t>
        </is>
      </c>
      <c r="F1953" t="inlineStr">
        <is>
          <t>biosphere</t>
        </is>
      </c>
      <c r="I1953">
        <v>0</v>
      </c>
    </row>
    <row r="1954">
      <c r="A1954" t="inlineStr">
        <is>
          <t>Heptane</t>
        </is>
      </c>
      <c r="B1954">
        <v>5.4000384611391535e-09</v>
      </c>
      <c r="D1954" t="inlineStr">
        <is>
          <t>kilogram</t>
        </is>
      </c>
      <c r="E1954" t="inlineStr">
        <is>
          <t>air::non-urban air or from high stacks</t>
        </is>
      </c>
      <c r="F1954" t="inlineStr">
        <is>
          <t>biosphere</t>
        </is>
      </c>
      <c r="I1954">
        <v>0</v>
      </c>
    </row>
    <row r="1955">
      <c r="A1955" t="inlineStr">
        <is>
          <t>Hexane</t>
        </is>
      </c>
      <c r="B1955">
        <v>1.234294505403235e-08</v>
      </c>
      <c r="D1955" t="inlineStr">
        <is>
          <t>kilogram</t>
        </is>
      </c>
      <c r="E1955" t="inlineStr">
        <is>
          <t>air::non-urban air or from high stacks</t>
        </is>
      </c>
      <c r="F1955" t="inlineStr">
        <is>
          <t>biosphere</t>
        </is>
      </c>
      <c r="I1955">
        <v>0</v>
      </c>
    </row>
    <row r="1956">
      <c r="A1956" t="inlineStr">
        <is>
          <t>Methyl ethyl ketone</t>
        </is>
      </c>
      <c r="B1956">
        <v>7.714340658770217e-10</v>
      </c>
      <c r="D1956" t="inlineStr">
        <is>
          <t>kilogram</t>
        </is>
      </c>
      <c r="E1956" t="inlineStr">
        <is>
          <t>air::non-urban air or from high stacks</t>
        </is>
      </c>
      <c r="F1956" t="inlineStr">
        <is>
          <t>biosphere</t>
        </is>
      </c>
      <c r="I1956">
        <v>0</v>
      </c>
    </row>
    <row r="1957">
      <c r="A1957" t="inlineStr">
        <is>
          <t>m-Xylene</t>
        </is>
      </c>
      <c r="B1957">
        <v>4.165743758822378e-08</v>
      </c>
      <c r="D1957" t="inlineStr">
        <is>
          <t>kilogram</t>
        </is>
      </c>
      <c r="E1957" t="inlineStr">
        <is>
          <t>air::non-urban air or from high stacks</t>
        </is>
      </c>
      <c r="F1957" t="inlineStr">
        <is>
          <t>biosphere</t>
        </is>
      </c>
      <c r="I1957">
        <v>0</v>
      </c>
    </row>
    <row r="1958">
      <c r="A1958" t="inlineStr">
        <is>
          <t>o-Xylene</t>
        </is>
      </c>
      <c r="B1958">
        <v>1.7742983843360735e-08</v>
      </c>
      <c r="D1958" t="inlineStr">
        <is>
          <t>kilogram</t>
        </is>
      </c>
      <c r="E1958" t="inlineStr">
        <is>
          <t>air::non-urban air or from high stacks</t>
        </is>
      </c>
      <c r="F1958" t="inlineStr">
        <is>
          <t>biosphere</t>
        </is>
      </c>
      <c r="I1958">
        <v>0</v>
      </c>
    </row>
    <row r="1959">
      <c r="A1959" t="inlineStr">
        <is>
          <t>Styrene</t>
        </is>
      </c>
      <c r="B1959">
        <v>7.714340002391748e-09</v>
      </c>
      <c r="D1959" t="inlineStr">
        <is>
          <t>kilogram</t>
        </is>
      </c>
      <c r="E1959" t="inlineStr">
        <is>
          <t>air::non-urban air or from high stacks</t>
        </is>
      </c>
      <c r="F1959" t="inlineStr">
        <is>
          <t>biosphere</t>
        </is>
      </c>
      <c r="I1959">
        <v>0</v>
      </c>
    </row>
    <row r="1960">
      <c r="A1960" t="inlineStr">
        <is>
          <t>Ethylene</t>
        </is>
      </c>
      <c r="B1960">
        <v>1.4094024811438196e-06</v>
      </c>
      <c r="D1960" t="inlineStr">
        <is>
          <t>kilogram</t>
        </is>
      </c>
      <c r="E1960" t="inlineStr">
        <is>
          <t>air::urban air close to ground</t>
        </is>
      </c>
      <c r="F1960" t="inlineStr">
        <is>
          <t>biosphere</t>
        </is>
      </c>
      <c r="I1960">
        <v>0</v>
      </c>
    </row>
    <row r="1961">
      <c r="A1961" t="inlineStr">
        <is>
          <t>Ethylene</t>
        </is>
      </c>
      <c r="B1961">
        <v>5.631468910634723e-08</v>
      </c>
      <c r="D1961" t="inlineStr">
        <is>
          <t>kilogram</t>
        </is>
      </c>
      <c r="E1961" t="inlineStr">
        <is>
          <t>air::non-urban air or from high stacks</t>
        </is>
      </c>
      <c r="F1961" t="inlineStr">
        <is>
          <t>biosphere</t>
        </is>
      </c>
      <c r="I1961">
        <v>0</v>
      </c>
    </row>
    <row r="1962">
      <c r="A1962" t="inlineStr">
        <is>
          <t>market for internal combustion engine, passenger car</t>
        </is>
      </c>
      <c r="B1962">
        <v>0.0004975535070430082</v>
      </c>
      <c r="C1962" t="inlineStr">
        <is>
          <t>GLO</t>
        </is>
      </c>
      <c r="D1962" t="inlineStr">
        <is>
          <t>kilogram</t>
        </is>
      </c>
      <c r="F1962" t="inlineStr">
        <is>
          <t>technosphere</t>
        </is>
      </c>
      <c r="G1962" t="inlineStr">
        <is>
          <t>internal combustion engine, passenger car</t>
        </is>
      </c>
      <c r="H1962" t="inlineStr">
        <is>
          <t> Energy-use allocation: 269.3057861328125 * 4.999999873689376e-06 / 2.7062996795066048 MJ per kilometer.</t>
        </is>
      </c>
      <c r="I1962">
        <v>0</v>
      </c>
    </row>
    <row r="1963">
      <c r="A1963" t="inlineStr">
        <is>
          <t>market for waste plastic, industrial electronics</t>
        </is>
      </c>
      <c r="B1963">
        <v>-8.978854216197933e-05</v>
      </c>
      <c r="C1963" t="inlineStr">
        <is>
          <t>CH</t>
        </is>
      </c>
      <c r="D1963" t="inlineStr">
        <is>
          <t>kilogram</t>
        </is>
      </c>
      <c r="F1963" t="inlineStr">
        <is>
          <t>technosphere</t>
        </is>
      </c>
      <c r="G1963" t="inlineStr">
        <is>
          <t>waste plastic, industrial electronics</t>
        </is>
      </c>
      <c r="H1963" t="inlineStr">
        <is>
          <t> Energy-use allocation: -48.59894180297852 * 4.999999873689376e-06 / 2.7062996795066048 MJ per kilometer.</t>
        </is>
      </c>
      <c r="I1963">
        <v>0</v>
      </c>
    </row>
    <row r="1964">
      <c r="A1964" t="inlineStr">
        <is>
          <t>polyethylene production, high density, granulate</t>
        </is>
      </c>
      <c r="B1964">
        <v>8.978854216197933e-05</v>
      </c>
      <c r="C1964" t="inlineStr">
        <is>
          <t>RER</t>
        </is>
      </c>
      <c r="D1964" t="inlineStr">
        <is>
          <t>kilogram</t>
        </is>
      </c>
      <c r="F1964" t="inlineStr">
        <is>
          <t>technosphere</t>
        </is>
      </c>
      <c r="G1964" t="inlineStr">
        <is>
          <t>polyethylene, high density, granulate</t>
        </is>
      </c>
      <c r="H1964" t="inlineStr">
        <is>
          <t> Energy-use allocation: 48.59894180297852 * 4.999999873689376e-06 / 2.7062996795066048 MJ per kilometer.</t>
        </is>
      </c>
      <c r="I1964">
        <v>0</v>
      </c>
    </row>
    <row r="1965">
      <c r="A1965" t="inlineStr">
        <is>
          <t>Carbon dioxide, fossil</t>
        </is>
      </c>
      <c r="B1965">
        <v>0.07370000000000002</v>
      </c>
      <c r="D1965" t="inlineStr">
        <is>
          <t>kilogram</t>
        </is>
      </c>
      <c r="E1965" t="inlineStr">
        <is>
          <t>air</t>
        </is>
      </c>
      <c r="F1965" t="inlineStr">
        <is>
          <t>biosphere</t>
        </is>
      </c>
      <c r="H1965" t="inlineStr">
        <is>
          <t>Reference fuel full-oxidation CO2; premise reclassifies fossil/biogenic emissions with its regional blend. Other carbon pollutants remain model defaults (not an elemental closure).</t>
        </is>
      </c>
      <c r="I1965">
        <v>0</v>
      </c>
    </row>
    <row r="1966"/>
    <row r="1967">
      <c r="A1967" t="inlineStr">
        <is>
          <t>Activity</t>
        </is>
      </c>
      <c r="B1967" t="inlineStr">
        <is>
          <t>compressed gas, burned in passenger car vehicle</t>
        </is>
      </c>
    </row>
    <row r="1968">
      <c r="A1968" t="inlineStr">
        <is>
          <t>location</t>
        </is>
      </c>
      <c r="B1968" t="inlineStr">
        <is>
          <t>CH</t>
        </is>
      </c>
    </row>
    <row r="1969">
      <c r="A1969" t="inlineStr">
        <is>
          <t>production amount</t>
        </is>
      </c>
      <c r="B1969">
        <v>1</v>
      </c>
    </row>
    <row r="1970">
      <c r="A1970" t="inlineStr">
        <is>
          <t>reference product</t>
        </is>
      </c>
      <c r="B1970" t="inlineStr">
        <is>
          <t>heat</t>
        </is>
      </c>
    </row>
    <row r="1971">
      <c r="A1971" t="inlineStr">
        <is>
          <t>comment</t>
        </is>
      </c>
      <c r="B197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1972">
      <c r="A1972" t="inlineStr">
        <is>
          <t>type</t>
        </is>
      </c>
      <c r="B1972" t="inlineStr">
        <is>
          <t>process</t>
        </is>
      </c>
    </row>
    <row r="1973">
      <c r="A1973" t="inlineStr">
        <is>
          <t>unit</t>
        </is>
      </c>
      <c r="B1973" t="inlineStr">
        <is>
          <t>megajoule</t>
        </is>
      </c>
    </row>
    <row r="1974">
      <c r="A1974" t="inlineStr">
        <is>
          <t>energy use source</t>
        </is>
      </c>
      <c r="B1974"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1975">
      <c r="A1975" t="inlineStr">
        <is>
          <t>Exchanges</t>
        </is>
      </c>
    </row>
    <row r="1976">
      <c r="A1976" t="inlineStr">
        <is>
          <t>name</t>
        </is>
      </c>
      <c r="B1976" t="inlineStr">
        <is>
          <t>amount</t>
        </is>
      </c>
      <c r="C1976" t="inlineStr">
        <is>
          <t>location</t>
        </is>
      </c>
      <c r="D1976" t="inlineStr">
        <is>
          <t>unit</t>
        </is>
      </c>
      <c r="E1976" t="inlineStr">
        <is>
          <t>categories</t>
        </is>
      </c>
      <c r="F1976" t="inlineStr">
        <is>
          <t>type</t>
        </is>
      </c>
      <c r="G1976" t="inlineStr">
        <is>
          <t>reference product</t>
        </is>
      </c>
      <c r="H1976" t="inlineStr">
        <is>
          <t>comment</t>
        </is>
      </c>
      <c r="I1976" t="inlineStr">
        <is>
          <t>uncertainty type</t>
        </is>
      </c>
    </row>
    <row r="1977">
      <c r="A1977" t="inlineStr">
        <is>
          <t>compressed gas, burned in passenger car vehicle</t>
        </is>
      </c>
      <c r="B1977">
        <v>1.0</v>
      </c>
      <c r="C1977" t="inlineStr">
        <is>
          <t>CH</t>
        </is>
      </c>
      <c r="D1977" t="inlineStr">
        <is>
          <t>megajoule</t>
        </is>
      </c>
      <c r="F1977" t="inlineStr">
        <is>
          <t>production</t>
        </is>
      </c>
      <c r="G1977" t="inlineStr">
        <is>
          <t>heat</t>
        </is>
      </c>
      <c r="I1977">
        <v>0</v>
      </c>
    </row>
    <row r="1978">
      <c r="A1978" t="inlineStr">
        <is>
          <t>market for natural gas, medium pressure, vehicle grade</t>
        </is>
      </c>
      <c r="B1978">
        <v>0.02150537634408602</v>
      </c>
      <c r="C1978" t="inlineStr">
        <is>
          <t>GLO</t>
        </is>
      </c>
      <c r="D1978" t="inlineStr">
        <is>
          <t>kilogram</t>
        </is>
      </c>
      <c r="F1978" t="inlineStr">
        <is>
          <t>technosphere</t>
        </is>
      </c>
      <c r="G1978" t="inlineStr">
        <is>
          <t>natural gas, medium pressure, vehicle grade</t>
        </is>
      </c>
      <c r="H1978" t="inlineStr">
        <is>
          <t>Default carculator fuel energy preserved (2.16163290851 MJ/vkm); premise reference LHV 46.5 MJ/kg. Regional scenario blend belongs to premise.</t>
        </is>
      </c>
      <c r="I1978">
        <v>0</v>
      </c>
    </row>
    <row r="1979">
      <c r="A1979" t="inlineStr">
        <is>
          <t>treatment of brake wear emissions, passenger car</t>
        </is>
      </c>
      <c r="B1979">
        <v>-6.778061331794415e-06</v>
      </c>
      <c r="C1979" t="inlineStr">
        <is>
          <t>RER</t>
        </is>
      </c>
      <c r="D1979" t="inlineStr">
        <is>
          <t>kilogram</t>
        </is>
      </c>
      <c r="F1979" t="inlineStr">
        <is>
          <t>technosphere</t>
        </is>
      </c>
      <c r="G1979" t="inlineStr">
        <is>
          <t>brake wear emissions, passenger car</t>
        </is>
      </c>
      <c r="I1979">
        <v>0</v>
      </c>
    </row>
    <row r="1980">
      <c r="A1980" t="inlineStr">
        <is>
          <t>treatment of road wear emissions, passenger car</t>
        </is>
      </c>
      <c r="B1980">
        <v>-7.779768914966537e-06</v>
      </c>
      <c r="C1980" t="inlineStr">
        <is>
          <t>RER</t>
        </is>
      </c>
      <c r="D1980" t="inlineStr">
        <is>
          <t>kilogram</t>
        </is>
      </c>
      <c r="F1980" t="inlineStr">
        <is>
          <t>technosphere</t>
        </is>
      </c>
      <c r="G1980" t="inlineStr">
        <is>
          <t>road wear emissions, passenger car</t>
        </is>
      </c>
      <c r="I1980">
        <v>0</v>
      </c>
    </row>
    <row r="1981">
      <c r="A1981" t="inlineStr">
        <is>
          <t>treatment of tyre wear emissions, passenger car</t>
        </is>
      </c>
      <c r="B1981">
        <v>-9.017947831786646e-06</v>
      </c>
      <c r="C1981" t="inlineStr">
        <is>
          <t>RER</t>
        </is>
      </c>
      <c r="D1981" t="inlineStr">
        <is>
          <t>kilogram</t>
        </is>
      </c>
      <c r="F1981" t="inlineStr">
        <is>
          <t>technosphere</t>
        </is>
      </c>
      <c r="G1981" t="inlineStr">
        <is>
          <t>tyre wear emissions, passenger car</t>
        </is>
      </c>
      <c r="I1981">
        <v>0</v>
      </c>
    </row>
    <row r="1982">
      <c r="A1982" t="inlineStr">
        <is>
          <t>market for tetrafluoroethane, R134a</t>
        </is>
      </c>
      <c r="B1982">
        <v>3.0069860156014323e-06</v>
      </c>
      <c r="C1982" t="inlineStr">
        <is>
          <t>GLO</t>
        </is>
      </c>
      <c r="D1982" t="inlineStr">
        <is>
          <t>kilogram</t>
        </is>
      </c>
      <c r="F1982" t="inlineStr">
        <is>
          <t>technosphere</t>
        </is>
      </c>
      <c r="G1982" t="inlineStr">
        <is>
          <t>tetrafluoroethane, R134a</t>
        </is>
      </c>
      <c r="I1982">
        <v>0</v>
      </c>
    </row>
    <row r="1983">
      <c r="A1983" t="inlineStr">
        <is>
          <t>NMVOC, non-methane volatile organic compounds</t>
        </is>
      </c>
      <c r="B1983">
        <v>3.716326596666934e-06</v>
      </c>
      <c r="D1983" t="inlineStr">
        <is>
          <t>kilogram</t>
        </is>
      </c>
      <c r="E1983" t="inlineStr">
        <is>
          <t>air::non-urban air or from high stacks</t>
        </is>
      </c>
      <c r="F1983" t="inlineStr">
        <is>
          <t>biosphere</t>
        </is>
      </c>
      <c r="I1983">
        <v>0</v>
      </c>
    </row>
    <row r="1984">
      <c r="A1984" t="inlineStr">
        <is>
          <t>Nitrogen oxides</t>
        </is>
      </c>
      <c r="B1984">
        <v>3.973486347763085e-06</v>
      </c>
      <c r="D1984" t="inlineStr">
        <is>
          <t>kilogram</t>
        </is>
      </c>
      <c r="E1984" t="inlineStr">
        <is>
          <t>air::non-urban air or from high stacks</t>
        </is>
      </c>
      <c r="F1984" t="inlineStr">
        <is>
          <t>biosphere</t>
        </is>
      </c>
      <c r="I1984">
        <v>0</v>
      </c>
    </row>
    <row r="1985">
      <c r="A1985" t="inlineStr">
        <is>
          <t>Benzene</t>
        </is>
      </c>
      <c r="B1985">
        <v>2.997037832439638e-08</v>
      </c>
      <c r="D1985" t="inlineStr">
        <is>
          <t>kilogram</t>
        </is>
      </c>
      <c r="E1985" t="inlineStr">
        <is>
          <t>air::non-urban air or from high stacks</t>
        </is>
      </c>
      <c r="F1985" t="inlineStr">
        <is>
          <t>biosphere</t>
        </is>
      </c>
      <c r="I1985">
        <v>0</v>
      </c>
    </row>
    <row r="1986">
      <c r="A1986" t="inlineStr">
        <is>
          <t>Methane, fossil</t>
        </is>
      </c>
      <c r="B1986">
        <v>1.3562634312581863e-06</v>
      </c>
      <c r="D1986" t="inlineStr">
        <is>
          <t>kilogram</t>
        </is>
      </c>
      <c r="E1986" t="inlineStr">
        <is>
          <t>air::urban air close to ground</t>
        </is>
      </c>
      <c r="F1986" t="inlineStr">
        <is>
          <t>biosphere</t>
        </is>
      </c>
      <c r="I1986">
        <v>0</v>
      </c>
    </row>
    <row r="1987">
      <c r="A1987" t="inlineStr">
        <is>
          <t>NMVOC, non-methane volatile organic compounds</t>
        </is>
      </c>
      <c r="B1987">
        <v>3.6528790310344626e-05</v>
      </c>
      <c r="D1987" t="inlineStr">
        <is>
          <t>kilogram</t>
        </is>
      </c>
      <c r="E1987" t="inlineStr">
        <is>
          <t>air::urban air close to ground</t>
        </is>
      </c>
      <c r="F1987" t="inlineStr">
        <is>
          <t>biosphere</t>
        </is>
      </c>
      <c r="I1987">
        <v>0</v>
      </c>
    </row>
    <row r="1988">
      <c r="A1988" t="inlineStr">
        <is>
          <t>Nitrogen oxides</t>
        </is>
      </c>
      <c r="B1988">
        <v>1.0599559274731076e-05</v>
      </c>
      <c r="D1988" t="inlineStr">
        <is>
          <t>kilogram</t>
        </is>
      </c>
      <c r="E1988" t="inlineStr">
        <is>
          <t>air::urban air close to ground</t>
        </is>
      </c>
      <c r="F1988" t="inlineStr">
        <is>
          <t>biosphere</t>
        </is>
      </c>
      <c r="I1988">
        <v>0</v>
      </c>
    </row>
    <row r="1989">
      <c r="A1989" t="inlineStr">
        <is>
          <t>Carbon monoxide, fossil</t>
        </is>
      </c>
      <c r="B1989">
        <v>0.0001491440623544035</v>
      </c>
      <c r="D1989" t="inlineStr">
        <is>
          <t>kilogram</t>
        </is>
      </c>
      <c r="E1989" t="inlineStr">
        <is>
          <t>air::urban air close to ground</t>
        </is>
      </c>
      <c r="F1989" t="inlineStr">
        <is>
          <t>biosphere</t>
        </is>
      </c>
      <c r="I1989">
        <v>0</v>
      </c>
    </row>
    <row r="1990">
      <c r="A1990" t="inlineStr">
        <is>
          <t>1,1,1,2-Tetrafluoroethane</t>
        </is>
      </c>
      <c r="B1990">
        <v>1.7347996001117329e-06</v>
      </c>
      <c r="D1990" t="inlineStr">
        <is>
          <t>kilogram</t>
        </is>
      </c>
      <c r="E1990" t="inlineStr">
        <is>
          <t>air</t>
        </is>
      </c>
      <c r="F1990" t="inlineStr">
        <is>
          <t>biosphere</t>
        </is>
      </c>
      <c r="I1990">
        <v>0</v>
      </c>
    </row>
    <row r="1991">
      <c r="A1991" t="inlineStr">
        <is>
          <t>Benzene</t>
        </is>
      </c>
      <c r="B1991">
        <v>1.7940791045168867e-06</v>
      </c>
      <c r="D1991" t="inlineStr">
        <is>
          <t>kilogram</t>
        </is>
      </c>
      <c r="E1991" t="inlineStr">
        <is>
          <t>air::urban air close to ground</t>
        </is>
      </c>
      <c r="F1991" t="inlineStr">
        <is>
          <t>biosphere</t>
        </is>
      </c>
      <c r="I1991">
        <v>0</v>
      </c>
    </row>
    <row r="1992">
      <c r="A1992" t="inlineStr">
        <is>
          <t>fuel tank assembly, compressed natural gas, 200 bar, carculator passenger car 2020</t>
        </is>
      </c>
      <c r="B1992">
        <v>0.00017353583134432305</v>
      </c>
      <c r="C1992" t="inlineStr">
        <is>
          <t>RER</t>
        </is>
      </c>
      <c r="D1992" t="inlineStr">
        <is>
          <t>kilogram</t>
        </is>
      </c>
      <c r="F1992" t="inlineStr">
        <is>
          <t>technosphere</t>
        </is>
      </c>
      <c r="G1992" t="inlineStr">
        <is>
          <t>fuel tank, compressed natural gas, 200 bar</t>
        </is>
      </c>
      <c r="H1992" t="inlineStr">
        <is>
          <t> Energy-use allocation: 75.02415466308594 * 4.999999873689376e-06 / 2.1616329085074186 MJ per kilometer.</t>
        </is>
      </c>
      <c r="I1992">
        <v>0</v>
      </c>
    </row>
    <row r="1993">
      <c r="A1993" t="inlineStr">
        <is>
          <t>market for internal combustion engine, passenger car</t>
        </is>
      </c>
      <c r="B1993">
        <v>0.0006204787197014541</v>
      </c>
      <c r="C1993" t="inlineStr">
        <is>
          <t>GLO</t>
        </is>
      </c>
      <c r="D1993" t="inlineStr">
        <is>
          <t>kilogram</t>
        </is>
      </c>
      <c r="F1993" t="inlineStr">
        <is>
          <t>technosphere</t>
        </is>
      </c>
      <c r="G1993" t="inlineStr">
        <is>
          <t>internal combustion engine, passenger car</t>
        </is>
      </c>
      <c r="H1993" t="inlineStr">
        <is>
          <t> Energy-use allocation: 268.2494506835938 * 4.999999873689376e-06 / 2.1616329085074186 MJ per kilometer.</t>
        </is>
      </c>
      <c r="I1993">
        <v>0</v>
      </c>
    </row>
    <row r="1994">
      <c r="A1994" t="inlineStr">
        <is>
          <t>market for waste plastic, industrial electronics</t>
        </is>
      </c>
      <c r="B1994">
        <v>-0.00017353583134432305</v>
      </c>
      <c r="C1994" t="inlineStr">
        <is>
          <t>CH</t>
        </is>
      </c>
      <c r="D1994" t="inlineStr">
        <is>
          <t>kilogram</t>
        </is>
      </c>
      <c r="F1994" t="inlineStr">
        <is>
          <t>technosphere</t>
        </is>
      </c>
      <c r="G1994" t="inlineStr">
        <is>
          <t>waste plastic, industrial electronics</t>
        </is>
      </c>
      <c r="H1994" t="inlineStr">
        <is>
          <t> Energy-use allocation: -75.02415466308594 * 4.999999873689376e-06 / 2.1616329085074186 MJ per kilometer.</t>
        </is>
      </c>
      <c r="I1994">
        <v>0</v>
      </c>
    </row>
    <row r="1995">
      <c r="A1995" t="inlineStr">
        <is>
          <t>Carbon dioxide, fossil</t>
        </is>
      </c>
      <c r="B1995">
        <v>0.05999999999999999</v>
      </c>
      <c r="D1995" t="inlineStr">
        <is>
          <t>kilogram</t>
        </is>
      </c>
      <c r="E1995" t="inlineStr">
        <is>
          <t>air</t>
        </is>
      </c>
      <c r="F1995" t="inlineStr">
        <is>
          <t>biosphere</t>
        </is>
      </c>
      <c r="H1995" t="inlineStr">
        <is>
          <t>Reference fuel full-oxidation CO2; premise reclassifies fossil/biogenic emissions with its regional blend. Other carbon pollutants remain model defaults (not an elemental closure).</t>
        </is>
      </c>
      <c r="I1995">
        <v>0</v>
      </c>
    </row>
    <row r="1996"/>
    <row r="1997">
      <c r="A1997" t="inlineStr">
        <is>
          <t>Activity</t>
        </is>
      </c>
      <c r="B1997" t="inlineStr">
        <is>
          <t>electricity, used in passenger car vehicle</t>
        </is>
      </c>
    </row>
    <row r="1998">
      <c r="A1998" t="inlineStr">
        <is>
          <t>location</t>
        </is>
      </c>
      <c r="B1998" t="inlineStr">
        <is>
          <t>CH</t>
        </is>
      </c>
    </row>
    <row r="1999">
      <c r="A1999" t="inlineStr">
        <is>
          <t>comment</t>
        </is>
      </c>
      <c r="B1999"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2000">
      <c r="A2000" t="inlineStr">
        <is>
          <t>production amount</t>
        </is>
      </c>
      <c r="B2000">
        <v>1</v>
      </c>
    </row>
    <row r="2001">
      <c r="A2001" t="inlineStr">
        <is>
          <t>reference product</t>
        </is>
      </c>
      <c r="B2001" t="inlineStr">
        <is>
          <t>electricity, low voltage</t>
        </is>
      </c>
    </row>
    <row r="2002">
      <c r="A2002" t="inlineStr">
        <is>
          <t>type</t>
        </is>
      </c>
      <c r="B2002" t="inlineStr">
        <is>
          <t>process</t>
        </is>
      </c>
    </row>
    <row r="2003">
      <c r="A2003" t="inlineStr">
        <is>
          <t>unit</t>
        </is>
      </c>
      <c r="B2003" t="inlineStr">
        <is>
          <t>megajoule</t>
        </is>
      </c>
    </row>
    <row r="2004">
      <c r="A2004" t="inlineStr">
        <is>
          <t>energy use source</t>
        </is>
      </c>
      <c r="B2004"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internal combustion engine, passenger car", "internal combustion engine, passenger car", "GLO", "kilogram"], "amount per vehicle": 89.87989807128906,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0.000708832501869731},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"alternative fuel recipe retained": false}</t>
        </is>
      </c>
    </row>
    <row r="2005">
      <c r="A2005" t="inlineStr">
        <is>
          <t>Exchanges</t>
        </is>
      </c>
    </row>
    <row r="2006">
      <c r="A2006" t="inlineStr">
        <is>
          <t>name</t>
        </is>
      </c>
      <c r="B2006" t="inlineStr">
        <is>
          <t>amount</t>
        </is>
      </c>
      <c r="C2006" t="inlineStr">
        <is>
          <t>location</t>
        </is>
      </c>
      <c r="D2006" t="inlineStr">
        <is>
          <t>unit</t>
        </is>
      </c>
      <c r="E2006" t="inlineStr">
        <is>
          <t>categories</t>
        </is>
      </c>
      <c r="F2006" t="inlineStr">
        <is>
          <t>type</t>
        </is>
      </c>
      <c r="G2006" t="inlineStr">
        <is>
          <t>reference product</t>
        </is>
      </c>
      <c r="H2006" t="inlineStr">
        <is>
          <t>comment</t>
        </is>
      </c>
      <c r="I2006" t="inlineStr">
        <is>
          <t>uncertainty type</t>
        </is>
      </c>
    </row>
    <row r="2007">
      <c r="A2007" t="inlineStr">
        <is>
          <t>electricity, used in passenger car vehicle</t>
        </is>
      </c>
      <c r="B2007">
        <v>1.0</v>
      </c>
      <c r="C2007" t="inlineStr">
        <is>
          <t>CH</t>
        </is>
      </c>
      <c r="D2007" t="inlineStr">
        <is>
          <t>megajoule</t>
        </is>
      </c>
      <c r="F2007" t="inlineStr">
        <is>
          <t>production</t>
        </is>
      </c>
      <c r="G2007" t="inlineStr">
        <is>
          <t>electricity, low voltage</t>
        </is>
      </c>
      <c r="I2007">
        <v>0</v>
      </c>
    </row>
    <row r="2008">
      <c r="A2008" t="inlineStr">
        <is>
          <t>market group for electricity, low voltage</t>
        </is>
      </c>
      <c r="B2008">
        <v>0.2777777777777778</v>
      </c>
      <c r="C2008" t="inlineStr">
        <is>
          <t>RER</t>
        </is>
      </c>
      <c r="D2008" t="inlineStr">
        <is>
          <t>kilowatt hour</t>
        </is>
      </c>
      <c r="F2008" t="inlineStr">
        <is>
          <t>technosphere</t>
        </is>
      </c>
      <c r="G2008" t="inlineStr">
        <is>
          <t>electricity, low voltage</t>
        </is>
      </c>
      <c r="H2008" t="inlineStr">
        <is>
          <t>Grid purchase including default charging losses; premise regional electricity supply.</t>
        </is>
      </c>
      <c r="I2008">
        <v>0</v>
      </c>
    </row>
    <row r="2009">
      <c r="A2009" t="inlineStr">
        <is>
          <t>treatment of brake wear emissions, passenger car</t>
        </is>
      </c>
      <c r="B2009">
        <v>-1.2917585606368163e-05</v>
      </c>
      <c r="C2009" t="inlineStr">
        <is>
          <t>RER</t>
        </is>
      </c>
      <c r="D2009" t="inlineStr">
        <is>
          <t>kilogram</t>
        </is>
      </c>
      <c r="F2009" t="inlineStr">
        <is>
          <t>technosphere</t>
        </is>
      </c>
      <c r="G2009" t="inlineStr">
        <is>
          <t>brake wear emissions, passenger car</t>
        </is>
      </c>
      <c r="I2009">
        <v>0</v>
      </c>
    </row>
    <row r="2010">
      <c r="A2010" t="inlineStr">
        <is>
          <t>treatment of road wear emissions, passenger car</t>
        </is>
      </c>
      <c r="B2010">
        <v>-2.8763892607167598e-05</v>
      </c>
      <c r="C2010" t="inlineStr">
        <is>
          <t>RER</t>
        </is>
      </c>
      <c r="D2010" t="inlineStr">
        <is>
          <t>kilogram</t>
        </is>
      </c>
      <c r="F2010" t="inlineStr">
        <is>
          <t>technosphere</t>
        </is>
      </c>
      <c r="G2010" t="inlineStr">
        <is>
          <t>road wear emissions, passenger car</t>
        </is>
      </c>
      <c r="I2010">
        <v>0</v>
      </c>
    </row>
    <row r="2011">
      <c r="A2011" t="inlineStr">
        <is>
          <t>treatment of tyre wear emissions, passenger car</t>
        </is>
      </c>
      <c r="B2011">
        <v>-3.2713899830380004e-05</v>
      </c>
      <c r="C2011" t="inlineStr">
        <is>
          <t>RER</t>
        </is>
      </c>
      <c r="D2011" t="inlineStr">
        <is>
          <t>kilogram</t>
        </is>
      </c>
      <c r="F2011" t="inlineStr">
        <is>
          <t>technosphere</t>
        </is>
      </c>
      <c r="G2011" t="inlineStr">
        <is>
          <t>tyre wear emissions, passenger car</t>
        </is>
      </c>
      <c r="I2011">
        <v>0</v>
      </c>
    </row>
    <row r="2012">
      <c r="A2012" t="inlineStr">
        <is>
          <t>market for tetrafluoroethane, R134a</t>
        </is>
      </c>
      <c r="B2012">
        <v>1.0252373279210404e-05</v>
      </c>
      <c r="C2012" t="inlineStr">
        <is>
          <t>GLO</t>
        </is>
      </c>
      <c r="D2012" t="inlineStr">
        <is>
          <t>kilogram</t>
        </is>
      </c>
      <c r="F2012" t="inlineStr">
        <is>
          <t>technosphere</t>
        </is>
      </c>
      <c r="G2012" t="inlineStr">
        <is>
          <t>tetrafluoroethane, R134a</t>
        </is>
      </c>
      <c r="I2012">
        <v>0</v>
      </c>
    </row>
    <row r="2013">
      <c r="A2013" t="inlineStr">
        <is>
          <t>1,1,1,2-Tetrafluoroethane</t>
        </is>
      </c>
      <c r="B2013">
        <v>5.914830655244352e-06</v>
      </c>
      <c r="D2013" t="inlineStr">
        <is>
          <t>kilogram</t>
        </is>
      </c>
      <c r="E2013" t="inlineStr">
        <is>
          <t>air</t>
        </is>
      </c>
      <c r="F2013" t="inlineStr">
        <is>
          <t>biosphere</t>
        </is>
      </c>
      <c r="I2013">
        <v>0</v>
      </c>
    </row>
    <row r="2014">
      <c r="A2014" t="inlineStr">
        <is>
          <t>market for charger, electric passenger car</t>
        </is>
      </c>
      <c r="B2014">
        <v>4.701004714750376e-05</v>
      </c>
      <c r="C2014" t="inlineStr">
        <is>
          <t>GLO</t>
        </is>
      </c>
      <c r="D2014" t="inlineStr">
        <is>
          <t>kilogram</t>
        </is>
      </c>
      <c r="F2014" t="inlineStr">
        <is>
          <t>technosphere</t>
        </is>
      </c>
      <c r="G2014" t="inlineStr">
        <is>
          <t>charger, electric passenger car</t>
        </is>
      </c>
      <c r="H2014" t="inlineStr">
        <is>
          <t> Energy-use allocation: 5.960869789123535 * 4.999999873689376e-06 / 0.6339995384216309 MJ per kilometer.</t>
        </is>
      </c>
      <c r="I2014">
        <v>0</v>
      </c>
    </row>
    <row r="2015">
      <c r="A2015" t="inlineStr">
        <is>
          <t>market for converter, for electric passenger car</t>
        </is>
      </c>
      <c r="B2015">
        <v>3.525753348035379e-05</v>
      </c>
      <c r="C2015" t="inlineStr">
        <is>
          <t>GLO</t>
        </is>
      </c>
      <c r="D2015" t="inlineStr">
        <is>
          <t>kilogram</t>
        </is>
      </c>
      <c r="F2015" t="inlineStr">
        <is>
          <t>technosphere</t>
        </is>
      </c>
      <c r="G2015" t="inlineStr">
        <is>
          <t>converter, for electric passenger car</t>
        </is>
      </c>
      <c r="H2015" t="inlineStr">
        <is>
          <t> Energy-use allocation: 4.470652103424072 * 4.999999873689376e-06 / 0.6339995384216309 MJ per kilometer.</t>
        </is>
      </c>
      <c r="I2015">
        <v>0</v>
      </c>
    </row>
    <row r="2016">
      <c r="A2016" t="inlineStr">
        <is>
          <t>market for electric motor, electric passenger car</t>
        </is>
      </c>
      <c r="B2016">
        <v>0.0007090970037776945</v>
      </c>
      <c r="C2016" t="inlineStr">
        <is>
          <t>GLO</t>
        </is>
      </c>
      <c r="D2016" t="inlineStr">
        <is>
          <t>kilogram</t>
        </is>
      </c>
      <c r="F2016" t="inlineStr">
        <is>
          <t>technosphere</t>
        </is>
      </c>
      <c r="G2016" t="inlineStr">
        <is>
          <t>electric motor, electric passenger car</t>
        </is>
      </c>
      <c r="H2016" t="inlineStr">
        <is>
          <t> Energy-use allocation: 89.91343688964844 * 4.999999873689376e-06 / 0.6339995384216309 MJ per kilometer.</t>
        </is>
      </c>
      <c r="I2016">
        <v>0</v>
      </c>
    </row>
    <row r="2017">
      <c r="A2017" t="inlineStr">
        <is>
          <t>market for internal combustion engine, passenger car</t>
        </is>
      </c>
      <c r="B2017">
        <v>0.000708832501869731</v>
      </c>
      <c r="C2017" t="inlineStr">
        <is>
          <t>GLO</t>
        </is>
      </c>
      <c r="D2017" t="inlineStr">
        <is>
          <t>kilogram</t>
        </is>
      </c>
      <c r="F2017" t="inlineStr">
        <is>
          <t>technosphere</t>
        </is>
      </c>
      <c r="G2017" t="inlineStr">
        <is>
          <t>internal combustion engine, passenger car</t>
        </is>
      </c>
      <c r="H2017" t="inlineStr">
        <is>
          <t> Energy-use allocation: 89.87989807128906 * 4.999999873689376e-06 / 0.6339995384216309 MJ per kilometer.</t>
        </is>
      </c>
      <c r="I2017">
        <v>0</v>
      </c>
    </row>
    <row r="2018">
      <c r="A2018" t="inlineStr">
        <is>
          <t>market for inverter, for electric passenger car</t>
        </is>
      </c>
      <c r="B2018">
        <v>7.051506696070758e-05</v>
      </c>
      <c r="C2018" t="inlineStr">
        <is>
          <t>GLO</t>
        </is>
      </c>
      <c r="D2018" t="inlineStr">
        <is>
          <t>kilogram</t>
        </is>
      </c>
      <c r="F2018" t="inlineStr">
        <is>
          <t>technosphere</t>
        </is>
      </c>
      <c r="G2018" t="inlineStr">
        <is>
          <t>inverter, for electric passenger car</t>
        </is>
      </c>
      <c r="H2018" t="inlineStr">
        <is>
          <t> Energy-use allocation: 8.941304206848145 * 4.999999873689376e-06 / 0.6339995384216309 MJ per kilometer.</t>
        </is>
      </c>
      <c r="I2018">
        <v>0</v>
      </c>
    </row>
    <row r="2019">
      <c r="A2019" t="inlineStr">
        <is>
          <t>market for power distribution unit, for electric passenger car</t>
        </is>
      </c>
      <c r="B2019">
        <v>3.134002955139514e-05</v>
      </c>
      <c r="C2019" t="inlineStr">
        <is>
          <t>GLO</t>
        </is>
      </c>
      <c r="D2019" t="inlineStr">
        <is>
          <t>kilogram</t>
        </is>
      </c>
      <c r="F2019" t="inlineStr">
        <is>
          <t>technosphere</t>
        </is>
      </c>
      <c r="G2019" t="inlineStr">
        <is>
          <t>power distribution unit, for electric passenger car</t>
        </is>
      </c>
      <c r="H2019" t="inlineStr">
        <is>
          <t> Energy-use allocation: 3.973912954330444 * 4.999999873689376e-06 / 0.6339995384216309 MJ per kilometer.</t>
        </is>
      </c>
      <c r="I2019">
        <v>0</v>
      </c>
    </row>
    <row r="2020">
      <c r="A2020" t="inlineStr">
        <is>
          <t>market for used powertrain from electric passenger car, manual dismantling</t>
        </is>
      </c>
      <c r="B2020">
        <v>-0.0008932196940795731</v>
      </c>
      <c r="C2020" t="inlineStr">
        <is>
          <t>GLO</t>
        </is>
      </c>
      <c r="D2020" t="inlineStr">
        <is>
          <t>kilogram</t>
        </is>
      </c>
      <c r="F2020" t="inlineStr">
        <is>
          <t>technosphere</t>
        </is>
      </c>
      <c r="G2020" t="inlineStr">
        <is>
          <t>used powertrain from electric passenger car, manual dismantling</t>
        </is>
      </c>
      <c r="H2020" t="inlineStr">
        <is>
          <t> Energy-use allocation: -113.2601776123047 * 4.999999873689376e-06 / 0.6339995384216309 MJ per kilometer.</t>
        </is>
      </c>
      <c r="I2020">
        <v>0</v>
      </c>
    </row>
    <row r="2021">
      <c r="A2021" t="inlineStr">
        <is>
          <t>market for battery capacity (MIX scenario)</t>
        </is>
      </c>
      <c r="B2021">
        <v>0.0005299688026423864</v>
      </c>
      <c r="C2021" t="inlineStr">
        <is>
          <t>GLO</t>
        </is>
      </c>
      <c r="D2021" t="inlineStr">
        <is>
          <t>kilowatt hour</t>
        </is>
      </c>
      <c r="F2021" t="inlineStr">
        <is>
          <t>technosphere</t>
        </is>
      </c>
      <c r="G2021" t="inlineStr">
        <is>
          <t>electricity storage capacity</t>
        </is>
      </c>
      <c r="H2021" t="inlineStr">
        <is>
          <t>67.1999969482 kWh nominal * (1 + 0 lifetime replacements). Capacity market includes battery manufacture AND end of life; original kg pack and disposal removed. Energy-use allocation: 67.19999694824219 * 4.999999873689376e-06 / 0.6339995384216309 MJ per kilometer.</t>
        </is>
      </c>
      <c r="I2021">
        <v>0</v>
      </c>
    </row>
    <row r="2022"/>
    <row r="2023" spans="1:12" ht="16" ns3:dyDescent="0.2">
      <c r="A2023" s="1" t="s">
        <v>0</v>
      </c>
      <c r="B2023" s="60" t="s">
        <v>431</v>
      </c>
    </row>
    <row r="2024" spans="1:12" ns3:dyDescent="0.2">
      <c r="A2024" t="s">
        <v>1</v>
      </c>
      <c r="B2024" t="s">
        <v>24</v>
      </c>
    </row>
    <row r="2025" spans="1:12" ns3:dyDescent="0.2">
      <c r="A2025" t="s">
        <v>3</v>
      </c>
      <c r="B2025" t="str">
        <f>B2023</f>
        <v>charging station, 3kW</v>
      </c>
    </row>
    <row r="2026" spans="1:12" ns3:dyDescent="0.2">
      <c r="A2026" t="s">
        <v>4</v>
      </c>
      <c r="B2026" t="s">
        <v>5</v>
      </c>
    </row>
    <row r="2027" spans="1:12" ns3:dyDescent="0.2">
      <c r="A2027" t="s">
        <v>6</v>
      </c>
      <c r="B2027" t="s">
        <v>6</v>
      </c>
    </row>
    <row r="2028" spans="1:12" ns3:dyDescent="0.2">
      <c r="A2028" t="s">
        <v>8</v>
      </c>
      <c r="B2028" t="s">
        <v>429</v>
      </c>
    </row>
    <row r="2029" spans="1:12" ns3:dyDescent="0.2">
      <c r="A2029" t="s">
        <v>9</v>
      </c>
      <c r="B2029" t="s">
        <v>459</v>
      </c>
    </row>
    <row r="2030" spans="1:12" ht="16" ns3:dyDescent="0.2">
      <c r="A2030" s="1" t="s">
        <v>10</v>
      </c>
      <c r="B2030"/>
    </row>
    <row r="2031" spans="1:12" ns3:dyDescent="0.2">
      <c r="A2031" t="s">
        <v>11</v>
      </c>
      <c r="B2031" t="s">
        <v>12</v>
      </c>
      <c r="C2031" t="s">
        <v>1</v>
      </c>
      <c r="D2031" t="s">
        <v>6</v>
      </c>
      <c r="E2031" t="s">
        <v>13</v>
      </c>
      <c r="F2031" t="s">
        <v>4</v>
      </c>
      <c r="G2031" t="s">
        <v>9</v>
      </c>
      <c r="H2031" t="s">
        <v>3</v>
      </c>
    </row>
    <row r="2032" spans="1:12" ns3:dyDescent="0.2">
      <c r="A2032" t="str">
        <f>B2023</f>
        <v>charging station, 3kW</v>
      </c>
      <c r="B2032">
        <v>1</v>
      </c>
      <c r="C2032" t="str">
        <f>B2024</f>
        <v>GLO</v>
      </c>
      <c r="D2032" t="str">
        <f>B2027</f>
        <v>unit</v>
      </c>
      <c r="F2032" t="s">
        <v>15</v>
      </c>
      <c r="G2032" t="s">
        <v>16</v>
      </c>
      <c r="H2032" t="str">
        <f>B2025</f>
        <v>charging station, 3kW</v>
      </c>
    </row>
    <row r="2033" spans="1:12" ns3:dyDescent="0.2">
      <c r="A2033" s="65" t="s">
        <v>460</v>
      </c>
      <c r="B2033" s="66">
        <v>3</v>
      </c>
      <c r="C2033" t="s">
        <v>24</v>
      </c>
      <c r="D2033" t="s">
        <v>7</v>
      </c>
      <c r="F2033" t="s">
        <v>18</v>
      </c>
      <c r="H2033" t="s">
        <v>461</v>
      </c>
    </row>
    <row r="2034" spans="1:12" ns3:dyDescent="0.2">
      <c r="A2034" s="65" t="s">
        <v>433</v>
      </c>
      <c r="B2034" s="66">
        <f>15900*(B2033/1000)</f>
        <v>47.7</v>
      </c>
      <c r="C2034" t="s">
        <v>24</v>
      </c>
      <c r="D2034" t="s">
        <v>28</v>
      </c>
      <c r="F2034" t="s">
        <v>18</v>
      </c>
      <c r="H2034" t="s">
        <v>433</v>
      </c>
    </row>
    <row r="2035" spans="1:12" ns3:dyDescent="0.2">
      <c r="A2035" s="65" t="s">
        <v>81</v>
      </c>
      <c r="B2035" s="66">
        <f>1000*(B2033/1000)</f>
        <v>3</v>
      </c>
      <c r="C2035" t="s">
        <v>103</v>
      </c>
      <c r="D2035" t="s">
        <v>28</v>
      </c>
      <c r="F2035" t="s">
        <v>18</v>
      </c>
      <c r="H2035" t="s">
        <v>82</v>
      </c>
    </row>
    <row r="2036" spans="1:12" ns3:dyDescent="0.2">
      <c r="A2036" t="s">
        <v>462</v>
      </c>
      <c r="B2036" s="66">
        <f>-1*B2033</f>
        <v>-3</v>
      </c>
      <c r="C2036" t="s">
        <v>24</v>
      </c>
      <c r="D2036" t="s">
        <v>7</v>
      </c>
      <c r="F2036" t="s">
        <v>18</v>
      </c>
      <c r="H2036" t="s">
        <v>463</v>
      </c>
    </row>
    <row r="2037" spans="1:12" ns3:dyDescent="0.2">
      <c r="B2037"/>
    </row>
    <row r="2038">
      <c r="A2038" t="inlineStr">
        <is>
          <t>Activity</t>
        </is>
      </c>
      <c r="B2038" t="inlineStr">
        <is>
          <t>hydrogen, used in passenger car vehicle</t>
        </is>
      </c>
    </row>
    <row r="2039">
      <c r="A2039" t="inlineStr">
        <is>
          <t>location</t>
        </is>
      </c>
      <c r="B2039" t="inlineStr">
        <is>
          <t>CH</t>
        </is>
      </c>
    </row>
    <row r="2040">
      <c r="A2040" t="inlineStr">
        <is>
          <t>production amount</t>
        </is>
      </c>
      <c r="B2040">
        <v>1</v>
      </c>
    </row>
    <row r="2041">
      <c r="A2041" t="inlineStr">
        <is>
          <t>reference product</t>
        </is>
      </c>
      <c r="B2041" t="inlineStr">
        <is>
          <t>heat</t>
        </is>
      </c>
    </row>
    <row r="2042">
      <c r="A2042" t="inlineStr">
        <is>
          <t>type</t>
        </is>
      </c>
      <c r="B2042" t="inlineStr">
        <is>
          <t>process</t>
        </is>
      </c>
    </row>
    <row r="2043">
      <c r="A2043" t="inlineStr">
        <is>
          <t>comment</t>
        </is>
      </c>
      <c r="B204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44">
      <c r="A2044" t="inlineStr">
        <is>
          <t>unit</t>
        </is>
      </c>
      <c r="B2044" t="inlineStr">
        <is>
          <t>megajoule</t>
        </is>
      </c>
    </row>
    <row r="2045">
      <c r="A2045" t="inlineStr">
        <is>
          <t>energy use source</t>
        </is>
      </c>
      <c r="B2045"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046">
      <c r="A2046" t="inlineStr">
        <is>
          <t>Exchanges</t>
        </is>
      </c>
    </row>
    <row r="2047">
      <c r="A2047" t="inlineStr">
        <is>
          <t>name</t>
        </is>
      </c>
      <c r="B2047" t="inlineStr">
        <is>
          <t>amount</t>
        </is>
      </c>
      <c r="C2047" t="inlineStr">
        <is>
          <t>location</t>
        </is>
      </c>
      <c r="D2047" t="inlineStr">
        <is>
          <t>unit</t>
        </is>
      </c>
      <c r="E2047" t="inlineStr">
        <is>
          <t>categories</t>
        </is>
      </c>
      <c r="F2047" t="inlineStr">
        <is>
          <t>type</t>
        </is>
      </c>
      <c r="G2047" t="inlineStr">
        <is>
          <t>reference product</t>
        </is>
      </c>
      <c r="H2047" t="inlineStr">
        <is>
          <t>comment</t>
        </is>
      </c>
      <c r="I2047" t="inlineStr">
        <is>
          <t>uncertainty type</t>
        </is>
      </c>
    </row>
    <row r="2048">
      <c r="A2048" t="inlineStr">
        <is>
          <t>hydrogen, used in passenger car vehicle</t>
        </is>
      </c>
      <c r="B2048">
        <v>1.0</v>
      </c>
      <c r="C2048" t="inlineStr">
        <is>
          <t>CH</t>
        </is>
      </c>
      <c r="D2048" t="inlineStr">
        <is>
          <t>megajoule</t>
        </is>
      </c>
      <c r="F2048" t="inlineStr">
        <is>
          <t>production</t>
        </is>
      </c>
      <c r="G2048" t="inlineStr">
        <is>
          <t>heat</t>
        </is>
      </c>
      <c r="I2048">
        <v>0</v>
      </c>
    </row>
    <row r="2049">
      <c r="A2049" t="inlineStr">
        <is>
          <t>market for hydrogen, gaseous, low pressure</t>
        </is>
      </c>
      <c r="B2049">
        <v>0.008333333333333333</v>
      </c>
      <c r="C2049" t="inlineStr">
        <is>
          <t>RER</t>
        </is>
      </c>
      <c r="D2049" t="inlineStr">
        <is>
          <t>kilogram</t>
        </is>
      </c>
      <c r="F2049" t="inlineStr">
        <is>
          <t>technosphere</t>
        </is>
      </c>
      <c r="G2049" t="inlineStr">
        <is>
          <t>hydrogen, gaseous, low pressure</t>
        </is>
      </c>
      <c r="H2049" t="inlineStr">
        <is>
          <t>Default carculator fuel energy preserved (1.07263356625 MJ/vkm); premise reference LHV 120.0 MJ/kg. Regional scenario blend belongs to premise.</t>
        </is>
      </c>
      <c r="I2049">
        <v>0</v>
      </c>
    </row>
    <row r="2050">
      <c r="A2050" t="inlineStr">
        <is>
          <t>treatment of brake wear emissions, passenger car</t>
        </is>
      </c>
      <c r="B2050">
        <v>-7.811243251597881e-06</v>
      </c>
      <c r="C2050" t="inlineStr">
        <is>
          <t>RER</t>
        </is>
      </c>
      <c r="D2050" t="inlineStr">
        <is>
          <t>kilogram</t>
        </is>
      </c>
      <c r="F2050" t="inlineStr">
        <is>
          <t>technosphere</t>
        </is>
      </c>
      <c r="G2050" t="inlineStr">
        <is>
          <t>brake wear emissions, passenger car</t>
        </is>
      </c>
      <c r="I2050">
        <v>0</v>
      </c>
    </row>
    <row r="2051">
      <c r="A2051" t="inlineStr">
        <is>
          <t>treatment of road wear emissions, passenger car</t>
        </is>
      </c>
      <c r="B2051">
        <v>-1.7354722075946138e-05</v>
      </c>
      <c r="C2051" t="inlineStr">
        <is>
          <t>RER</t>
        </is>
      </c>
      <c r="D2051" t="inlineStr">
        <is>
          <t>kilogram</t>
        </is>
      </c>
      <c r="F2051" t="inlineStr">
        <is>
          <t>technosphere</t>
        </is>
      </c>
      <c r="G2051" t="inlineStr">
        <is>
          <t>road wear emissions, passenger car</t>
        </is>
      </c>
      <c r="I2051">
        <v>0</v>
      </c>
    </row>
    <row r="2052">
      <c r="A2052" t="inlineStr">
        <is>
          <t>treatment of tyre wear emissions, passenger car</t>
        </is>
      </c>
      <c r="B2052">
        <v>-1.9644274084031096e-05</v>
      </c>
      <c r="C2052" t="inlineStr">
        <is>
          <t>RER</t>
        </is>
      </c>
      <c r="D2052" t="inlineStr">
        <is>
          <t>kilogram</t>
        </is>
      </c>
      <c r="F2052" t="inlineStr">
        <is>
          <t>technosphere</t>
        </is>
      </c>
      <c r="G2052" t="inlineStr">
        <is>
          <t>tyre wear emissions, passenger car</t>
        </is>
      </c>
      <c r="I2052">
        <v>0</v>
      </c>
    </row>
    <row r="2053">
      <c r="A2053" t="inlineStr">
        <is>
          <t>market for tetrafluoroethane, R134a</t>
        </is>
      </c>
      <c r="B2053">
        <v>6.05985131483241e-06</v>
      </c>
      <c r="C2053" t="inlineStr">
        <is>
          <t>GLO</t>
        </is>
      </c>
      <c r="D2053" t="inlineStr">
        <is>
          <t>kilogram</t>
        </is>
      </c>
      <c r="F2053" t="inlineStr">
        <is>
          <t>technosphere</t>
        </is>
      </c>
      <c r="G2053" t="inlineStr">
        <is>
          <t>tetrafluoroethane, R134a</t>
        </is>
      </c>
      <c r="I2053">
        <v>0</v>
      </c>
    </row>
    <row r="2054">
      <c r="A2054" t="inlineStr">
        <is>
          <t>1,1,1,2-Tetrafluoroethane</t>
        </is>
      </c>
      <c r="B2054">
        <v>3.4960680173316915e-06</v>
      </c>
      <c r="D2054" t="inlineStr">
        <is>
          <t>kilogram</t>
        </is>
      </c>
      <c r="E2054" t="inlineStr">
        <is>
          <t>air</t>
        </is>
      </c>
      <c r="F2054" t="inlineStr">
        <is>
          <t>biosphere</t>
        </is>
      </c>
      <c r="I2054">
        <v>0</v>
      </c>
    </row>
    <row r="2055">
      <c r="A2055" t="inlineStr">
        <is>
          <t>market group for electricity, low voltage</t>
        </is>
      </c>
      <c r="B2055">
        <v>0.020421827056420445</v>
      </c>
      <c r="C2055" t="inlineStr">
        <is>
          <t>RER</t>
        </is>
      </c>
      <c r="D2055" t="inlineStr">
        <is>
          <t>kilowatt hour</t>
        </is>
      </c>
      <c r="F2055" t="inlineStr">
        <is>
          <t>technosphere</t>
        </is>
      </c>
      <c r="G2055" t="inlineStr">
        <is>
          <t>electricity, low voltage</t>
        </is>
      </c>
      <c r="H2055" t="inlineStr">
        <is>
          <t>Hydrogen tank compression, 30 to 700 bar: 2.45061924677 kWh/kg H2, using the model's default compressor assumptions and Premise's documented delivery pressure.</t>
        </is>
      </c>
      <c r="I2055">
        <v>0</v>
      </c>
    </row>
    <row r="2056">
      <c r="A2056" t="inlineStr">
        <is>
          <t>fuel cell Balance of Plant production, 1 kWe, proton exchange membrane (PEM), carculator passenger car 2020</t>
        </is>
      </c>
      <c r="B2056">
        <v>0.00013256366446464648</v>
      </c>
      <c r="C2056" t="inlineStr">
        <is>
          <t>GLO</t>
        </is>
      </c>
      <c r="D2056" t="inlineStr">
        <is>
          <t>unit</t>
        </is>
      </c>
      <c r="F2056" t="inlineStr">
        <is>
          <t>technosphere</t>
        </is>
      </c>
      <c r="G2056" t="inlineStr">
        <is>
          <t>fuel cell Balance of Plant, 1 kWe, proton exchange membrane (PEM)</t>
        </is>
      </c>
      <c r="H2056" t="inlineStr">
        <is>
          <t> Energy-use allocation: 28.43844795227051 * 4.999999873689376e-06 / 1.0726335662454156 MJ per kilometer.</t>
        </is>
      </c>
      <c r="I2056">
        <v>0</v>
      </c>
    </row>
    <row r="2057">
      <c r="A2057" t="inlineStr">
        <is>
          <t>fuel cell stack production, 1 kWe, proton exchange membrane (PEM), carculator passenger car 2020</t>
        </is>
      </c>
      <c r="B2057">
        <v>0.0006491343068889693</v>
      </c>
      <c r="C2057" t="inlineStr">
        <is>
          <t>GLO</t>
        </is>
      </c>
      <c r="D2057" t="inlineStr">
        <is>
          <t>unit</t>
        </is>
      </c>
      <c r="F2057" t="inlineStr">
        <is>
          <t>technosphere</t>
        </is>
      </c>
      <c r="G2057" t="inlineStr">
        <is>
          <t>fuel cell stack, 1 kWe, proton exchange membrane (PEM)</t>
        </is>
      </c>
      <c r="H2057" t="inlineStr">
        <is>
          <t> Energy-use allocation: 139.2566528320312 * 4.999999873689376e-06 / 1.0726335662454156 MJ per kilometer.</t>
        </is>
      </c>
      <c r="I2057">
        <v>0</v>
      </c>
    </row>
    <row r="2058">
      <c r="A2058" t="inlineStr">
        <is>
          <t>fuel tank, compressed hydrogen gas, 700bar, with HDPE liner, carculator passenger car 2020</t>
        </is>
      </c>
      <c r="B2058">
        <v>0.0004560088764646349</v>
      </c>
      <c r="C2058" t="inlineStr">
        <is>
          <t>RER</t>
        </is>
      </c>
      <c r="D2058" t="inlineStr">
        <is>
          <t>kilogram</t>
        </is>
      </c>
      <c r="F2058" t="inlineStr">
        <is>
          <t>technosphere</t>
        </is>
      </c>
      <c r="G2058" t="inlineStr">
        <is>
          <t>hydrogen tank</t>
        </is>
      </c>
      <c r="H2058" t="inlineStr">
        <is>
          <t> Energy-use allocation: 97.82608795166016 * 4.999999873689376e-06 / 1.0726335662454156 MJ per kilometer.</t>
        </is>
      </c>
      <c r="I2058">
        <v>0</v>
      </c>
    </row>
    <row r="2059">
      <c r="A2059" t="inlineStr">
        <is>
          <t>market for converter, for electric passenger car</t>
        </is>
      </c>
      <c r="B2059">
        <v>2.0839605113863403e-05</v>
      </c>
      <c r="C2059" t="inlineStr">
        <is>
          <t>GLO</t>
        </is>
      </c>
      <c r="D2059" t="inlineStr">
        <is>
          <t>kilogram</t>
        </is>
      </c>
      <c r="F2059" t="inlineStr">
        <is>
          <t>technosphere</t>
        </is>
      </c>
      <c r="G2059" t="inlineStr">
        <is>
          <t>converter, for electric passenger car</t>
        </is>
      </c>
      <c r="H2059" t="inlineStr">
        <is>
          <t> Energy-use allocation: 4.470652103424072 * 4.999999873689376e-06 / 1.0726335662454156 MJ per kilometer.</t>
        </is>
      </c>
      <c r="I2059">
        <v>0</v>
      </c>
    </row>
    <row r="2060">
      <c r="A2060" t="inlineStr">
        <is>
          <t>market for electric motor, electric passenger car</t>
        </is>
      </c>
      <c r="B2060">
        <v>0.0004290234592004841</v>
      </c>
      <c r="C2060" t="inlineStr">
        <is>
          <t>GLO</t>
        </is>
      </c>
      <c r="D2060" t="inlineStr">
        <is>
          <t>kilogram</t>
        </is>
      </c>
      <c r="F2060" t="inlineStr">
        <is>
          <t>technosphere</t>
        </is>
      </c>
      <c r="G2060" t="inlineStr">
        <is>
          <t>electric motor, electric passenger car</t>
        </is>
      </c>
      <c r="H2060" t="inlineStr">
        <is>
          <t> Energy-use allocation: 92.03699493408203 * 4.999999873689376e-06 / 1.0726335662454156 MJ per kilometer.</t>
        </is>
      </c>
      <c r="I2060">
        <v>0</v>
      </c>
    </row>
    <row r="2061">
      <c r="A2061" t="inlineStr">
        <is>
          <t>market for internal combustion engine, passenger car</t>
        </is>
      </c>
      <c r="B2061">
        <v>0.0004267582557876431</v>
      </c>
      <c r="C2061" t="inlineStr">
        <is>
          <t>GLO</t>
        </is>
      </c>
      <c r="D2061" t="inlineStr">
        <is>
          <t>kilogram</t>
        </is>
      </c>
      <c r="F2061" t="inlineStr">
        <is>
          <t>technosphere</t>
        </is>
      </c>
      <c r="G2061" t="inlineStr">
        <is>
          <t>internal combustion engine, passenger car</t>
        </is>
      </c>
      <c r="H2061" t="inlineStr">
        <is>
          <t> Energy-use allocation: 91.5510482788086 * 4.999999873689376e-06 / 1.0726335662454156 MJ per kilometer.</t>
        </is>
      </c>
      <c r="I2061">
        <v>0</v>
      </c>
    </row>
    <row r="2062">
      <c r="A2062" t="inlineStr">
        <is>
          <t>market for inverter, for electric passenger car</t>
        </is>
      </c>
      <c r="B2062">
        <v>4.1679210227726807e-05</v>
      </c>
      <c r="C2062" t="inlineStr">
        <is>
          <t>GLO</t>
        </is>
      </c>
      <c r="D2062" t="inlineStr">
        <is>
          <t>kilogram</t>
        </is>
      </c>
      <c r="F2062" t="inlineStr">
        <is>
          <t>technosphere</t>
        </is>
      </c>
      <c r="G2062" t="inlineStr">
        <is>
          <t>inverter, for electric passenger car</t>
        </is>
      </c>
      <c r="H2062" t="inlineStr">
        <is>
          <t> Energy-use allocation: 8.941304206848145 * 4.999999873689376e-06 / 1.0726335662454156 MJ per kilometer.</t>
        </is>
      </c>
      <c r="I2062">
        <v>0</v>
      </c>
    </row>
    <row r="2063">
      <c r="A2063" t="inlineStr">
        <is>
          <t>market for power distribution unit, for electric passenger car</t>
        </is>
      </c>
      <c r="B2063">
        <v>1.852409331105968e-05</v>
      </c>
      <c r="C2063" t="inlineStr">
        <is>
          <t>GLO</t>
        </is>
      </c>
      <c r="D2063" t="inlineStr">
        <is>
          <t>kilogram</t>
        </is>
      </c>
      <c r="F2063" t="inlineStr">
        <is>
          <t>technosphere</t>
        </is>
      </c>
      <c r="G2063" t="inlineStr">
        <is>
          <t>power distribution unit, for electric passenger car</t>
        </is>
      </c>
      <c r="H2063" t="inlineStr">
        <is>
          <t> Energy-use allocation: 3.973912954330444 * 4.999999873689376e-06 / 1.0726335662454156 MJ per kilometer.</t>
        </is>
      </c>
      <c r="I2063">
        <v>0</v>
      </c>
    </row>
    <row r="2064">
      <c r="A2064" t="inlineStr">
        <is>
          <t>market for used powertrain from electric passenger car, manual dismantling</t>
        </is>
      </c>
      <c r="B2064">
        <v>-0.0016750567184222265</v>
      </c>
      <c r="C2064" t="inlineStr">
        <is>
          <t>GLO</t>
        </is>
      </c>
      <c r="D2064" t="inlineStr">
        <is>
          <t>kilogram</t>
        </is>
      </c>
      <c r="F2064" t="inlineStr">
        <is>
          <t>technosphere</t>
        </is>
      </c>
      <c r="G2064" t="inlineStr">
        <is>
          <t>used powertrain from electric passenger car, manual dismantling</t>
        </is>
      </c>
      <c r="H2064" t="inlineStr">
        <is>
          <t> Energy-use allocation: -359.3444213867188 * 4.999999873689376e-06 / 1.0726335662454156 MJ per kilometer.</t>
        </is>
      </c>
      <c r="I2064">
        <v>0</v>
      </c>
    </row>
    <row r="2065">
      <c r="A2065" t="inlineStr">
        <is>
          <t>market for waste plastic, industrial electronics</t>
        </is>
      </c>
      <c r="B2065">
        <v>-0.0004560088764646349</v>
      </c>
      <c r="C2065" t="inlineStr">
        <is>
          <t>CH</t>
        </is>
      </c>
      <c r="D2065" t="inlineStr">
        <is>
          <t>kilogram</t>
        </is>
      </c>
      <c r="F2065" t="inlineStr">
        <is>
          <t>technosphere</t>
        </is>
      </c>
      <c r="G2065" t="inlineStr">
        <is>
          <t>waste plastic, industrial electronics</t>
        </is>
      </c>
      <c r="H2065" t="inlineStr">
        <is>
          <t> Energy-use allocation: -97.82608795166016 * 4.999999873689376e-06 / 1.0726335662454156 MJ per kilometer.</t>
        </is>
      </c>
      <c r="I2065">
        <v>0</v>
      </c>
    </row>
    <row r="2066">
      <c r="A2066" t="inlineStr">
        <is>
          <t>market for battery capacity (MIX scenario)</t>
        </is>
      </c>
      <c r="B2066">
        <v>7.446961466462621e-06</v>
      </c>
      <c r="C2066" t="inlineStr">
        <is>
          <t>GLO</t>
        </is>
      </c>
      <c r="D2066" t="inlineStr">
        <is>
          <t>kilowatt hour</t>
        </is>
      </c>
      <c r="F2066" t="inlineStr">
        <is>
          <t>technosphere</t>
        </is>
      </c>
      <c r="G2066" t="inlineStr">
        <is>
          <t>electricity storage capacity</t>
        </is>
      </c>
      <c r="H2066" t="inlineStr">
        <is>
          <t>1.59757220745 kWh nominal * (1 + 0 lifetime replacements). Capacity market includes battery manufacture AND end of life; original kg pack and disposal removed. Energy-use allocation: 1.597572207450867 * 4.999999873689376e-06 / 1.0726335662454156 MJ per kilometer.</t>
        </is>
      </c>
      <c r="I2066">
        <v>0</v>
      </c>
    </row>
    <row r="2067"/>
    <row r="2068">
      <c r="A2068" t="inlineStr">
        <is>
          <t>Activity</t>
        </is>
      </c>
      <c r="B2068" t="inlineStr">
        <is>
          <t>diesel, burned in single deck coach or urban bus</t>
        </is>
      </c>
    </row>
    <row r="2069">
      <c r="A2069" t="inlineStr">
        <is>
          <t>comment</t>
        </is>
      </c>
      <c r="B206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2070">
      <c r="A2070" t="inlineStr">
        <is>
          <t>description</t>
        </is>
      </c>
      <c r="B207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071">
      <c r="A2071" t="inlineStr">
        <is>
          <t>location</t>
        </is>
      </c>
      <c r="B2071" t="inlineStr">
        <is>
          <t>CH</t>
        </is>
      </c>
    </row>
    <row r="2072">
      <c r="A2072" t="inlineStr">
        <is>
          <t>production amount</t>
        </is>
      </c>
      <c r="B2072">
        <v>1</v>
      </c>
    </row>
    <row r="2073">
      <c r="A2073" t="inlineStr">
        <is>
          <t>reference product</t>
        </is>
      </c>
      <c r="B2073" t="inlineStr">
        <is>
          <t>heat</t>
        </is>
      </c>
    </row>
    <row r="2074">
      <c r="A2074" t="inlineStr">
        <is>
          <t>type</t>
        </is>
      </c>
      <c r="B2074" t="inlineStr">
        <is>
          <t>process</t>
        </is>
      </c>
    </row>
    <row r="2075">
      <c r="A2075" t="inlineStr">
        <is>
          <t>unit</t>
        </is>
      </c>
      <c r="B2075" t="inlineStr">
        <is>
          <t>megajoule</t>
        </is>
      </c>
    </row>
    <row r="2076">
      <c r="A2076" t="inlineStr">
        <is>
          <t>energy use source</t>
        </is>
      </c>
      <c r="B207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2077">
      <c r="A2077" t="inlineStr">
        <is>
          <t>Exchanges</t>
        </is>
      </c>
    </row>
    <row r="2078">
      <c r="A2078" t="inlineStr">
        <is>
          <t>name</t>
        </is>
      </c>
      <c r="B2078" t="inlineStr">
        <is>
          <t>amount</t>
        </is>
      </c>
      <c r="C2078" t="inlineStr">
        <is>
          <t>location</t>
        </is>
      </c>
      <c r="D2078" t="inlineStr">
        <is>
          <t>unit</t>
        </is>
      </c>
      <c r="E2078" t="inlineStr">
        <is>
          <t>categories</t>
        </is>
      </c>
      <c r="F2078" t="inlineStr">
        <is>
          <t>type</t>
        </is>
      </c>
      <c r="G2078" t="inlineStr">
        <is>
          <t>reference product</t>
        </is>
      </c>
      <c r="H2078" t="inlineStr">
        <is>
          <t>comment</t>
        </is>
      </c>
      <c r="I2078" t="inlineStr">
        <is>
          <t>uncertainty type</t>
        </is>
      </c>
    </row>
    <row r="2079">
      <c r="A2079" t="inlineStr">
        <is>
          <t>diesel, burned in single deck coach or urban bus</t>
        </is>
      </c>
      <c r="B2079">
        <v>1.0</v>
      </c>
      <c r="C2079" t="inlineStr">
        <is>
          <t>CH</t>
        </is>
      </c>
      <c r="D2079" t="inlineStr">
        <is>
          <t>megajoule</t>
        </is>
      </c>
      <c r="F2079" t="inlineStr">
        <is>
          <t>production</t>
        </is>
      </c>
      <c r="G2079" t="inlineStr">
        <is>
          <t>heat</t>
        </is>
      </c>
      <c r="I2079">
        <v>0</v>
      </c>
    </row>
    <row r="2080">
      <c r="A2080" t="inlineStr">
        <is>
          <t>market for diesel, low-sulfur</t>
        </is>
      </c>
      <c r="B2080">
        <v>0.023255813953488375</v>
      </c>
      <c r="C2080" t="inlineStr">
        <is>
          <t>Europe without Switzerland</t>
        </is>
      </c>
      <c r="D2080" t="inlineStr">
        <is>
          <t>kilogram</t>
        </is>
      </c>
      <c r="F2080" t="inlineStr">
        <is>
          <t>technosphere</t>
        </is>
      </c>
      <c r="G2080" t="inlineStr">
        <is>
          <t>diesel, low-sulfur</t>
        </is>
      </c>
      <c r="I2080">
        <v>0</v>
      </c>
    </row>
    <row r="2081">
      <c r="A2081" t="inlineStr">
        <is>
          <t>Acetaldehyde</t>
        </is>
      </c>
      <c r="B2081">
        <v>1.0907339664243923e-07</v>
      </c>
      <c r="D2081" t="inlineStr">
        <is>
          <t>kilogram</t>
        </is>
      </c>
      <c r="E2081" t="inlineStr">
        <is>
          <t>air::urban air close to ground</t>
        </is>
      </c>
      <c r="F2081" t="inlineStr">
        <is>
          <t>biosphere</t>
        </is>
      </c>
      <c r="I2081">
        <v>0</v>
      </c>
    </row>
    <row r="2082">
      <c r="A2082" t="inlineStr">
        <is>
          <t>Acrolein</t>
        </is>
      </c>
      <c r="B2082">
        <v>4.224505734291413e-08</v>
      </c>
      <c r="D2082" t="inlineStr">
        <is>
          <t>kilogram</t>
        </is>
      </c>
      <c r="E2082" t="inlineStr">
        <is>
          <t>air::urban air close to ground</t>
        </is>
      </c>
      <c r="F2082" t="inlineStr">
        <is>
          <t>biosphere</t>
        </is>
      </c>
      <c r="I2082">
        <v>0</v>
      </c>
    </row>
    <row r="2083">
      <c r="A2083" t="inlineStr">
        <is>
          <t>Ammonia</t>
        </is>
      </c>
      <c r="B2083">
        <v>1.0561513719515261e-06</v>
      </c>
      <c r="D2083" t="inlineStr">
        <is>
          <t>kilogram</t>
        </is>
      </c>
      <c r="E2083" t="inlineStr">
        <is>
          <t>air::urban air close to ground</t>
        </is>
      </c>
      <c r="F2083" t="inlineStr">
        <is>
          <t>biosphere</t>
        </is>
      </c>
      <c r="I2083">
        <v>0</v>
      </c>
    </row>
    <row r="2084">
      <c r="A2084" t="inlineStr">
        <is>
          <t>Arsenic ion</t>
        </is>
      </c>
      <c r="B2084">
        <v>2.3299999798920164e-12</v>
      </c>
      <c r="D2084" t="inlineStr">
        <is>
          <t>kilogram</t>
        </is>
      </c>
      <c r="E2084" t="inlineStr">
        <is>
          <t>air::urban air close to ground</t>
        </is>
      </c>
      <c r="F2084" t="inlineStr">
        <is>
          <t>biosphere</t>
        </is>
      </c>
      <c r="I2084">
        <v>0</v>
      </c>
    </row>
    <row r="2085">
      <c r="A2085" t="inlineStr">
        <is>
          <t>Benzaldehyde</t>
        </is>
      </c>
      <c r="B2085">
        <v>3.2698151728696235e-08</v>
      </c>
      <c r="D2085" t="inlineStr">
        <is>
          <t>kilogram</t>
        </is>
      </c>
      <c r="E2085" t="inlineStr">
        <is>
          <t>air::urban air close to ground</t>
        </is>
      </c>
      <c r="F2085" t="inlineStr">
        <is>
          <t>biosphere</t>
        </is>
      </c>
      <c r="I2085">
        <v>0</v>
      </c>
    </row>
    <row r="2086">
      <c r="A2086" t="inlineStr">
        <is>
          <t>Benzene</t>
        </is>
      </c>
      <c r="B2086">
        <v>2.9067283247454772e-08</v>
      </c>
      <c r="D2086" t="inlineStr">
        <is>
          <t>kilogram</t>
        </is>
      </c>
      <c r="E2086" t="inlineStr">
        <is>
          <t>air::urban air close to ground</t>
        </is>
      </c>
      <c r="F2086" t="inlineStr">
        <is>
          <t>biosphere</t>
        </is>
      </c>
      <c r="I2086">
        <v>0</v>
      </c>
    </row>
    <row r="2087">
      <c r="A2087" t="inlineStr">
        <is>
          <t>Butane</t>
        </is>
      </c>
      <c r="B2087">
        <v>3.580089605331705e-09</v>
      </c>
      <c r="D2087" t="inlineStr">
        <is>
          <t>kilogram</t>
        </is>
      </c>
      <c r="E2087" t="inlineStr">
        <is>
          <t>air::urban air close to ground</t>
        </is>
      </c>
      <c r="F2087" t="inlineStr">
        <is>
          <t>biosphere</t>
        </is>
      </c>
      <c r="I2087">
        <v>0</v>
      </c>
    </row>
    <row r="2088">
      <c r="A2088" t="inlineStr">
        <is>
          <t>Cadmium II</t>
        </is>
      </c>
      <c r="B2088">
        <v>2.019999982567328e-10</v>
      </c>
      <c r="D2088" t="inlineStr">
        <is>
          <t>kilogram</t>
        </is>
      </c>
      <c r="E2088" t="inlineStr">
        <is>
          <t>air::urban air close to ground</t>
        </is>
      </c>
      <c r="F2088" t="inlineStr">
        <is>
          <t>biosphere</t>
        </is>
      </c>
      <c r="I2088">
        <v>0</v>
      </c>
    </row>
    <row r="2089">
      <c r="A2089" t="inlineStr">
        <is>
          <t>Carbon dioxide, fossil</t>
        </is>
      </c>
      <c r="B2089">
        <v>0.07325581395348833</v>
      </c>
      <c r="D2089" t="inlineStr">
        <is>
          <t>kilogram</t>
        </is>
      </c>
      <c r="E2089" t="inlineStr">
        <is>
          <t>air::unspecified</t>
        </is>
      </c>
      <c r="F2089" t="inlineStr">
        <is>
          <t>biosphere</t>
        </is>
      </c>
      <c r="I2089">
        <v>0</v>
      </c>
    </row>
    <row r="2090">
      <c r="A2090" t="inlineStr">
        <is>
          <t>Carbon monoxide, fossil</t>
        </is>
      </c>
      <c r="B2090">
        <v>2.094191274474486e-05</v>
      </c>
      <c r="D2090" t="inlineStr">
        <is>
          <t>kilogram</t>
        </is>
      </c>
      <c r="E2090" t="inlineStr">
        <is>
          <t>air::urban air close to ground</t>
        </is>
      </c>
      <c r="F2090" t="inlineStr">
        <is>
          <t>biosphere</t>
        </is>
      </c>
      <c r="I2090">
        <v>0</v>
      </c>
    </row>
    <row r="2091">
      <c r="A2091" t="inlineStr">
        <is>
          <t>Chromium III</t>
        </is>
      </c>
      <c r="B2091">
        <v>6.979999939762351e-10</v>
      </c>
      <c r="D2091" t="inlineStr">
        <is>
          <t>kilogram</t>
        </is>
      </c>
      <c r="E2091" t="inlineStr">
        <is>
          <t>air::urban air close to ground</t>
        </is>
      </c>
      <c r="F2091" t="inlineStr">
        <is>
          <t>biosphere</t>
        </is>
      </c>
      <c r="I2091">
        <v>0</v>
      </c>
    </row>
    <row r="2092">
      <c r="A2092" t="inlineStr">
        <is>
          <t>Chromium VI</t>
        </is>
      </c>
      <c r="B2092">
        <v>1.3999999879179503e-12</v>
      </c>
      <c r="D2092" t="inlineStr">
        <is>
          <t>kilogram</t>
        </is>
      </c>
      <c r="E2092" t="inlineStr">
        <is>
          <t>air::urban air close to ground</t>
        </is>
      </c>
      <c r="F2092" t="inlineStr">
        <is>
          <t>biosphere</t>
        </is>
      </c>
      <c r="I2092">
        <v>0</v>
      </c>
    </row>
    <row r="2093">
      <c r="A2093" t="inlineStr">
        <is>
          <t>Copper ion</t>
        </is>
      </c>
      <c r="B2093">
        <v>4.929999957453923e-10</v>
      </c>
      <c r="D2093" t="inlineStr">
        <is>
          <t>kilogram</t>
        </is>
      </c>
      <c r="E2093" t="inlineStr">
        <is>
          <t>air::urban air close to ground</t>
        </is>
      </c>
      <c r="F2093" t="inlineStr">
        <is>
          <t>biosphere</t>
        </is>
      </c>
      <c r="I2093">
        <v>0</v>
      </c>
    </row>
    <row r="2094">
      <c r="A2094" t="inlineStr">
        <is>
          <t>Dinitrogen monoxide</t>
        </is>
      </c>
      <c r="B2094">
        <v>2.386726403554469e-06</v>
      </c>
      <c r="D2094" t="inlineStr">
        <is>
          <t>kilogram</t>
        </is>
      </c>
      <c r="E2094" t="inlineStr">
        <is>
          <t>air::urban air close to ground</t>
        </is>
      </c>
      <c r="F2094" t="inlineStr">
        <is>
          <t>biosphere</t>
        </is>
      </c>
      <c r="I2094">
        <v>0</v>
      </c>
    </row>
    <row r="2095">
      <c r="A2095" t="inlineStr">
        <is>
          <t>Ethane</t>
        </is>
      </c>
      <c r="B2095">
        <v>7.160179210663411e-10</v>
      </c>
      <c r="D2095" t="inlineStr">
        <is>
          <t>kilogram</t>
        </is>
      </c>
      <c r="E2095" t="inlineStr">
        <is>
          <t>air::urban air close to ground</t>
        </is>
      </c>
      <c r="F2095" t="inlineStr">
        <is>
          <t>biosphere</t>
        </is>
      </c>
      <c r="I2095">
        <v>0</v>
      </c>
    </row>
    <row r="2096">
      <c r="A2096" t="inlineStr">
        <is>
          <t>1,1,1,2-Tetrafluoroethane</t>
        </is>
      </c>
      <c r="B2096">
        <v>1.6688343004579788e-06</v>
      </c>
      <c r="D2096" t="inlineStr">
        <is>
          <t>kilogram</t>
        </is>
      </c>
      <c r="E2096" t="inlineStr">
        <is>
          <t>air::unspecified</t>
        </is>
      </c>
      <c r="F2096" t="inlineStr">
        <is>
          <t>biosphere</t>
        </is>
      </c>
      <c r="I2096">
        <v>0</v>
      </c>
    </row>
    <row r="2097">
      <c r="A2097" t="inlineStr">
        <is>
          <t>Formaldehyde</t>
        </is>
      </c>
      <c r="B2097">
        <v>2.004850178985755e-07</v>
      </c>
      <c r="D2097" t="inlineStr">
        <is>
          <t>kilogram</t>
        </is>
      </c>
      <c r="E2097" t="inlineStr">
        <is>
          <t>air::urban air close to ground</t>
        </is>
      </c>
      <c r="F2097" t="inlineStr">
        <is>
          <t>biosphere</t>
        </is>
      </c>
      <c r="I2097">
        <v>0</v>
      </c>
    </row>
    <row r="2098">
      <c r="A2098" t="inlineStr">
        <is>
          <t>Heptane</t>
        </is>
      </c>
      <c r="B2098">
        <v>7.16017921066341e-09</v>
      </c>
      <c r="D2098" t="inlineStr">
        <is>
          <t>kilogram</t>
        </is>
      </c>
      <c r="E2098" t="inlineStr">
        <is>
          <t>air::urban air close to ground</t>
        </is>
      </c>
      <c r="F2098" t="inlineStr">
        <is>
          <t>biosphere</t>
        </is>
      </c>
      <c r="I2098">
        <v>0</v>
      </c>
    </row>
    <row r="2099">
      <c r="A2099" t="inlineStr">
        <is>
          <t>Hydrocarbons, chlorinated</t>
        </is>
      </c>
      <c r="B2099">
        <v>1.740555928484824e-06</v>
      </c>
      <c r="D2099" t="inlineStr">
        <is>
          <t>kilogram</t>
        </is>
      </c>
      <c r="E2099" t="inlineStr">
        <is>
          <t>air::urban air close to ground</t>
        </is>
      </c>
      <c r="F2099" t="inlineStr">
        <is>
          <t>biosphere</t>
        </is>
      </c>
      <c r="I2099">
        <v>0</v>
      </c>
    </row>
    <row r="2100">
      <c r="A2100" t="inlineStr">
        <is>
          <t>Mercury II</t>
        </is>
      </c>
      <c r="B2100">
        <v>1.2299999893850563e-10</v>
      </c>
      <c r="D2100" t="inlineStr">
        <is>
          <t>kilogram</t>
        </is>
      </c>
      <c r="E2100" t="inlineStr">
        <is>
          <t>air::urban air close to ground</t>
        </is>
      </c>
      <c r="F2100" t="inlineStr">
        <is>
          <t>biosphere</t>
        </is>
      </c>
      <c r="I2100">
        <v>0</v>
      </c>
    </row>
    <row r="2101">
      <c r="A2101" t="inlineStr">
        <is>
          <t>Methane, fossil</t>
        </is>
      </c>
      <c r="B2101">
        <v>4.177334280532267e-08</v>
      </c>
      <c r="D2101" t="inlineStr">
        <is>
          <t>kilogram</t>
        </is>
      </c>
      <c r="E2101" t="inlineStr">
        <is>
          <t>air::urban air close to ground</t>
        </is>
      </c>
      <c r="F2101" t="inlineStr">
        <is>
          <t>biosphere</t>
        </is>
      </c>
      <c r="I2101">
        <v>0</v>
      </c>
    </row>
    <row r="2102">
      <c r="A2102" t="inlineStr">
        <is>
          <t>NMVOC, non-methane volatile organic compounds</t>
        </is>
      </c>
      <c r="B2102">
        <v>1.3811102485122725e-06</v>
      </c>
      <c r="D2102" t="inlineStr">
        <is>
          <t>kilogram</t>
        </is>
      </c>
      <c r="E2102" t="inlineStr">
        <is>
          <t>air::urban air close to ground</t>
        </is>
      </c>
      <c r="F2102" t="inlineStr">
        <is>
          <t>biosphere</t>
        </is>
      </c>
      <c r="I2102">
        <v>0</v>
      </c>
    </row>
    <row r="2103">
      <c r="A2103" t="inlineStr">
        <is>
          <t>Nickel II</t>
        </is>
      </c>
      <c r="B2103">
        <v>2.0499999823084267e-10</v>
      </c>
      <c r="D2103" t="inlineStr">
        <is>
          <t>kilogram</t>
        </is>
      </c>
      <c r="E2103" t="inlineStr">
        <is>
          <t>air::urban air close to ground</t>
        </is>
      </c>
      <c r="F2103" t="inlineStr">
        <is>
          <t>biosphere</t>
        </is>
      </c>
      <c r="I2103">
        <v>0</v>
      </c>
    </row>
    <row r="2104">
      <c r="A2104" t="inlineStr">
        <is>
          <t>Nitrogen oxides</t>
        </is>
      </c>
      <c r="B2104">
        <v>4.286348264147637e-05</v>
      </c>
      <c r="D2104" t="inlineStr">
        <is>
          <t>kilogram</t>
        </is>
      </c>
      <c r="E2104" t="inlineStr">
        <is>
          <t>air::urban air close to ground</t>
        </is>
      </c>
      <c r="F2104" t="inlineStr">
        <is>
          <t>biosphere</t>
        </is>
      </c>
      <c r="I2104">
        <v>0</v>
      </c>
    </row>
    <row r="2105">
      <c r="A2105" t="inlineStr">
        <is>
          <t>PAH, polycyclic aromatic hydrocarbons</t>
        </is>
      </c>
      <c r="B2105">
        <v>1.8199999842933354e-09</v>
      </c>
      <c r="D2105" t="inlineStr">
        <is>
          <t>kilogram</t>
        </is>
      </c>
      <c r="E2105" t="inlineStr">
        <is>
          <t>air::urban air close to ground</t>
        </is>
      </c>
      <c r="F2105" t="inlineStr">
        <is>
          <t>biosphere</t>
        </is>
      </c>
      <c r="I2105">
        <v>0</v>
      </c>
    </row>
    <row r="2106">
      <c r="A2106" t="inlineStr">
        <is>
          <t>Particulate Matter, &lt; 2.5 um</t>
        </is>
      </c>
      <c r="B2106">
        <v>2.518198657761128e-06</v>
      </c>
      <c r="D2106" t="inlineStr">
        <is>
          <t>kilogram</t>
        </is>
      </c>
      <c r="E2106" t="inlineStr">
        <is>
          <t>air::urban air close to ground</t>
        </is>
      </c>
      <c r="F2106" t="inlineStr">
        <is>
          <t>biosphere</t>
        </is>
      </c>
      <c r="I2106">
        <v>0</v>
      </c>
    </row>
    <row r="2107">
      <c r="A2107" t="inlineStr">
        <is>
          <t>Pentane</t>
        </is>
      </c>
      <c r="B2107">
        <v>1.4320358421326822e-09</v>
      </c>
      <c r="D2107" t="inlineStr">
        <is>
          <t>kilogram</t>
        </is>
      </c>
      <c r="E2107" t="inlineStr">
        <is>
          <t>air::urban air close to ground</t>
        </is>
      </c>
      <c r="F2107" t="inlineStr">
        <is>
          <t>biosphere</t>
        </is>
      </c>
      <c r="I2107">
        <v>0</v>
      </c>
    </row>
    <row r="2108">
      <c r="A2108" t="inlineStr">
        <is>
          <t>Propane</t>
        </is>
      </c>
      <c r="B2108">
        <v>2.3867264035544693e-09</v>
      </c>
      <c r="D2108" t="inlineStr">
        <is>
          <t>kilogram</t>
        </is>
      </c>
      <c r="E2108" t="inlineStr">
        <is>
          <t>air::urban air close to ground</t>
        </is>
      </c>
      <c r="F2108" t="inlineStr">
        <is>
          <t>biosphere</t>
        </is>
      </c>
      <c r="I2108">
        <v>0</v>
      </c>
    </row>
    <row r="2109">
      <c r="A2109" t="inlineStr">
        <is>
          <t>Selenium IV</t>
        </is>
      </c>
      <c r="B2109">
        <v>2.3299999798920164e-12</v>
      </c>
      <c r="D2109" t="inlineStr">
        <is>
          <t>kilogram</t>
        </is>
      </c>
      <c r="E2109" t="inlineStr">
        <is>
          <t>air::urban air close to ground</t>
        </is>
      </c>
      <c r="F2109" t="inlineStr">
        <is>
          <t>biosphere</t>
        </is>
      </c>
      <c r="I2109">
        <v>0</v>
      </c>
    </row>
    <row r="2110">
      <c r="A2110" t="inlineStr">
        <is>
          <t>Styrene</t>
        </is>
      </c>
      <c r="B2110">
        <v>1.3365667859905029e-08</v>
      </c>
      <c r="D2110" t="inlineStr">
        <is>
          <t>kilogram</t>
        </is>
      </c>
      <c r="E2110" t="inlineStr">
        <is>
          <t>air::urban air close to ground</t>
        </is>
      </c>
      <c r="F2110" t="inlineStr">
        <is>
          <t>biosphere</t>
        </is>
      </c>
      <c r="I2110">
        <v>0</v>
      </c>
    </row>
    <row r="2111">
      <c r="A2111" t="inlineStr">
        <is>
          <t>Sulfur dioxide</t>
        </is>
      </c>
      <c r="B2111">
        <v>4.6511627906976754e-07</v>
      </c>
      <c r="D2111" t="inlineStr">
        <is>
          <t>kilogram</t>
        </is>
      </c>
      <c r="E2111" t="inlineStr">
        <is>
          <t>air::unspecified</t>
        </is>
      </c>
      <c r="F2111" t="inlineStr">
        <is>
          <t>biosphere</t>
        </is>
      </c>
      <c r="I2111">
        <v>0</v>
      </c>
    </row>
    <row r="2112">
      <c r="A2112" t="inlineStr">
        <is>
          <t>Toluene</t>
        </is>
      </c>
      <c r="B2112">
        <v>2.38672640355447e-10</v>
      </c>
      <c r="D2112" t="inlineStr">
        <is>
          <t>kilogram</t>
        </is>
      </c>
      <c r="E2112" t="inlineStr">
        <is>
          <t>air::urban air close to ground</t>
        </is>
      </c>
      <c r="F2112" t="inlineStr">
        <is>
          <t>biosphere</t>
        </is>
      </c>
      <c r="I2112">
        <v>0</v>
      </c>
    </row>
    <row r="2113">
      <c r="A2113" t="inlineStr">
        <is>
          <t>Zinc II</t>
        </is>
      </c>
      <c r="B2113">
        <v>4.0499999650483546e-08</v>
      </c>
      <c r="D2113" t="inlineStr">
        <is>
          <t>kilogram</t>
        </is>
      </c>
      <c r="E2113" t="inlineStr">
        <is>
          <t>air::urban air close to ground</t>
        </is>
      </c>
      <c r="F2113" t="inlineStr">
        <is>
          <t>biosphere</t>
        </is>
      </c>
      <c r="I2113">
        <v>0</v>
      </c>
    </row>
    <row r="2114">
      <c r="A2114" t="inlineStr">
        <is>
          <t>m-Xylene</t>
        </is>
      </c>
      <c r="B2114">
        <v>2.3389918754833805e-08</v>
      </c>
      <c r="D2114" t="inlineStr">
        <is>
          <t>kilogram</t>
        </is>
      </c>
      <c r="E2114" t="inlineStr">
        <is>
          <t>air::urban air close to ground</t>
        </is>
      </c>
      <c r="F2114" t="inlineStr">
        <is>
          <t>biosphere</t>
        </is>
      </c>
      <c r="I2114">
        <v>0</v>
      </c>
    </row>
    <row r="2115">
      <c r="A2115" t="inlineStr">
        <is>
          <t>o-Xylene</t>
        </is>
      </c>
      <c r="B2115">
        <v>9.546905614217876e-09</v>
      </c>
      <c r="D2115" t="inlineStr">
        <is>
          <t>kilogram</t>
        </is>
      </c>
      <c r="E2115" t="inlineStr">
        <is>
          <t>air::urban air close to ground</t>
        </is>
      </c>
      <c r="F2115" t="inlineStr">
        <is>
          <t>biosphere</t>
        </is>
      </c>
      <c r="I2115">
        <v>0</v>
      </c>
    </row>
    <row r="2116">
      <c r="A2116" t="inlineStr">
        <is>
          <t>exhaust system, for lorry</t>
        </is>
      </c>
      <c r="B2116">
        <v>1.0221610090305123e-05</v>
      </c>
      <c r="C2116" t="inlineStr">
        <is>
          <t>RER</t>
        </is>
      </c>
      <c r="D2116" t="inlineStr">
        <is>
          <t>kilogram</t>
        </is>
      </c>
      <c r="F2116" t="inlineStr">
        <is>
          <t>technosphere</t>
        </is>
      </c>
      <c r="G2116" t="inlineStr">
        <is>
          <t>exhaust system, for lorry</t>
        </is>
      </c>
      <c r="H2116" t="inlineStr">
        <is>
          <t> Energy-use allocation: 98 * 1.428571428571429e-07 / 1.3696472352509872 MJ per person kilometer.</t>
        </is>
      </c>
      <c r="I2116">
        <v>0</v>
      </c>
    </row>
    <row r="2117">
      <c r="A2117" t="inlineStr">
        <is>
          <t>fuel tank, for diesel vehicle</t>
        </is>
      </c>
      <c r="B2117">
        <v>5.434594663791208e-06</v>
      </c>
      <c r="C2117" t="inlineStr">
        <is>
          <t>RER</t>
        </is>
      </c>
      <c r="D2117" t="inlineStr">
        <is>
          <t>kilogram</t>
        </is>
      </c>
      <c r="F2117" t="inlineStr">
        <is>
          <t>technosphere</t>
        </is>
      </c>
      <c r="G2117" t="inlineStr">
        <is>
          <t>fuel tank</t>
        </is>
      </c>
      <c r="H2117" t="inlineStr">
        <is>
          <t> Energy-use allocation: 52.10434289179975 * 1.428571428571429e-07 / 1.3696472352509872 MJ per person kilometer.</t>
        </is>
      </c>
      <c r="I2117">
        <v>0</v>
      </c>
    </row>
    <row r="2118">
      <c r="A2118" t="inlineStr">
        <is>
          <t>gearbox, for lorry</t>
        </is>
      </c>
      <c r="B2118">
        <v>1.6438852140585983e-05</v>
      </c>
      <c r="C2118" t="inlineStr">
        <is>
          <t>RER</t>
        </is>
      </c>
      <c r="D2118" t="inlineStr">
        <is>
          <t>kilogram</t>
        </is>
      </c>
      <c r="F2118" t="inlineStr">
        <is>
          <t>technosphere</t>
        </is>
      </c>
      <c r="G2118" t="inlineStr">
        <is>
          <t>gearbox, for lorry</t>
        </is>
      </c>
      <c r="H2118" t="inlineStr">
        <is>
          <t> Energy-use allocation: 157.6079986953735 * 1.428571428571429e-07 / 1.3696472352509872 MJ per person kilometer.</t>
        </is>
      </c>
      <c r="I2118">
        <v>0</v>
      </c>
    </row>
    <row r="2119">
      <c r="A2119" t="inlineStr">
        <is>
          <t>internal combustion engine, for lorry</t>
        </is>
      </c>
      <c r="B2119">
        <v>7.397930395893994e-05</v>
      </c>
      <c r="C2119" t="inlineStr">
        <is>
          <t>RER</t>
        </is>
      </c>
      <c r="D2119" t="inlineStr">
        <is>
          <t>kilogram</t>
        </is>
      </c>
      <c r="F2119" t="inlineStr">
        <is>
          <t>technosphere</t>
        </is>
      </c>
      <c r="G2119" t="inlineStr">
        <is>
          <t>internal combustion engine, for lorry</t>
        </is>
      </c>
      <c r="H2119" t="inlineStr">
        <is>
          <t> Energy-use allocation: 709.2788439320813 * 1.428571428571429e-07 / 1.3696472352509872 MJ per person kilometer.</t>
        </is>
      </c>
      <c r="I2119">
        <v>0</v>
      </c>
    </row>
    <row r="2120">
      <c r="A2120" t="inlineStr">
        <is>
          <t>power electronics, for lorry</t>
        </is>
      </c>
      <c r="B2120">
        <v>1.9087292311488137e-05</v>
      </c>
      <c r="C2120" t="inlineStr">
        <is>
          <t>RER</t>
        </is>
      </c>
      <c r="D2120" t="inlineStr">
        <is>
          <t>kilogram</t>
        </is>
      </c>
      <c r="F2120" t="inlineStr">
        <is>
          <t>technosphere</t>
        </is>
      </c>
      <c r="G2120" t="inlineStr">
        <is>
          <t>power electronics, for lorry</t>
        </is>
      </c>
      <c r="H2120" t="inlineStr">
        <is>
          <t> Energy-use allocation: 183 * 1.428571428571429e-07 / 1.3696472352509872 MJ per person kilometer.</t>
        </is>
      </c>
      <c r="I2120">
        <v>0</v>
      </c>
    </row>
    <row r="2121">
      <c r="A2121" t="inlineStr">
        <is>
          <t>retarder, for lorry</t>
        </is>
      </c>
      <c r="B2121">
        <v>5.479617380195329e-06</v>
      </c>
      <c r="C2121" t="inlineStr">
        <is>
          <t>RER</t>
        </is>
      </c>
      <c r="D2121" t="inlineStr">
        <is>
          <t>kilogram</t>
        </is>
      </c>
      <c r="F2121" t="inlineStr">
        <is>
          <t>technosphere</t>
        </is>
      </c>
      <c r="G2121" t="inlineStr">
        <is>
          <t>retarder, for lorry</t>
        </is>
      </c>
      <c r="H2121" t="inlineStr">
        <is>
          <t> Energy-use allocation: 52.53599956512451 * 1.428571428571429e-07 / 1.3696472352509872 MJ per person kilometer.</t>
        </is>
      </c>
      <c r="I2121">
        <v>0</v>
      </c>
    </row>
    <row r="2122">
      <c r="A2122" t="inlineStr">
        <is>
          <t>transmission, for lorry</t>
        </is>
      </c>
      <c r="B2122">
        <v>2.3745008647513085e-05</v>
      </c>
      <c r="C2122" t="inlineStr">
        <is>
          <t>RER</t>
        </is>
      </c>
      <c r="D2122" t="inlineStr">
        <is>
          <t>kilogram</t>
        </is>
      </c>
      <c r="F2122" t="inlineStr">
        <is>
          <t>technosphere</t>
        </is>
      </c>
      <c r="G2122" t="inlineStr">
        <is>
          <t>transmission, for lorry</t>
        </is>
      </c>
      <c r="H2122" t="inlineStr">
        <is>
          <t> Energy-use allocation: 227.6559981155395 * 1.428571428571429e-07 / 1.3696472352509872 MJ per person kilometer.</t>
        </is>
      </c>
      <c r="I2122">
        <v>0</v>
      </c>
    </row>
    <row r="2123">
      <c r="A2123" t="inlineStr">
        <is>
          <t>market for refrigerant R134a</t>
        </is>
      </c>
      <c r="B2123">
        <v>2.451100378797656e-06</v>
      </c>
      <c r="C2123" t="inlineStr">
        <is>
          <t>GLO</t>
        </is>
      </c>
      <c r="D2123" t="inlineStr">
        <is>
          <t>kilogram</t>
        </is>
      </c>
      <c r="F2123" t="inlineStr">
        <is>
          <t>technosphere</t>
        </is>
      </c>
      <c r="G2123" t="inlineStr">
        <is>
          <t>refrigerant R134a</t>
        </is>
      </c>
      <c r="I2123">
        <v>0</v>
      </c>
    </row>
    <row r="2124">
      <c r="A2124" t="inlineStr">
        <is>
          <t>treatment of brake wear emissions, lorry</t>
        </is>
      </c>
      <c r="B2124">
        <v>-6.837706254606543e-06</v>
      </c>
      <c r="C2124" t="inlineStr">
        <is>
          <t>RER</t>
        </is>
      </c>
      <c r="D2124" t="inlineStr">
        <is>
          <t>kilogram</t>
        </is>
      </c>
      <c r="F2124" t="inlineStr">
        <is>
          <t>technosphere</t>
        </is>
      </c>
      <c r="G2124" t="inlineStr">
        <is>
          <t>brake wear emissions, lorry</t>
        </is>
      </c>
      <c r="I2124">
        <v>0</v>
      </c>
    </row>
    <row r="2125">
      <c r="A2125" t="inlineStr">
        <is>
          <t>treatment of road wear emissions, lorry</t>
        </is>
      </c>
      <c r="B2125">
        <v>-5.745793792454793e-06</v>
      </c>
      <c r="C2125" t="inlineStr">
        <is>
          <t>RER</t>
        </is>
      </c>
      <c r="D2125" t="inlineStr">
        <is>
          <t>kilogram</t>
        </is>
      </c>
      <c r="F2125" t="inlineStr">
        <is>
          <t>technosphere</t>
        </is>
      </c>
      <c r="G2125" t="inlineStr">
        <is>
          <t>road wear emissions, lorry</t>
        </is>
      </c>
      <c r="I2125">
        <v>0</v>
      </c>
    </row>
    <row r="2126">
      <c r="A2126" t="inlineStr">
        <is>
          <t>treatment of tyre wear emissions, lorry</t>
        </is>
      </c>
      <c r="B2126">
        <v>-5.674001036673323e-06</v>
      </c>
      <c r="C2126" t="inlineStr">
        <is>
          <t>RER</t>
        </is>
      </c>
      <c r="D2126" t="inlineStr">
        <is>
          <t>kilogram</t>
        </is>
      </c>
      <c r="F2126" t="inlineStr">
        <is>
          <t>technosphere</t>
        </is>
      </c>
      <c r="G2126" t="inlineStr">
        <is>
          <t>tyre wear emissions, lorry</t>
        </is>
      </c>
      <c r="I2126">
        <v>0</v>
      </c>
    </row>
    <row r="2127"/>
    <row r="2128">
      <c r="A2128" t="inlineStr">
        <is>
          <t>Activity</t>
        </is>
      </c>
      <c r="B2128" t="inlineStr">
        <is>
          <t>compressed gas, burned in single deck coach or urban bus</t>
        </is>
      </c>
    </row>
    <row r="2129">
      <c r="A2129" t="inlineStr">
        <is>
          <t>comment</t>
        </is>
      </c>
      <c r="B2129"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2130">
      <c r="A2130" t="inlineStr">
        <is>
          <t>description</t>
        </is>
      </c>
      <c r="B213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131">
      <c r="A2131" t="inlineStr">
        <is>
          <t>location</t>
        </is>
      </c>
      <c r="B2131" t="inlineStr">
        <is>
          <t>CH</t>
        </is>
      </c>
    </row>
    <row r="2132">
      <c r="A2132" t="inlineStr">
        <is>
          <t>production amount</t>
        </is>
      </c>
      <c r="B2132">
        <v>1</v>
      </c>
    </row>
    <row r="2133">
      <c r="A2133" t="inlineStr">
        <is>
          <t>reference product</t>
        </is>
      </c>
      <c r="B2133" t="inlineStr">
        <is>
          <t>heat</t>
        </is>
      </c>
    </row>
    <row r="2134">
      <c r="A2134" t="inlineStr">
        <is>
          <t>source</t>
        </is>
      </c>
      <c r="B2134" t="inlineStr">
        <is>
          <t>Sacchi, R., Bauer, C., and Cox, B. Does size matter? The influence of size, load factor, range autonomy and application type on the Life Cycle Assessment of current and future trucks. 2021. Environmental Science and Technology.</t>
        </is>
      </c>
    </row>
    <row r="2135">
      <c r="A2135" t="inlineStr">
        <is>
          <t>type</t>
        </is>
      </c>
      <c r="B2135" t="inlineStr">
        <is>
          <t>process</t>
        </is>
      </c>
    </row>
    <row r="2136">
      <c r="A2136" t="inlineStr">
        <is>
          <t>unit</t>
        </is>
      </c>
      <c r="B2136" t="inlineStr">
        <is>
          <t>megajoule</t>
        </is>
      </c>
    </row>
    <row r="2137">
      <c r="A2137" t="inlineStr">
        <is>
          <t>energy use source</t>
        </is>
      </c>
      <c r="B2137"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2138">
      <c r="A2138" t="inlineStr">
        <is>
          <t>Exchanges</t>
        </is>
      </c>
    </row>
    <row r="2139">
      <c r="A2139" t="inlineStr">
        <is>
          <t>name</t>
        </is>
      </c>
      <c r="B2139" t="inlineStr">
        <is>
          <t>amount</t>
        </is>
      </c>
      <c r="C2139" t="inlineStr">
        <is>
          <t>location</t>
        </is>
      </c>
      <c r="D2139" t="inlineStr">
        <is>
          <t>unit</t>
        </is>
      </c>
      <c r="E2139" t="inlineStr">
        <is>
          <t>categories</t>
        </is>
      </c>
      <c r="F2139" t="inlineStr">
        <is>
          <t>type</t>
        </is>
      </c>
      <c r="G2139" t="inlineStr">
        <is>
          <t>reference product</t>
        </is>
      </c>
      <c r="H2139" t="inlineStr">
        <is>
          <t>comment</t>
        </is>
      </c>
      <c r="I2139" t="inlineStr">
        <is>
          <t>uncertainty type</t>
        </is>
      </c>
    </row>
    <row r="2140">
      <c r="A2140" t="inlineStr">
        <is>
          <t>compressed gas, burned in single deck coach or urban bus</t>
        </is>
      </c>
      <c r="B2140">
        <v>1.0</v>
      </c>
      <c r="C2140" t="inlineStr">
        <is>
          <t>CH</t>
        </is>
      </c>
      <c r="D2140" t="inlineStr">
        <is>
          <t>megajoule</t>
        </is>
      </c>
      <c r="F2140" t="inlineStr">
        <is>
          <t>production</t>
        </is>
      </c>
      <c r="G2140" t="inlineStr">
        <is>
          <t>heat</t>
        </is>
      </c>
      <c r="I2140">
        <v>0</v>
      </c>
    </row>
    <row r="2141">
      <c r="A2141" t="inlineStr">
        <is>
          <t>market for natural gas, medium pressure, vehicle grade</t>
        </is>
      </c>
      <c r="B2141">
        <v>0.02150537634408602</v>
      </c>
      <c r="C2141" t="inlineStr">
        <is>
          <t>GLO</t>
        </is>
      </c>
      <c r="D2141" t="inlineStr">
        <is>
          <t>kilogram</t>
        </is>
      </c>
      <c r="F2141" t="inlineStr">
        <is>
          <t>technosphere</t>
        </is>
      </c>
      <c r="G2141" t="inlineStr">
        <is>
          <t>natural gas, medium pressure, vehicle grade</t>
        </is>
      </c>
      <c r="I2141">
        <v>0</v>
      </c>
    </row>
    <row r="2142">
      <c r="A2142" t="inlineStr">
        <is>
          <t>Acetaldehyde</t>
        </is>
      </c>
      <c r="B2142">
        <v>1.109751604497317e-07</v>
      </c>
      <c r="D2142" t="inlineStr">
        <is>
          <t>kilogram</t>
        </is>
      </c>
      <c r="E2142" t="inlineStr">
        <is>
          <t>air::urban air close to ground</t>
        </is>
      </c>
      <c r="F2142" t="inlineStr">
        <is>
          <t>biosphere</t>
        </is>
      </c>
      <c r="I2142">
        <v>0</v>
      </c>
    </row>
    <row r="2143">
      <c r="A2143" t="inlineStr">
        <is>
          <t>Acrolein</t>
        </is>
      </c>
      <c r="B2143">
        <v>4.298162669497268e-08</v>
      </c>
      <c r="D2143" t="inlineStr">
        <is>
          <t>kilogram</t>
        </is>
      </c>
      <c r="E2143" t="inlineStr">
        <is>
          <t>air::urban air close to ground</t>
        </is>
      </c>
      <c r="F2143" t="inlineStr">
        <is>
          <t>biosphere</t>
        </is>
      </c>
      <c r="I2143">
        <v>0</v>
      </c>
    </row>
    <row r="2144">
      <c r="A2144" t="inlineStr">
        <is>
          <t>Ammonia</t>
        </is>
      </c>
      <c r="B2144">
        <v>1.0745660405694292e-06</v>
      </c>
      <c r="D2144" t="inlineStr">
        <is>
          <t>kilogram</t>
        </is>
      </c>
      <c r="E2144" t="inlineStr">
        <is>
          <t>air::urban air close to ground</t>
        </is>
      </c>
      <c r="F2144" t="inlineStr">
        <is>
          <t>biosphere</t>
        </is>
      </c>
      <c r="I2144">
        <v>0</v>
      </c>
    </row>
    <row r="2145">
      <c r="A2145" t="inlineStr">
        <is>
          <t>Benzaldehyde</t>
        </is>
      </c>
      <c r="B2145">
        <v>3.32682647300071e-08</v>
      </c>
      <c r="D2145" t="inlineStr">
        <is>
          <t>kilogram</t>
        </is>
      </c>
      <c r="E2145" t="inlineStr">
        <is>
          <t>air::urban air close to ground</t>
        </is>
      </c>
      <c r="F2145" t="inlineStr">
        <is>
          <t>biosphere</t>
        </is>
      </c>
      <c r="I2145">
        <v>0</v>
      </c>
    </row>
    <row r="2146">
      <c r="A2146" t="inlineStr">
        <is>
          <t>Butane</t>
        </is>
      </c>
      <c r="B2146">
        <v>3.6425107368620904e-09</v>
      </c>
      <c r="D2146" t="inlineStr">
        <is>
          <t>kilogram</t>
        </is>
      </c>
      <c r="E2146" t="inlineStr">
        <is>
          <t>air::urban air close to ground</t>
        </is>
      </c>
      <c r="F2146" t="inlineStr">
        <is>
          <t>biosphere</t>
        </is>
      </c>
      <c r="I2146">
        <v>0</v>
      </c>
    </row>
    <row r="2147">
      <c r="A2147" t="inlineStr">
        <is>
          <t>Carbon dioxide, fossil</t>
        </is>
      </c>
      <c r="B2147">
        <v>0.05740478943351019</v>
      </c>
      <c r="D2147" t="inlineStr">
        <is>
          <t>kilogram</t>
        </is>
      </c>
      <c r="E2147" t="inlineStr">
        <is>
          <t>air::unspecified</t>
        </is>
      </c>
      <c r="F2147" t="inlineStr">
        <is>
          <t>biosphere</t>
        </is>
      </c>
      <c r="I2147">
        <v>0</v>
      </c>
    </row>
    <row r="2148">
      <c r="A2148" t="inlineStr">
        <is>
          <t>Carbon monoxide, fossil</t>
        </is>
      </c>
      <c r="B2148">
        <v>5.139999781097948e-05</v>
      </c>
      <c r="D2148" t="inlineStr">
        <is>
          <t>kilogram</t>
        </is>
      </c>
      <c r="E2148" t="inlineStr">
        <is>
          <t>air::urban air close to ground</t>
        </is>
      </c>
      <c r="F2148" t="inlineStr">
        <is>
          <t>biosphere</t>
        </is>
      </c>
      <c r="I2148">
        <v>0</v>
      </c>
    </row>
    <row r="2149">
      <c r="A2149" t="inlineStr">
        <is>
          <t>Dinitrogen monoxide</t>
        </is>
      </c>
      <c r="B2149">
        <v>2.4283404912413948e-06</v>
      </c>
      <c r="D2149" t="inlineStr">
        <is>
          <t>kilogram</t>
        </is>
      </c>
      <c r="E2149" t="inlineStr">
        <is>
          <t>air::urban air close to ground</t>
        </is>
      </c>
      <c r="F2149" t="inlineStr">
        <is>
          <t>biosphere</t>
        </is>
      </c>
      <c r="I2149">
        <v>0</v>
      </c>
    </row>
    <row r="2150">
      <c r="A2150" t="inlineStr">
        <is>
          <t>Ethane</t>
        </is>
      </c>
      <c r="B2150">
        <v>7.285021473724182e-10</v>
      </c>
      <c r="D2150" t="inlineStr">
        <is>
          <t>kilogram</t>
        </is>
      </c>
      <c r="E2150" t="inlineStr">
        <is>
          <t>air::urban air close to ground</t>
        </is>
      </c>
      <c r="F2150" t="inlineStr">
        <is>
          <t>biosphere</t>
        </is>
      </c>
      <c r="I2150">
        <v>0</v>
      </c>
    </row>
    <row r="2151">
      <c r="A2151" t="inlineStr">
        <is>
          <t>1,1,1,2-Tetrafluoroethane</t>
        </is>
      </c>
      <c r="B2151">
        <v>1.664477823027126e-06</v>
      </c>
      <c r="D2151" t="inlineStr">
        <is>
          <t>kilogram</t>
        </is>
      </c>
      <c r="E2151" t="inlineStr">
        <is>
          <t>air::unspecified</t>
        </is>
      </c>
      <c r="F2151" t="inlineStr">
        <is>
          <t>biosphere</t>
        </is>
      </c>
      <c r="I2151">
        <v>0</v>
      </c>
    </row>
    <row r="2152">
      <c r="A2152" t="inlineStr">
        <is>
          <t>Formaldehyde</t>
        </is>
      </c>
      <c r="B2152">
        <v>2.0398060126427713e-07</v>
      </c>
      <c r="D2152" t="inlineStr">
        <is>
          <t>kilogram</t>
        </is>
      </c>
      <c r="E2152" t="inlineStr">
        <is>
          <t>air::urban air close to ground</t>
        </is>
      </c>
      <c r="F2152" t="inlineStr">
        <is>
          <t>biosphere</t>
        </is>
      </c>
      <c r="I2152">
        <v>0</v>
      </c>
    </row>
    <row r="2153">
      <c r="A2153" t="inlineStr">
        <is>
          <t>Heptane</t>
        </is>
      </c>
      <c r="B2153">
        <v>7.285021473724182e-09</v>
      </c>
      <c r="D2153" t="inlineStr">
        <is>
          <t>kilogram</t>
        </is>
      </c>
      <c r="E2153" t="inlineStr">
        <is>
          <t>air::urban air close to ground</t>
        </is>
      </c>
      <c r="F2153" t="inlineStr">
        <is>
          <t>biosphere</t>
        </is>
      </c>
      <c r="I2153">
        <v>0</v>
      </c>
    </row>
    <row r="2154">
      <c r="A2154" t="inlineStr">
        <is>
          <t>Hydrocarbons, chlorinated</t>
        </is>
      </c>
      <c r="B2154">
        <v>2.425180577139861e-05</v>
      </c>
      <c r="D2154" t="inlineStr">
        <is>
          <t>kilogram</t>
        </is>
      </c>
      <c r="E2154" t="inlineStr">
        <is>
          <t>air::urban air close to ground</t>
        </is>
      </c>
      <c r="F2154" t="inlineStr">
        <is>
          <t>biosphere</t>
        </is>
      </c>
      <c r="I2154">
        <v>0</v>
      </c>
    </row>
    <row r="2155">
      <c r="A2155" t="inlineStr">
        <is>
          <t>Methane, fossil</t>
        </is>
      </c>
      <c r="B2155">
        <v>2.2311661663762063e-05</v>
      </c>
      <c r="D2155" t="inlineStr">
        <is>
          <t>kilogram</t>
        </is>
      </c>
      <c r="E2155" t="inlineStr">
        <is>
          <t>air::urban air close to ground</t>
        </is>
      </c>
      <c r="F2155" t="inlineStr">
        <is>
          <t>biosphere</t>
        </is>
      </c>
      <c r="I2155">
        <v>0</v>
      </c>
    </row>
    <row r="2156">
      <c r="A2156" t="inlineStr">
        <is>
          <t>Methane, fossil</t>
        </is>
      </c>
      <c r="B2156">
        <v>8.567879426879306e-05</v>
      </c>
      <c r="D2156" t="inlineStr">
        <is>
          <t>kilogram</t>
        </is>
      </c>
      <c r="E2156" t="inlineStr">
        <is>
          <t>air::unspecified</t>
        </is>
      </c>
      <c r="F2156" t="inlineStr">
        <is>
          <t>biosphere</t>
        </is>
      </c>
      <c r="I2156">
        <v>0</v>
      </c>
    </row>
    <row r="2157">
      <c r="A2157" t="inlineStr">
        <is>
          <t>NMVOC, non-methane volatile organic compounds</t>
        </is>
      </c>
      <c r="B2157">
        <v>1.5773374046907533e-06</v>
      </c>
      <c r="D2157" t="inlineStr">
        <is>
          <t>kilogram</t>
        </is>
      </c>
      <c r="E2157" t="inlineStr">
        <is>
          <t>air::urban air close to ground</t>
        </is>
      </c>
      <c r="F2157" t="inlineStr">
        <is>
          <t>biosphere</t>
        </is>
      </c>
      <c r="I2157">
        <v>0</v>
      </c>
    </row>
    <row r="2158">
      <c r="A2158" t="inlineStr">
        <is>
          <t>Nitrogen oxides</t>
        </is>
      </c>
      <c r="B2158">
        <v>9.347478057632093e-05</v>
      </c>
      <c r="D2158" t="inlineStr">
        <is>
          <t>kilogram</t>
        </is>
      </c>
      <c r="E2158" t="inlineStr">
        <is>
          <t>air::urban air close to ground</t>
        </is>
      </c>
      <c r="F2158" t="inlineStr">
        <is>
          <t>biosphere</t>
        </is>
      </c>
      <c r="I2158">
        <v>0</v>
      </c>
    </row>
    <row r="2159">
      <c r="A2159" t="inlineStr">
        <is>
          <t>Particulate Matter, &lt; 2.5 um</t>
        </is>
      </c>
      <c r="B2159">
        <v>4.0106032285058246e-07</v>
      </c>
      <c r="D2159" t="inlineStr">
        <is>
          <t>kilogram</t>
        </is>
      </c>
      <c r="E2159" t="inlineStr">
        <is>
          <t>air::urban air close to ground</t>
        </is>
      </c>
      <c r="F2159" t="inlineStr">
        <is>
          <t>biosphere</t>
        </is>
      </c>
      <c r="I2159">
        <v>0</v>
      </c>
    </row>
    <row r="2160">
      <c r="A2160" t="inlineStr">
        <is>
          <t>Pentane</t>
        </is>
      </c>
      <c r="B2160">
        <v>1.4570042947448357e-09</v>
      </c>
      <c r="D2160" t="inlineStr">
        <is>
          <t>kilogram</t>
        </is>
      </c>
      <c r="E2160" t="inlineStr">
        <is>
          <t>air::urban air close to ground</t>
        </is>
      </c>
      <c r="F2160" t="inlineStr">
        <is>
          <t>biosphere</t>
        </is>
      </c>
      <c r="I2160">
        <v>0</v>
      </c>
    </row>
    <row r="2161">
      <c r="A2161" t="inlineStr">
        <is>
          <t>Propane</t>
        </is>
      </c>
      <c r="B2161">
        <v>2.428340491241394e-09</v>
      </c>
      <c r="D2161" t="inlineStr">
        <is>
          <t>kilogram</t>
        </is>
      </c>
      <c r="E2161" t="inlineStr">
        <is>
          <t>air::urban air close to ground</t>
        </is>
      </c>
      <c r="F2161" t="inlineStr">
        <is>
          <t>biosphere</t>
        </is>
      </c>
      <c r="I2161">
        <v>0</v>
      </c>
    </row>
    <row r="2162">
      <c r="A2162" t="inlineStr">
        <is>
          <t>Styrene</t>
        </is>
      </c>
      <c r="B2162">
        <v>1.3598706750951805e-08</v>
      </c>
      <c r="D2162" t="inlineStr">
        <is>
          <t>kilogram</t>
        </is>
      </c>
      <c r="E2162" t="inlineStr">
        <is>
          <t>air::urban air close to ground</t>
        </is>
      </c>
      <c r="F2162" t="inlineStr">
        <is>
          <t>biosphere</t>
        </is>
      </c>
      <c r="I2162">
        <v>0</v>
      </c>
    </row>
    <row r="2163">
      <c r="A2163" t="inlineStr">
        <is>
          <t>Toluene</t>
        </is>
      </c>
      <c r="B2163">
        <v>2.4283404912413937e-10</v>
      </c>
      <c r="D2163" t="inlineStr">
        <is>
          <t>kilogram</t>
        </is>
      </c>
      <c r="E2163" t="inlineStr">
        <is>
          <t>air::urban air close to ground</t>
        </is>
      </c>
      <c r="F2163" t="inlineStr">
        <is>
          <t>biosphere</t>
        </is>
      </c>
      <c r="I2163">
        <v>0</v>
      </c>
    </row>
    <row r="2164">
      <c r="A2164" t="inlineStr">
        <is>
          <t>m-Xylene</t>
        </is>
      </c>
      <c r="B2164">
        <v>2.379773681416566e-08</v>
      </c>
      <c r="D2164" t="inlineStr">
        <is>
          <t>kilogram</t>
        </is>
      </c>
      <c r="E2164" t="inlineStr">
        <is>
          <t>air::urban air close to ground</t>
        </is>
      </c>
      <c r="F2164" t="inlineStr">
        <is>
          <t>biosphere</t>
        </is>
      </c>
      <c r="I2164">
        <v>0</v>
      </c>
    </row>
    <row r="2165">
      <c r="A2165" t="inlineStr">
        <is>
          <t>o-Xylene</t>
        </is>
      </c>
      <c r="B2165">
        <v>9.713361964965576e-09</v>
      </c>
      <c r="D2165" t="inlineStr">
        <is>
          <t>kilogram</t>
        </is>
      </c>
      <c r="E2165" t="inlineStr">
        <is>
          <t>air::urban air close to ground</t>
        </is>
      </c>
      <c r="F2165" t="inlineStr">
        <is>
          <t>biosphere</t>
        </is>
      </c>
      <c r="I2165">
        <v>0</v>
      </c>
    </row>
    <row r="2166">
      <c r="A2166" t="inlineStr">
        <is>
          <t>fuel tank assembly, compressed natural gas, 200 bar</t>
        </is>
      </c>
      <c r="B2166">
        <v>1.6089533395676763e-05</v>
      </c>
      <c r="C2166" t="inlineStr">
        <is>
          <t>RER</t>
        </is>
      </c>
      <c r="D2166" t="inlineStr">
        <is>
          <t>kilogram</t>
        </is>
      </c>
      <c r="F2166" t="inlineStr">
        <is>
          <t>technosphere</t>
        </is>
      </c>
      <c r="G2166" t="inlineStr">
        <is>
          <t>fuel tank, compressed natural gas, 200 bar</t>
        </is>
      </c>
      <c r="H2166" t="inlineStr">
        <is>
          <t> Energy-use allocation: 154.66264 * 1.428571428571429e-07 / 1.3732320455657014 MJ per person kilometer.</t>
        </is>
      </c>
      <c r="I2166">
        <v>0</v>
      </c>
    </row>
    <row r="2167">
      <c r="A2167" t="inlineStr">
        <is>
          <t>exhaust system, for lorry</t>
        </is>
      </c>
      <c r="B2167">
        <v>1.019492666604115e-05</v>
      </c>
      <c r="C2167" t="inlineStr">
        <is>
          <t>RER</t>
        </is>
      </c>
      <c r="D2167" t="inlineStr">
        <is>
          <t>kilogram</t>
        </is>
      </c>
      <c r="F2167" t="inlineStr">
        <is>
          <t>technosphere</t>
        </is>
      </c>
      <c r="G2167" t="inlineStr">
        <is>
          <t>exhaust system, for lorry</t>
        </is>
      </c>
      <c r="H2167" t="inlineStr">
        <is>
          <t> Energy-use allocation: 98 * 1.428571428571429e-07 / 1.3732320455657014 MJ per person kilometer.</t>
        </is>
      </c>
      <c r="I2167">
        <v>0</v>
      </c>
    </row>
    <row r="2168">
      <c r="A2168" t="inlineStr">
        <is>
          <t>gearbox, for lorry</t>
        </is>
      </c>
      <c r="B2168">
        <v>1.639593866000859e-05</v>
      </c>
      <c r="C2168" t="inlineStr">
        <is>
          <t>RER</t>
        </is>
      </c>
      <c r="D2168" t="inlineStr">
        <is>
          <t>kilogram</t>
        </is>
      </c>
      <c r="F2168" t="inlineStr">
        <is>
          <t>technosphere</t>
        </is>
      </c>
      <c r="G2168" t="inlineStr">
        <is>
          <t>gearbox, for lorry</t>
        </is>
      </c>
      <c r="H2168" t="inlineStr">
        <is>
          <t> Energy-use allocation: 157.6079986953735 * 1.428571428571429e-07 / 1.3732320455657014 MJ per person kilometer.</t>
        </is>
      </c>
      <c r="I2168">
        <v>0</v>
      </c>
    </row>
    <row r="2169">
      <c r="A2169" t="inlineStr">
        <is>
          <t>internal combustion engine, for lorry</t>
        </is>
      </c>
      <c r="B2169">
        <v>7.877413170343471e-05</v>
      </c>
      <c r="C2169" t="inlineStr">
        <is>
          <t>RER</t>
        </is>
      </c>
      <c r="D2169" t="inlineStr">
        <is>
          <t>kilogram</t>
        </is>
      </c>
      <c r="F2169" t="inlineStr">
        <is>
          <t>technosphere</t>
        </is>
      </c>
      <c r="G2169" t="inlineStr">
        <is>
          <t>internal combustion engine, for lorry</t>
        </is>
      </c>
      <c r="H2169" t="inlineStr">
        <is>
          <t> Energy-use allocation: 757.2261341173871 * 1.428571428571429e-07 / 1.3732320455657014 MJ per person kilometer.</t>
        </is>
      </c>
      <c r="I2169">
        <v>0</v>
      </c>
    </row>
    <row r="2170">
      <c r="A2170" t="inlineStr">
        <is>
          <t>power electronics, for lorry</t>
        </is>
      </c>
      <c r="B2170">
        <v>1.903746510087276e-05</v>
      </c>
      <c r="C2170" t="inlineStr">
        <is>
          <t>RER</t>
        </is>
      </c>
      <c r="D2170" t="inlineStr">
        <is>
          <t>kilogram</t>
        </is>
      </c>
      <c r="F2170" t="inlineStr">
        <is>
          <t>technosphere</t>
        </is>
      </c>
      <c r="G2170" t="inlineStr">
        <is>
          <t>power electronics, for lorry</t>
        </is>
      </c>
      <c r="H2170" t="inlineStr">
        <is>
          <t> Energy-use allocation: 183 * 1.428571428571429e-07 / 1.3732320455657014 MJ per person kilometer.</t>
        </is>
      </c>
      <c r="I2170">
        <v>0</v>
      </c>
    </row>
    <row r="2171">
      <c r="A2171" t="inlineStr">
        <is>
          <t>retarder, for lorry</t>
        </is>
      </c>
      <c r="B2171">
        <v>5.465312886669532e-06</v>
      </c>
      <c r="C2171" t="inlineStr">
        <is>
          <t>RER</t>
        </is>
      </c>
      <c r="D2171" t="inlineStr">
        <is>
          <t>kilogram</t>
        </is>
      </c>
      <c r="F2171" t="inlineStr">
        <is>
          <t>technosphere</t>
        </is>
      </c>
      <c r="G2171" t="inlineStr">
        <is>
          <t>retarder, for lorry</t>
        </is>
      </c>
      <c r="H2171" t="inlineStr">
        <is>
          <t> Energy-use allocation: 52.53599956512451 * 1.428571428571429e-07 / 1.3732320455657014 MJ per person kilometer.</t>
        </is>
      </c>
      <c r="I2171">
        <v>0</v>
      </c>
    </row>
    <row r="2172">
      <c r="A2172" t="inlineStr">
        <is>
          <t>transmission, for lorry</t>
        </is>
      </c>
      <c r="B2172">
        <v>2.3683022508901298e-05</v>
      </c>
      <c r="C2172" t="inlineStr">
        <is>
          <t>RER</t>
        </is>
      </c>
      <c r="D2172" t="inlineStr">
        <is>
          <t>kilogram</t>
        </is>
      </c>
      <c r="F2172" t="inlineStr">
        <is>
          <t>technosphere</t>
        </is>
      </c>
      <c r="G2172" t="inlineStr">
        <is>
          <t>transmission, for lorry</t>
        </is>
      </c>
      <c r="H2172" t="inlineStr">
        <is>
          <t> Energy-use allocation: 227.6559981155395 * 1.428571428571429e-07 / 1.3732320455657014 MJ per person kilometer.</t>
        </is>
      </c>
      <c r="I2172">
        <v>0</v>
      </c>
    </row>
    <row r="2173">
      <c r="A2173" t="inlineStr">
        <is>
          <t>market for refrigerant R134a</t>
        </is>
      </c>
      <c r="B2173">
        <v>2.4447018025710913e-06</v>
      </c>
      <c r="C2173" t="inlineStr">
        <is>
          <t>GLO</t>
        </is>
      </c>
      <c r="D2173" t="inlineStr">
        <is>
          <t>kilogram</t>
        </is>
      </c>
      <c r="F2173" t="inlineStr">
        <is>
          <t>technosphere</t>
        </is>
      </c>
      <c r="G2173" t="inlineStr">
        <is>
          <t>refrigerant R134a</t>
        </is>
      </c>
      <c r="I2173">
        <v>0</v>
      </c>
    </row>
    <row r="2174">
      <c r="A2174" t="inlineStr">
        <is>
          <t>treatment of brake wear emissions, lorry</t>
        </is>
      </c>
      <c r="B2174">
        <v>-6.869912841974368e-06</v>
      </c>
      <c r="C2174" t="inlineStr">
        <is>
          <t>RER</t>
        </is>
      </c>
      <c r="D2174" t="inlineStr">
        <is>
          <t>kilogram</t>
        </is>
      </c>
      <c r="F2174" t="inlineStr">
        <is>
          <t>technosphere</t>
        </is>
      </c>
      <c r="G2174" t="inlineStr">
        <is>
          <t>brake wear emissions, lorry</t>
        </is>
      </c>
      <c r="I2174">
        <v>0</v>
      </c>
    </row>
    <row r="2175">
      <c r="A2175" t="inlineStr">
        <is>
          <t>treatment of road wear emissions, lorry</t>
        </is>
      </c>
      <c r="B2175">
        <v>-5.779482396303892e-06</v>
      </c>
      <c r="C2175" t="inlineStr">
        <is>
          <t>RER</t>
        </is>
      </c>
      <c r="D2175" t="inlineStr">
        <is>
          <t>kilogram</t>
        </is>
      </c>
      <c r="F2175" t="inlineStr">
        <is>
          <t>technosphere</t>
        </is>
      </c>
      <c r="G2175" t="inlineStr">
        <is>
          <t>road wear emissions, lorry</t>
        </is>
      </c>
      <c r="I2175">
        <v>0</v>
      </c>
    </row>
    <row r="2176">
      <c r="A2176" t="inlineStr">
        <is>
          <t>treatment of tyre wear emissions, lorry</t>
        </is>
      </c>
      <c r="B2176">
        <v>-5.699427716395153e-06</v>
      </c>
      <c r="C2176" t="inlineStr">
        <is>
          <t>RER</t>
        </is>
      </c>
      <c r="D2176" t="inlineStr">
        <is>
          <t>kilogram</t>
        </is>
      </c>
      <c r="F2176" t="inlineStr">
        <is>
          <t>technosphere</t>
        </is>
      </c>
      <c r="G2176" t="inlineStr">
        <is>
          <t>tyre wear emissions, lorry</t>
        </is>
      </c>
      <c r="I2176">
        <v>0</v>
      </c>
    </row>
    <row r="2177"/>
    <row r="2178">
      <c r="A2178" t="inlineStr">
        <is>
          <t>Activity</t>
        </is>
      </c>
      <c r="B2178" t="inlineStr">
        <is>
          <t>electricity, used in single deck coach or urban bus</t>
        </is>
      </c>
    </row>
    <row r="2179">
      <c r="A2179" t="inlineStr">
        <is>
          <t>comment</t>
        </is>
      </c>
      <c r="B2179"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2180">
      <c r="A2180" t="inlineStr">
        <is>
          <t>description</t>
        </is>
      </c>
      <c r="B218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181">
      <c r="A2181" t="inlineStr">
        <is>
          <t>location</t>
        </is>
      </c>
      <c r="B2181" t="inlineStr">
        <is>
          <t>CH</t>
        </is>
      </c>
    </row>
    <row r="2182">
      <c r="A2182" t="inlineStr">
        <is>
          <t>production amount</t>
        </is>
      </c>
      <c r="B2182">
        <v>1</v>
      </c>
    </row>
    <row r="2183">
      <c r="A2183" t="inlineStr">
        <is>
          <t>reference product</t>
        </is>
      </c>
      <c r="B2183" t="inlineStr">
        <is>
          <t>electricity, low voltage</t>
        </is>
      </c>
    </row>
    <row r="2184">
      <c r="A2184" t="inlineStr">
        <is>
          <t>source</t>
        </is>
      </c>
      <c r="B2184" t="inlineStr">
        <is>
          <t>Sacchi, R., Bauer, C., and Cox, B. Does size matter? The influence of size, load factor, range autonomy and application type on the Life Cycle Assessment of current and future trucks. 2021. Environmental Science and Technology.</t>
        </is>
      </c>
    </row>
    <row r="2185">
      <c r="A2185" t="inlineStr">
        <is>
          <t>type</t>
        </is>
      </c>
      <c r="B2185" t="inlineStr">
        <is>
          <t>process</t>
        </is>
      </c>
    </row>
    <row r="2186">
      <c r="A2186" t="inlineStr">
        <is>
          <t>unit</t>
        </is>
      </c>
      <c r="B2186" t="inlineStr">
        <is>
          <t>megajoule</t>
        </is>
      </c>
    </row>
    <row r="2187">
      <c r="A2187" t="inlineStr">
        <is>
          <t>energy use source</t>
        </is>
      </c>
      <c r="B2187"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2188">
      <c r="A2188" t="inlineStr">
        <is>
          <t>Exchanges</t>
        </is>
      </c>
    </row>
    <row r="2189">
      <c r="A2189" t="inlineStr">
        <is>
          <t>name</t>
        </is>
      </c>
      <c r="B2189" t="inlineStr">
        <is>
          <t>amount</t>
        </is>
      </c>
      <c r="C2189" t="inlineStr">
        <is>
          <t>location</t>
        </is>
      </c>
      <c r="D2189" t="inlineStr">
        <is>
          <t>unit</t>
        </is>
      </c>
      <c r="E2189" t="inlineStr">
        <is>
          <t>categories</t>
        </is>
      </c>
      <c r="F2189" t="inlineStr">
        <is>
          <t>type</t>
        </is>
      </c>
      <c r="G2189" t="inlineStr">
        <is>
          <t>reference product</t>
        </is>
      </c>
      <c r="H2189" t="inlineStr">
        <is>
          <t>comment</t>
        </is>
      </c>
      <c r="I2189" t="inlineStr">
        <is>
          <t>uncertainty type</t>
        </is>
      </c>
    </row>
    <row r="2190">
      <c r="A2190" t="inlineStr">
        <is>
          <t>electricity, used in single deck coach or urban bus</t>
        </is>
      </c>
      <c r="B2190">
        <v>1.0</v>
      </c>
      <c r="C2190" t="inlineStr">
        <is>
          <t>CH</t>
        </is>
      </c>
      <c r="D2190" t="inlineStr">
        <is>
          <t>megajoule</t>
        </is>
      </c>
      <c r="F2190" t="inlineStr">
        <is>
          <t>production</t>
        </is>
      </c>
      <c r="G2190" t="inlineStr">
        <is>
          <t>electricity, low voltage</t>
        </is>
      </c>
      <c r="I2190">
        <v>0</v>
      </c>
    </row>
    <row r="2191">
      <c r="A2191" t="inlineStr">
        <is>
          <t>market group for electricity, low voltage</t>
        </is>
      </c>
      <c r="B2191">
        <v>0.2777777777777778</v>
      </c>
      <c r="C2191" t="inlineStr">
        <is>
          <t>RER</t>
        </is>
      </c>
      <c r="D2191" t="inlineStr">
        <is>
          <t>kilowatt hour</t>
        </is>
      </c>
      <c r="F2191" t="inlineStr">
        <is>
          <t>technosphere</t>
        </is>
      </c>
      <c r="G2191" t="inlineStr">
        <is>
          <t>electricity, low voltage</t>
        </is>
      </c>
      <c r="I2191">
        <v>0</v>
      </c>
    </row>
    <row r="2192">
      <c r="A2192" t="inlineStr">
        <is>
          <t>1,1,1,2-Tetrafluoroethane</t>
        </is>
      </c>
      <c r="B2192">
        <v>3.009633125514374e-06</v>
      </c>
      <c r="D2192" t="inlineStr">
        <is>
          <t>kilogram</t>
        </is>
      </c>
      <c r="E2192" t="inlineStr">
        <is>
          <t>air::unspecified</t>
        </is>
      </c>
      <c r="F2192" t="inlineStr">
        <is>
          <t>biosphere</t>
        </is>
      </c>
      <c r="I2192">
        <v>0</v>
      </c>
    </row>
    <row r="2193">
      <c r="A2193" t="inlineStr">
        <is>
          <t>EV charger, level 3, plugin, 200 kW</t>
        </is>
      </c>
      <c r="B2193">
        <v>5.486310385052244e-08</v>
      </c>
      <c r="C2193" t="inlineStr">
        <is>
          <t>RER</t>
        </is>
      </c>
      <c r="D2193" t="inlineStr">
        <is>
          <t>unit</t>
        </is>
      </c>
      <c r="F2193" t="inlineStr">
        <is>
          <t>technosphere</t>
        </is>
      </c>
      <c r="G2193" t="inlineStr">
        <is>
          <t>EV charger, level 3, plugin, 200 kW</t>
        </is>
      </c>
      <c r="I2193">
        <v>0</v>
      </c>
    </row>
    <row r="2194">
      <c r="A2194" t="inlineStr">
        <is>
          <t>market for battery capacity (MIX scenario)</t>
        </is>
      </c>
      <c r="B2194">
        <v>7.505272606751472e-05</v>
      </c>
      <c r="C2194" t="inlineStr">
        <is>
          <t>GLO</t>
        </is>
      </c>
      <c r="D2194" t="inlineStr">
        <is>
          <t>kilowatt hour</t>
        </is>
      </c>
      <c r="F2194" t="inlineStr">
        <is>
          <t>technosphere</t>
        </is>
      </c>
      <c r="G2194" t="inlineStr">
        <is>
          <t>electricity storage capacity</t>
        </is>
      </c>
      <c r="H2194" t="inlineStr">
        <is>
          <t> Energy-use allocation: 399 * 1.428571428571429e-07 / 0.7594660845326908 MJ per person kilometer.</t>
        </is>
      </c>
      <c r="I2194">
        <v>0</v>
      </c>
    </row>
    <row r="2195">
      <c r="A2195" t="inlineStr">
        <is>
          <t>gearbox, for lorry</t>
        </is>
      </c>
      <c r="B2195">
        <v>2.9646390857476403e-05</v>
      </c>
      <c r="C2195" t="inlineStr">
        <is>
          <t>RER</t>
        </is>
      </c>
      <c r="D2195" t="inlineStr">
        <is>
          <t>kilogram</t>
        </is>
      </c>
      <c r="F2195" t="inlineStr">
        <is>
          <t>technosphere</t>
        </is>
      </c>
      <c r="G2195" t="inlineStr">
        <is>
          <t>gearbox, for lorry</t>
        </is>
      </c>
      <c r="H2195" t="inlineStr">
        <is>
          <t> Energy-use allocation: 157.6079986953735 * 1.428571428571429e-07 / 0.7594660845326908 MJ per person kilometer.</t>
        </is>
      </c>
      <c r="I2195">
        <v>0</v>
      </c>
    </row>
    <row r="2196">
      <c r="A2196" t="inlineStr">
        <is>
          <t>market for converter, for electric passenger car</t>
        </is>
      </c>
      <c r="B2196">
        <v>4.70255175861621e-06</v>
      </c>
      <c r="C2196" t="inlineStr">
        <is>
          <t>GLO</t>
        </is>
      </c>
      <c r="D2196" t="inlineStr">
        <is>
          <t>kilogram</t>
        </is>
      </c>
      <c r="F2196" t="inlineStr">
        <is>
          <t>technosphere</t>
        </is>
      </c>
      <c r="G2196" t="inlineStr">
        <is>
          <t>converter, for electric passenger car</t>
        </is>
      </c>
      <c r="H2196" t="inlineStr">
        <is>
          <t> Energy-use allocation: 25 * 1.428571428571429e-07 / 0.7594660845326908 MJ per person kilometer.</t>
        </is>
      </c>
      <c r="I2196">
        <v>0</v>
      </c>
    </row>
    <row r="2197">
      <c r="A2197" t="inlineStr">
        <is>
          <t>market for electric motor, electric passenger car</t>
        </is>
      </c>
      <c r="B2197">
        <v>1.632089456252256e-05</v>
      </c>
      <c r="C2197" t="inlineStr">
        <is>
          <t>GLO</t>
        </is>
      </c>
      <c r="D2197" t="inlineStr">
        <is>
          <t>kilogram</t>
        </is>
      </c>
      <c r="F2197" t="inlineStr">
        <is>
          <t>technosphere</t>
        </is>
      </c>
      <c r="G2197" t="inlineStr">
        <is>
          <t>electric motor, electric passenger car</t>
        </is>
      </c>
      <c r="H2197" t="inlineStr">
        <is>
          <t> Energy-use allocation: 86.76616122628923 * 1.428571428571429e-07 / 0.7594660845326908 MJ per person kilometer.</t>
        </is>
      </c>
      <c r="I2197">
        <v>0</v>
      </c>
    </row>
    <row r="2198">
      <c r="A2198" t="inlineStr">
        <is>
          <t>market for inverter, for electric passenger car</t>
        </is>
      </c>
      <c r="B2198">
        <v>2.3843425590101327e-06</v>
      </c>
      <c r="C2198" t="inlineStr">
        <is>
          <t>GLO</t>
        </is>
      </c>
      <c r="D2198" t="inlineStr">
        <is>
          <t>kilogram</t>
        </is>
      </c>
      <c r="F2198" t="inlineStr">
        <is>
          <t>technosphere</t>
        </is>
      </c>
      <c r="G2198" t="inlineStr">
        <is>
          <t>inverter, for electric passenger car</t>
        </is>
      </c>
      <c r="H2198" t="inlineStr">
        <is>
          <t> Energy-use allocation: 12.67579115233257 * 1.428571428571429e-07 / 0.7594660845326908 MJ per person kilometer.</t>
        </is>
      </c>
      <c r="I2198">
        <v>0</v>
      </c>
    </row>
    <row r="2199">
      <c r="A2199" t="inlineStr">
        <is>
          <t>market for power distribution unit, for electric passenger car</t>
        </is>
      </c>
      <c r="B2199">
        <v>6.771674532407343e-06</v>
      </c>
      <c r="C2199" t="inlineStr">
        <is>
          <t>GLO</t>
        </is>
      </c>
      <c r="D2199" t="inlineStr">
        <is>
          <t>kilogram</t>
        </is>
      </c>
      <c r="F2199" t="inlineStr">
        <is>
          <t>technosphere</t>
        </is>
      </c>
      <c r="G2199" t="inlineStr">
        <is>
          <t>power distribution unit, for electric passenger car</t>
        </is>
      </c>
      <c r="H2199" t="inlineStr">
        <is>
          <t> Energy-use allocation: 36 * 1.428571428571429e-07 / 0.7594660845326908 MJ per person kilometer.</t>
        </is>
      </c>
      <c r="I2199">
        <v>0</v>
      </c>
    </row>
    <row r="2200">
      <c r="A2200" t="inlineStr">
        <is>
          <t>power electronics, for lorry</t>
        </is>
      </c>
      <c r="B2200">
        <v>3.442267887307066e-05</v>
      </c>
      <c r="C2200" t="inlineStr">
        <is>
          <t>RER</t>
        </is>
      </c>
      <c r="D2200" t="inlineStr">
        <is>
          <t>kilogram</t>
        </is>
      </c>
      <c r="F2200" t="inlineStr">
        <is>
          <t>technosphere</t>
        </is>
      </c>
      <c r="G2200" t="inlineStr">
        <is>
          <t>power electronics, for lorry</t>
        </is>
      </c>
      <c r="H2200" t="inlineStr">
        <is>
          <t> Energy-use allocation: 183 * 1.428571428571429e-07 / 0.7594660845326908 MJ per person kilometer.</t>
        </is>
      </c>
      <c r="I2200">
        <v>0</v>
      </c>
    </row>
    <row r="2201">
      <c r="A2201" t="inlineStr">
        <is>
          <t>retarder, for lorry</t>
        </is>
      </c>
      <c r="B2201">
        <v>9.88213028582547e-06</v>
      </c>
      <c r="C2201" t="inlineStr">
        <is>
          <t>RER</t>
        </is>
      </c>
      <c r="D2201" t="inlineStr">
        <is>
          <t>kilogram</t>
        </is>
      </c>
      <c r="F2201" t="inlineStr">
        <is>
          <t>technosphere</t>
        </is>
      </c>
      <c r="G2201" t="inlineStr">
        <is>
          <t>retarder, for lorry</t>
        </is>
      </c>
      <c r="H2201" t="inlineStr">
        <is>
          <t> Energy-use allocation: 52.53599956512451 * 1.428571428571429e-07 / 0.7594660845326908 MJ per person kilometer.</t>
        </is>
      </c>
      <c r="I2201">
        <v>0</v>
      </c>
    </row>
    <row r="2202">
      <c r="A2202" t="inlineStr">
        <is>
          <t>transmission, for lorry</t>
        </is>
      </c>
      <c r="B2202">
        <v>4.282256457191035e-05</v>
      </c>
      <c r="C2202" t="inlineStr">
        <is>
          <t>RER</t>
        </is>
      </c>
      <c r="D2202" t="inlineStr">
        <is>
          <t>kilogram</t>
        </is>
      </c>
      <c r="F2202" t="inlineStr">
        <is>
          <t>technosphere</t>
        </is>
      </c>
      <c r="G2202" t="inlineStr">
        <is>
          <t>transmission, for lorry</t>
        </is>
      </c>
      <c r="H2202" t="inlineStr">
        <is>
          <t> Energy-use allocation: 227.6559981155395 * 1.428571428571429e-07 / 0.7594660845326908 MJ per person kilometer.</t>
        </is>
      </c>
      <c r="I2202">
        <v>0</v>
      </c>
    </row>
    <row r="2203">
      <c r="A2203" t="inlineStr">
        <is>
          <t>market for refrigerant R134a</t>
        </is>
      </c>
      <c r="B2203">
        <v>4.420398653099236e-06</v>
      </c>
      <c r="C2203" t="inlineStr">
        <is>
          <t>GLO</t>
        </is>
      </c>
      <c r="D2203" t="inlineStr">
        <is>
          <t>kilogram</t>
        </is>
      </c>
      <c r="F2203" t="inlineStr">
        <is>
          <t>technosphere</t>
        </is>
      </c>
      <c r="G2203" t="inlineStr">
        <is>
          <t>refrigerant R134a</t>
        </is>
      </c>
      <c r="I2203">
        <v>0</v>
      </c>
    </row>
    <row r="2204">
      <c r="A2204" t="inlineStr">
        <is>
          <t>treatment of brake wear emissions, lorry</t>
        </is>
      </c>
      <c r="B2204">
        <v>-6.472006126812549e-06</v>
      </c>
      <c r="C2204" t="inlineStr">
        <is>
          <t>RER</t>
        </is>
      </c>
      <c r="D2204" t="inlineStr">
        <is>
          <t>kilogram</t>
        </is>
      </c>
      <c r="F2204" t="inlineStr">
        <is>
          <t>technosphere</t>
        </is>
      </c>
      <c r="G2204" t="inlineStr">
        <is>
          <t>brake wear emissions, lorry</t>
        </is>
      </c>
      <c r="I2204">
        <v>0</v>
      </c>
    </row>
    <row r="2205">
      <c r="A2205" t="inlineStr">
        <is>
          <t>treatment of road wear emissions, lorry</t>
        </is>
      </c>
      <c r="B2205">
        <v>-1.1565437032804032e-05</v>
      </c>
      <c r="C2205" t="inlineStr">
        <is>
          <t>RER</t>
        </is>
      </c>
      <c r="D2205" t="inlineStr">
        <is>
          <t>kilogram</t>
        </is>
      </c>
      <c r="F2205" t="inlineStr">
        <is>
          <t>technosphere</t>
        </is>
      </c>
      <c r="G2205" t="inlineStr">
        <is>
          <t>road wear emissions, lorry</t>
        </is>
      </c>
      <c r="I2205">
        <v>0</v>
      </c>
    </row>
    <row r="2206">
      <c r="A2206" t="inlineStr">
        <is>
          <t>treatment of tyre wear emissions, lorry</t>
        </is>
      </c>
      <c r="B2206">
        <v>-1.1223374086581164e-05</v>
      </c>
      <c r="C2206" t="inlineStr">
        <is>
          <t>RER</t>
        </is>
      </c>
      <c r="D2206" t="inlineStr">
        <is>
          <t>kilogram</t>
        </is>
      </c>
      <c r="F2206" t="inlineStr">
        <is>
          <t>technosphere</t>
        </is>
      </c>
      <c r="G2206" t="inlineStr">
        <is>
          <t>tyre wear emissions, lorry</t>
        </is>
      </c>
      <c r="I2206">
        <v>0</v>
      </c>
    </row>
    <row r="2207"/>
    <row r="2208" spans="1:10" ht="16" ns3:dyDescent="0.2">
      <c r="A2208" s="1" t="s">
        <v>0</v>
      </c>
      <c r="B2208" s="1" t="s">
        <v>417</v>
      </c>
    </row>
    <row r="2209" spans="1:10" ns3:dyDescent="0.2">
      <c r="A2209" t="s">
        <v>9</v>
      </c>
      <c r="B2209" t="s">
        <v>16</v>
      </c>
    </row>
    <row r="2210" spans="1:10" ns3:dyDescent="0.2">
      <c r="A2210" t="s">
        <v>396</v>
      </c>
      <c r="B2210" t="s">
        <v>465</v>
      </c>
    </row>
    <row r="2211" spans="1:10" ns3:dyDescent="0.2">
      <c r="A2211" t="s">
        <v>1</v>
      </c>
      <c r="B2211" t="s">
        <v>103</v>
      </c>
    </row>
    <row r="2212" spans="1:10" ns3:dyDescent="0.2">
      <c r="A2212" t="s">
        <v>2</v>
      </c>
      <c r="B2212">
        <v>1</v>
      </c>
    </row>
    <row r="2213" spans="1:10" ns3:dyDescent="0.2">
      <c r="A2213" t="s">
        <v>3</v>
      </c>
      <c r="B2213" t="s">
        <v>417</v>
      </c>
    </row>
    <row r="2214" spans="1:10" ns3:dyDescent="0.2">
      <c r="A2214" t="s">
        <v>8</v>
      </c>
      <c r="B2214" t="s">
        <v>466</v>
      </c>
    </row>
    <row r="2215" spans="1:8" ns3:dyDescent="0.2">
      <c r="A2215" t="s">
        <v>397</v>
      </c>
      <c r="B2215" t="s">
        <v>16</v>
      </c>
    </row>
    <row r="2216" spans="1:8" ns3:dyDescent="0.2">
      <c r="A2216" t="s">
        <v>4</v>
      </c>
      <c r="B2216" t="s">
        <v>5</v>
      </c>
    </row>
    <row r="2217" spans="1:8" ns3:dyDescent="0.2">
      <c r="A2217" t="s">
        <v>6</v>
      </c>
      <c r="B2217" t="s">
        <v>6</v>
      </c>
    </row>
    <row r="2218" spans="1:8" ht="16" ns3:dyDescent="0.2">
      <c r="A2218" s="1" t="s">
        <v>10</v>
      </c>
      <c r="B2218"/>
    </row>
    <row r="2219" spans="1:8" ns3:dyDescent="0.2">
      <c r="A2219" t="s">
        <v>11</v>
      </c>
      <c r="B2219" t="s">
        <v>12</v>
      </c>
      <c r="C2219" t="s">
        <v>116</v>
      </c>
      <c r="D2219" t="s">
        <v>1</v>
      </c>
      <c r="E2219" t="s">
        <v>6</v>
      </c>
      <c r="F2219" t="s">
        <v>4</v>
      </c>
      <c r="G2219" t="s">
        <v>3</v>
      </c>
      <c r="H2219" t="s">
        <v>409</v>
      </c>
    </row>
    <row r="2220" spans="1:8" ns3:dyDescent="0.2">
      <c r="A2220" t="s">
        <v>417</v>
      </c>
      <c r="B2220">
        <v>1</v>
      </c>
      <c r="C2220" t="s">
        <v>410</v>
      </c>
      <c r="D2220" t="s">
        <v>103</v>
      </c>
      <c r="E2220" t="s">
        <v>6</v>
      </c>
      <c r="F2220" t="s">
        <v>15</v>
      </c>
      <c r="G2220" t="s">
        <v>417</v>
      </c>
      <c r="H2220" t="s">
        <v>411</v>
      </c>
    </row>
    <row r="2221" spans="1:8" ns3:dyDescent="0.2">
      <c r="A2221" t="s">
        <v>464</v>
      </c>
      <c r="B2221">
        <v>4.3</v>
      </c>
      <c r="C2221" t="s">
        <v>410</v>
      </c>
      <c r="D2221" t="s">
        <v>103</v>
      </c>
      <c r="E2221" t="s">
        <v>6</v>
      </c>
      <c r="F2221" t="s">
        <v>18</v>
      </c>
      <c r="G2221" t="s">
        <v>464</v>
      </c>
      <c r="H2221" t="s">
        <v>411</v>
      </c>
    </row>
    <row r="2222" spans="1:8" ns3:dyDescent="0.2">
      <c r="A2222" t="s">
        <v>467</v>
      </c>
      <c r="B2222">
        <v>1</v>
      </c>
      <c r="C2222" t="s">
        <v>410</v>
      </c>
      <c r="D2222" t="s">
        <v>103</v>
      </c>
      <c r="E2222" t="s">
        <v>6</v>
      </c>
      <c r="F2222" t="s">
        <v>18</v>
      </c>
      <c r="G2222" t="s">
        <v>467</v>
      </c>
      <c r="H2222" t="s">
        <v>411</v>
      </c>
    </row>
    <row r="2223" spans="1:8" ns3:dyDescent="0.2">
      <c r="A2223" t="s">
        <v>468</v>
      </c>
      <c r="B2223">
        <v>1</v>
      </c>
      <c r="C2223" t="s">
        <v>410</v>
      </c>
      <c r="D2223" t="s">
        <v>103</v>
      </c>
      <c r="E2223" t="s">
        <v>6</v>
      </c>
      <c r="F2223" t="s">
        <v>18</v>
      </c>
      <c r="G2223" t="s">
        <v>468</v>
      </c>
      <c r="H2223" t="s">
        <v>411</v>
      </c>
    </row>
    <row r="2224" spans="1:8" ns3:dyDescent="0.2">
      <c r="B2224"/>
    </row>
    <row r="2225">
      <c r="A2225" t="inlineStr">
        <is>
          <t>Activity</t>
        </is>
      </c>
      <c r="B2225" t="inlineStr">
        <is>
          <t>hydrogen, used in single deck coach or urban bus</t>
        </is>
      </c>
    </row>
    <row r="2226">
      <c r="A2226" t="inlineStr">
        <is>
          <t>comment</t>
        </is>
      </c>
      <c r="B2226"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2227">
      <c r="A2227" t="inlineStr">
        <is>
          <t>description</t>
        </is>
      </c>
      <c r="B222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228">
      <c r="A2228" t="inlineStr">
        <is>
          <t>location</t>
        </is>
      </c>
      <c r="B2228" t="inlineStr">
        <is>
          <t>CH</t>
        </is>
      </c>
    </row>
    <row r="2229">
      <c r="A2229" t="inlineStr">
        <is>
          <t>production amount</t>
        </is>
      </c>
      <c r="B2229">
        <v>1</v>
      </c>
    </row>
    <row r="2230">
      <c r="A2230" t="inlineStr">
        <is>
          <t>reference product</t>
        </is>
      </c>
      <c r="B2230" t="inlineStr">
        <is>
          <t>heat</t>
        </is>
      </c>
    </row>
    <row r="2231">
      <c r="A2231" t="inlineStr">
        <is>
          <t>source</t>
        </is>
      </c>
      <c r="B2231" t="inlineStr">
        <is>
          <t>Sacchi, R., Bauer, C., and Cox, B. Does size matter? The influence of size, load factor, range autonomy and application type on the Life Cycle Assessment of current and future trucks. 2021. Environmental Science and Technology.</t>
        </is>
      </c>
    </row>
    <row r="2232">
      <c r="A2232" t="inlineStr">
        <is>
          <t>type</t>
        </is>
      </c>
      <c r="B2232" t="inlineStr">
        <is>
          <t>process</t>
        </is>
      </c>
    </row>
    <row r="2233">
      <c r="A2233" t="inlineStr">
        <is>
          <t>unit</t>
        </is>
      </c>
      <c r="B2233" t="inlineStr">
        <is>
          <t>megajoule</t>
        </is>
      </c>
    </row>
    <row r="2234">
      <c r="A2234" t="inlineStr">
        <is>
          <t>energy use source</t>
        </is>
      </c>
      <c r="B2234"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2235">
      <c r="A2235" t="inlineStr">
        <is>
          <t>Exchanges</t>
        </is>
      </c>
    </row>
    <row r="2236">
      <c r="A2236" t="inlineStr">
        <is>
          <t>name</t>
        </is>
      </c>
      <c r="B2236" t="inlineStr">
        <is>
          <t>amount</t>
        </is>
      </c>
      <c r="C2236" t="inlineStr">
        <is>
          <t>location</t>
        </is>
      </c>
      <c r="D2236" t="inlineStr">
        <is>
          <t>unit</t>
        </is>
      </c>
      <c r="E2236" t="inlineStr">
        <is>
          <t>categories</t>
        </is>
      </c>
      <c r="F2236" t="inlineStr">
        <is>
          <t>type</t>
        </is>
      </c>
      <c r="G2236" t="inlineStr">
        <is>
          <t>reference product</t>
        </is>
      </c>
      <c r="H2236" t="inlineStr">
        <is>
          <t>comment</t>
        </is>
      </c>
      <c r="I2236" t="inlineStr">
        <is>
          <t>uncertainty type</t>
        </is>
      </c>
    </row>
    <row r="2237">
      <c r="A2237" t="inlineStr">
        <is>
          <t>hydrogen, used in single deck coach or urban bus</t>
        </is>
      </c>
      <c r="B2237">
        <v>1.0</v>
      </c>
      <c r="C2237" t="inlineStr">
        <is>
          <t>CH</t>
        </is>
      </c>
      <c r="D2237" t="inlineStr">
        <is>
          <t>megajoule</t>
        </is>
      </c>
      <c r="F2237" t="inlineStr">
        <is>
          <t>production</t>
        </is>
      </c>
      <c r="G2237" t="inlineStr">
        <is>
          <t>heat</t>
        </is>
      </c>
      <c r="I2237">
        <v>0</v>
      </c>
    </row>
    <row r="2238">
      <c r="A2238" t="inlineStr">
        <is>
          <t>market for hydrogen, gaseous, low pressure</t>
        </is>
      </c>
      <c r="B2238">
        <v>0.0012945987175919265</v>
      </c>
      <c r="C2238" t="inlineStr">
        <is>
          <t>CN</t>
        </is>
      </c>
      <c r="D2238" t="inlineStr">
        <is>
          <t>kilogram</t>
        </is>
      </c>
      <c r="F2238" t="inlineStr">
        <is>
          <t>technosphere</t>
        </is>
      </c>
      <c r="G2238" t="inlineStr">
        <is>
          <t>hydrogen, gaseous, low pressure</t>
        </is>
      </c>
      <c r="I2238">
        <v>0</v>
      </c>
    </row>
    <row r="2239">
      <c r="A2239" t="inlineStr">
        <is>
          <t>market for hydrogen, gaseous, low pressure</t>
        </is>
      </c>
      <c r="B2239">
        <v>0.005469534948887208</v>
      </c>
      <c r="C2239" t="inlineStr">
        <is>
          <t>RoW</t>
        </is>
      </c>
      <c r="D2239" t="inlineStr">
        <is>
          <t>kilogram</t>
        </is>
      </c>
      <c r="F2239" t="inlineStr">
        <is>
          <t>technosphere</t>
        </is>
      </c>
      <c r="G2239" t="inlineStr">
        <is>
          <t>hydrogen, gaseous, low pressure</t>
        </is>
      </c>
      <c r="I2239">
        <v>0</v>
      </c>
    </row>
    <row r="2240">
      <c r="A2240" t="inlineStr">
        <is>
          <t>market for hydrogen, gaseous, low pressure</t>
        </is>
      </c>
      <c r="B2240">
        <v>0.0007686670431839546</v>
      </c>
      <c r="C2240" t="inlineStr">
        <is>
          <t>RER</t>
        </is>
      </c>
      <c r="D2240" t="inlineStr">
        <is>
          <t>kilogram</t>
        </is>
      </c>
      <c r="F2240" t="inlineStr">
        <is>
          <t>technosphere</t>
        </is>
      </c>
      <c r="G2240" t="inlineStr">
        <is>
          <t>hydrogen, gaseous, low pressure</t>
        </is>
      </c>
      <c r="I2240">
        <v>0</v>
      </c>
    </row>
    <row r="2241">
      <c r="A2241" t="inlineStr">
        <is>
          <t>market for hydrogen, gaseous, low pressure</t>
        </is>
      </c>
      <c r="B2241">
        <v>0.000800532623670244</v>
      </c>
      <c r="C2241" t="inlineStr">
        <is>
          <t>US</t>
        </is>
      </c>
      <c r="D2241" t="inlineStr">
        <is>
          <t>kilogram</t>
        </is>
      </c>
      <c r="F2241" t="inlineStr">
        <is>
          <t>technosphere</t>
        </is>
      </c>
      <c r="G2241" t="inlineStr">
        <is>
          <t>hydrogen, gaseous, low pressure</t>
        </is>
      </c>
      <c r="I2241">
        <v>0</v>
      </c>
    </row>
    <row r="2242">
      <c r="A2242" t="inlineStr">
        <is>
          <t>1,1,1,2-Tetrafluoroethane</t>
        </is>
      </c>
      <c r="B2242">
        <v>2.1824945443381847e-06</v>
      </c>
      <c r="D2242" t="inlineStr">
        <is>
          <t>kilogram</t>
        </is>
      </c>
      <c r="E2242" t="inlineStr">
        <is>
          <t>air::unspecified</t>
        </is>
      </c>
      <c r="F2242" t="inlineStr">
        <is>
          <t>biosphere</t>
        </is>
      </c>
      <c r="I2242">
        <v>0</v>
      </c>
    </row>
    <row r="2243">
      <c r="A2243" t="inlineStr">
        <is>
          <t>market for battery capacity (MIX scenario)</t>
        </is>
      </c>
      <c r="B2243">
        <v>1.1048878630712064e-05</v>
      </c>
      <c r="C2243" t="inlineStr">
        <is>
          <t>GLO</t>
        </is>
      </c>
      <c r="D2243" t="inlineStr">
        <is>
          <t>kilowatt hour</t>
        </is>
      </c>
      <c r="F2243" t="inlineStr">
        <is>
          <t>technosphere</t>
        </is>
      </c>
      <c r="G2243" t="inlineStr">
        <is>
          <t>electricity storage capacity</t>
        </is>
      </c>
      <c r="H2243" t="inlineStr">
        <is>
          <t> Energy-use allocation: 81 * 1.428571428571429e-07 / 1.0472943868949744 MJ per person kilometer.</t>
        </is>
      </c>
      <c r="I2243">
        <v>0</v>
      </c>
    </row>
    <row r="2244">
      <c r="A2244" t="inlineStr">
        <is>
          <t>fuel tank, compressed hydrogen gas, 700bar, with HDPE liner</t>
        </is>
      </c>
      <c r="B2244">
        <v>3.630382158110171e-05</v>
      </c>
      <c r="C2244" t="inlineStr">
        <is>
          <t>RER</t>
        </is>
      </c>
      <c r="D2244" t="inlineStr">
        <is>
          <t>kilogram</t>
        </is>
      </c>
      <c r="F2244" t="inlineStr">
        <is>
          <t>technosphere</t>
        </is>
      </c>
      <c r="G2244" t="inlineStr">
        <is>
          <t>hydrogen tank</t>
        </is>
      </c>
      <c r="H2244" t="inlineStr">
        <is>
          <t> Energy-use allocation: 266.1455199530711 * 1.428571428571429e-07 / 1.0472943868949744 MJ per person kilometer.</t>
        </is>
      </c>
      <c r="I2244">
        <v>0</v>
      </c>
    </row>
    <row r="2245">
      <c r="A2245" t="inlineStr">
        <is>
          <t>fuel cell system assembly, 1 kWe, proton exchange membrane (PEM)</t>
        </is>
      </c>
      <c r="B2245">
        <v>2.522265960221538e-05</v>
      </c>
      <c r="C2245" t="inlineStr">
        <is>
          <t>GLO</t>
        </is>
      </c>
      <c r="D2245" t="inlineStr">
        <is>
          <t>unit</t>
        </is>
      </c>
      <c r="F2245" t="inlineStr">
        <is>
          <t>technosphere</t>
        </is>
      </c>
      <c r="G2245" t="inlineStr">
        <is>
          <t>fuel cell system, 1 kWe, proton exchange membrane (PEM)</t>
        </is>
      </c>
      <c r="H2245" t="inlineStr">
        <is>
          <t> Energy-use allocation: 184.9088487677395 * 1.428571428571429e-07 / 1.0472943868949744 MJ per person kilometer.</t>
        </is>
      </c>
      <c r="I2245">
        <v>0</v>
      </c>
    </row>
    <row r="2246">
      <c r="A2246" t="inlineStr">
        <is>
          <t>gearbox, for lorry</t>
        </is>
      </c>
      <c r="B2246">
        <v>2.1498662331044536e-05</v>
      </c>
      <c r="C2246" t="inlineStr">
        <is>
          <t>RER</t>
        </is>
      </c>
      <c r="D2246" t="inlineStr">
        <is>
          <t>kilogram</t>
        </is>
      </c>
      <c r="F2246" t="inlineStr">
        <is>
          <t>technosphere</t>
        </is>
      </c>
      <c r="G2246" t="inlineStr">
        <is>
          <t>gearbox, for lorry</t>
        </is>
      </c>
      <c r="H2246" t="inlineStr">
        <is>
          <t> Energy-use allocation: 157.6079986953735 * 1.428571428571429e-07 / 1.0472943868949744 MJ per person kilometer.</t>
        </is>
      </c>
      <c r="I2246">
        <v>0</v>
      </c>
    </row>
    <row r="2247">
      <c r="A2247" t="inlineStr">
        <is>
          <t>market for converter, for electric passenger car</t>
        </is>
      </c>
      <c r="B2247">
        <v>3.4101477255284147e-06</v>
      </c>
      <c r="C2247" t="inlineStr">
        <is>
          <t>GLO</t>
        </is>
      </c>
      <c r="D2247" t="inlineStr">
        <is>
          <t>kilogram</t>
        </is>
      </c>
      <c r="F2247" t="inlineStr">
        <is>
          <t>technosphere</t>
        </is>
      </c>
      <c r="G2247" t="inlineStr">
        <is>
          <t>converter, for electric passenger car</t>
        </is>
      </c>
      <c r="H2247" t="inlineStr">
        <is>
          <t> Energy-use allocation: 25 * 1.428571428571429e-07 / 1.0472943868949744 MJ per person kilometer.</t>
        </is>
      </c>
      <c r="I2247">
        <v>0</v>
      </c>
    </row>
    <row r="2248">
      <c r="A2248" t="inlineStr">
        <is>
          <t>market for electric motor, electric passenger car</t>
        </is>
      </c>
      <c r="B2248">
        <v>1.373481472971073e-05</v>
      </c>
      <c r="C2248" t="inlineStr">
        <is>
          <t>GLO</t>
        </is>
      </c>
      <c r="D2248" t="inlineStr">
        <is>
          <t>kilogram</t>
        </is>
      </c>
      <c r="F2248" t="inlineStr">
        <is>
          <t>technosphere</t>
        </is>
      </c>
      <c r="G2248" t="inlineStr">
        <is>
          <t>electric motor, electric passenger car</t>
        </is>
      </c>
      <c r="H2248" t="inlineStr">
        <is>
          <t> Energy-use allocation: 100.6907606002792 * 1.428571428571429e-07 / 1.0472943868949744 MJ per person kilometer.</t>
        </is>
      </c>
      <c r="I2248">
        <v>0</v>
      </c>
    </row>
    <row r="2249">
      <c r="A2249" t="inlineStr">
        <is>
          <t>market for inverter, for electric passenger car</t>
        </is>
      </c>
      <c r="B2249">
        <v>1.867004294153873e-06</v>
      </c>
      <c r="C2249" t="inlineStr">
        <is>
          <t>GLO</t>
        </is>
      </c>
      <c r="D2249" t="inlineStr">
        <is>
          <t>kilogram</t>
        </is>
      </c>
      <c r="F2249" t="inlineStr">
        <is>
          <t>technosphere</t>
        </is>
      </c>
      <c r="G2249" t="inlineStr">
        <is>
          <t>inverter, for electric passenger car</t>
        </is>
      </c>
      <c r="H2249" t="inlineStr">
        <is>
          <t> Energy-use allocation: 13.68712182303315 * 1.428571428571429e-07 / 1.0472943868949744 MJ per person kilometer.</t>
        </is>
      </c>
      <c r="I2249">
        <v>0</v>
      </c>
    </row>
    <row r="2250">
      <c r="A2250" t="inlineStr">
        <is>
          <t>market for power distribution unit, for electric passenger car</t>
        </is>
      </c>
      <c r="B2250">
        <v>4.910612724760918e-06</v>
      </c>
      <c r="C2250" t="inlineStr">
        <is>
          <t>GLO</t>
        </is>
      </c>
      <c r="D2250" t="inlineStr">
        <is>
          <t>kilogram</t>
        </is>
      </c>
      <c r="F2250" t="inlineStr">
        <is>
          <t>technosphere</t>
        </is>
      </c>
      <c r="G2250" t="inlineStr">
        <is>
          <t>power distribution unit, for electric passenger car</t>
        </is>
      </c>
      <c r="H2250" t="inlineStr">
        <is>
          <t> Energy-use allocation: 36 * 1.428571428571429e-07 / 1.0472943868949744 MJ per person kilometer.</t>
        </is>
      </c>
      <c r="I2250">
        <v>0</v>
      </c>
    </row>
    <row r="2251">
      <c r="A2251" t="inlineStr">
        <is>
          <t>power electronics, for lorry</t>
        </is>
      </c>
      <c r="B2251">
        <v>2.4962281350867997e-05</v>
      </c>
      <c r="C2251" t="inlineStr">
        <is>
          <t>RER</t>
        </is>
      </c>
      <c r="D2251" t="inlineStr">
        <is>
          <t>kilogram</t>
        </is>
      </c>
      <c r="F2251" t="inlineStr">
        <is>
          <t>technosphere</t>
        </is>
      </c>
      <c r="G2251" t="inlineStr">
        <is>
          <t>power electronics, for lorry</t>
        </is>
      </c>
      <c r="H2251" t="inlineStr">
        <is>
          <t> Energy-use allocation: 183 * 1.428571428571429e-07 / 1.0472943868949744 MJ per person kilometer.</t>
        </is>
      </c>
      <c r="I2251">
        <v>0</v>
      </c>
    </row>
    <row r="2252">
      <c r="A2252" t="inlineStr">
        <is>
          <t>retarder, for lorry</t>
        </is>
      </c>
      <c r="B2252">
        <v>7.166220777014846e-06</v>
      </c>
      <c r="C2252" t="inlineStr">
        <is>
          <t>RER</t>
        </is>
      </c>
      <c r="D2252" t="inlineStr">
        <is>
          <t>kilogram</t>
        </is>
      </c>
      <c r="F2252" t="inlineStr">
        <is>
          <t>technosphere</t>
        </is>
      </c>
      <c r="G2252" t="inlineStr">
        <is>
          <t>retarder, for lorry</t>
        </is>
      </c>
      <c r="H2252" t="inlineStr">
        <is>
          <t> Energy-use allocation: 52.53599956512451 * 1.428571428571429e-07 / 1.0472943868949744 MJ per person kilometer.</t>
        </is>
      </c>
      <c r="I2252">
        <v>0</v>
      </c>
    </row>
    <row r="2253">
      <c r="A2253" t="inlineStr">
        <is>
          <t>transmission, for lorry</t>
        </is>
      </c>
      <c r="B2253">
        <v>3.105362336706432e-05</v>
      </c>
      <c r="C2253" t="inlineStr">
        <is>
          <t>RER</t>
        </is>
      </c>
      <c r="D2253" t="inlineStr">
        <is>
          <t>kilogram</t>
        </is>
      </c>
      <c r="F2253" t="inlineStr">
        <is>
          <t>technosphere</t>
        </is>
      </c>
      <c r="G2253" t="inlineStr">
        <is>
          <t>transmission, for lorry</t>
        </is>
      </c>
      <c r="H2253" t="inlineStr">
        <is>
          <t> Energy-use allocation: 227.6559981155395 * 1.428571428571429e-07 / 1.0472943868949744 MJ per person kilometer.</t>
        </is>
      </c>
      <c r="I2253">
        <v>0</v>
      </c>
    </row>
    <row r="2254">
      <c r="A2254" t="inlineStr">
        <is>
          <t>market for refrigerant R134a</t>
        </is>
      </c>
      <c r="B2254">
        <v>3.2055388619967086e-06</v>
      </c>
      <c r="C2254" t="inlineStr">
        <is>
          <t>GLO</t>
        </is>
      </c>
      <c r="D2254" t="inlineStr">
        <is>
          <t>kilogram</t>
        </is>
      </c>
      <c r="F2254" t="inlineStr">
        <is>
          <t>technosphere</t>
        </is>
      </c>
      <c r="G2254" t="inlineStr">
        <is>
          <t>refrigerant R134a</t>
        </is>
      </c>
      <c r="I2254">
        <v>0</v>
      </c>
    </row>
    <row r="2255">
      <c r="A2255" t="inlineStr">
        <is>
          <t>treatment of brake wear emissions, lorry</t>
        </is>
      </c>
      <c r="B2255">
        <v>-4.30601059459193e-06</v>
      </c>
      <c r="C2255" t="inlineStr">
        <is>
          <t>RER</t>
        </is>
      </c>
      <c r="D2255" t="inlineStr">
        <is>
          <t>kilogram</t>
        </is>
      </c>
      <c r="F2255" t="inlineStr">
        <is>
          <t>technosphere</t>
        </is>
      </c>
      <c r="G2255" t="inlineStr">
        <is>
          <t>brake wear emissions, lorry</t>
        </is>
      </c>
      <c r="I2255">
        <v>0</v>
      </c>
    </row>
    <row r="2256">
      <c r="A2256" t="inlineStr">
        <is>
          <t>treatment of road wear emissions, lorry</t>
        </is>
      </c>
      <c r="B2256">
        <v>-7.685978760462684e-06</v>
      </c>
      <c r="C2256" t="inlineStr">
        <is>
          <t>RER</t>
        </is>
      </c>
      <c r="D2256" t="inlineStr">
        <is>
          <t>kilogram</t>
        </is>
      </c>
      <c r="F2256" t="inlineStr">
        <is>
          <t>technosphere</t>
        </is>
      </c>
      <c r="G2256" t="inlineStr">
        <is>
          <t>road wear emissions, lorry</t>
        </is>
      </c>
      <c r="I2256">
        <v>0</v>
      </c>
    </row>
    <row r="2257">
      <c r="A2257" t="inlineStr">
        <is>
          <t>treatment of tyre wear emissions, lorry</t>
        </is>
      </c>
      <c r="B2257">
        <v>-7.562223665570384e-06</v>
      </c>
      <c r="C2257" t="inlineStr">
        <is>
          <t>RER</t>
        </is>
      </c>
      <c r="D2257" t="inlineStr">
        <is>
          <t>kilogram</t>
        </is>
      </c>
      <c r="F2257" t="inlineStr">
        <is>
          <t>technosphere</t>
        </is>
      </c>
      <c r="G2257" t="inlineStr">
        <is>
          <t>tyre wear emissions, lorry</t>
        </is>
      </c>
      <c r="I2257">
        <v>0</v>
      </c>
    </row>
    <row r="2258"/>
    <row r="2259">
      <c r="A2259" t="inlineStr">
        <is>
          <t>Activity</t>
        </is>
      </c>
      <c r="B2259" t="inlineStr">
        <is>
          <t>electricity, used in single deck trolleybus</t>
        </is>
      </c>
    </row>
    <row r="2260">
      <c r="A2260" t="inlineStr">
        <is>
          <t>comment</t>
        </is>
      </c>
      <c r="B2260"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2261">
      <c r="A2261" t="inlineStr">
        <is>
          <t>description</t>
        </is>
      </c>
      <c r="B226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262">
      <c r="A2262" t="inlineStr">
        <is>
          <t>location</t>
        </is>
      </c>
      <c r="B2262" t="inlineStr">
        <is>
          <t>CH</t>
        </is>
      </c>
    </row>
    <row r="2263">
      <c r="A2263" t="inlineStr">
        <is>
          <t>production amount</t>
        </is>
      </c>
      <c r="B2263">
        <v>1</v>
      </c>
    </row>
    <row r="2264">
      <c r="A2264" t="inlineStr">
        <is>
          <t>reference product</t>
        </is>
      </c>
      <c r="B2264" t="inlineStr">
        <is>
          <t>electricity, low voltage</t>
        </is>
      </c>
    </row>
    <row r="2265">
      <c r="A2265" t="inlineStr">
        <is>
          <t>source</t>
        </is>
      </c>
      <c r="B2265" t="inlineStr">
        <is>
          <t>Sacchi, R., Bauer, C., and Cox, B. Does size matter? The influence of size, load factor, range autonomy and application type on the Life Cycle Assessment of current and future trucks. 2021. Environmental Science and Technology.</t>
        </is>
      </c>
    </row>
    <row r="2266">
      <c r="A2266" t="inlineStr">
        <is>
          <t>type</t>
        </is>
      </c>
      <c r="B2266" t="inlineStr">
        <is>
          <t>process</t>
        </is>
      </c>
    </row>
    <row r="2267">
      <c r="A2267" t="inlineStr">
        <is>
          <t>unit</t>
        </is>
      </c>
      <c r="B2267" t="inlineStr">
        <is>
          <t>megajoule</t>
        </is>
      </c>
    </row>
    <row r="2268">
      <c r="A2268" t="inlineStr">
        <is>
          <t>energy use source</t>
        </is>
      </c>
      <c r="B2268"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2269">
      <c r="A2269" t="inlineStr">
        <is>
          <t>Exchanges</t>
        </is>
      </c>
    </row>
    <row r="2270">
      <c r="A2270" t="inlineStr">
        <is>
          <t>name</t>
        </is>
      </c>
      <c r="B2270" t="inlineStr">
        <is>
          <t>amount</t>
        </is>
      </c>
      <c r="C2270" t="inlineStr">
        <is>
          <t>location</t>
        </is>
      </c>
      <c r="D2270" t="inlineStr">
        <is>
          <t>unit</t>
        </is>
      </c>
      <c r="E2270" t="inlineStr">
        <is>
          <t>categories</t>
        </is>
      </c>
      <c r="F2270" t="inlineStr">
        <is>
          <t>type</t>
        </is>
      </c>
      <c r="G2270" t="inlineStr">
        <is>
          <t>reference product</t>
        </is>
      </c>
      <c r="H2270" t="inlineStr">
        <is>
          <t>comment</t>
        </is>
      </c>
      <c r="I2270" t="inlineStr">
        <is>
          <t>uncertainty type</t>
        </is>
      </c>
    </row>
    <row r="2271">
      <c r="A2271" t="inlineStr">
        <is>
          <t>electricity, used in single deck trolleybus</t>
        </is>
      </c>
      <c r="B2271">
        <v>1.0</v>
      </c>
      <c r="C2271" t="inlineStr">
        <is>
          <t>CH</t>
        </is>
      </c>
      <c r="D2271" t="inlineStr">
        <is>
          <t>megajoule</t>
        </is>
      </c>
      <c r="F2271" t="inlineStr">
        <is>
          <t>production</t>
        </is>
      </c>
      <c r="G2271" t="inlineStr">
        <is>
          <t>electricity, low voltage</t>
        </is>
      </c>
      <c r="I2271">
        <v>0</v>
      </c>
    </row>
    <row r="2272">
      <c r="A2272" t="inlineStr">
        <is>
          <t>market group for electricity, low voltage</t>
        </is>
      </c>
      <c r="B2272">
        <v>0.2777777777777778</v>
      </c>
      <c r="C2272" t="inlineStr">
        <is>
          <t>RER</t>
        </is>
      </c>
      <c r="D2272" t="inlineStr">
        <is>
          <t>kilowatt hour</t>
        </is>
      </c>
      <c r="F2272" t="inlineStr">
        <is>
          <t>technosphere</t>
        </is>
      </c>
      <c r="G2272" t="inlineStr">
        <is>
          <t>electricity, low voltage</t>
        </is>
      </c>
      <c r="I2272">
        <v>0</v>
      </c>
    </row>
    <row r="2273">
      <c r="A2273" t="inlineStr">
        <is>
          <t>1,1,1,2-Tetrafluoroethane</t>
        </is>
      </c>
      <c r="B2273">
        <v>2.7728045255357786e-06</v>
      </c>
      <c r="D2273" t="inlineStr">
        <is>
          <t>kilogram</t>
        </is>
      </c>
      <c r="E2273" t="inlineStr">
        <is>
          <t>air::unspecified</t>
        </is>
      </c>
      <c r="F2273" t="inlineStr">
        <is>
          <t>biosphere</t>
        </is>
      </c>
      <c r="I2273">
        <v>0</v>
      </c>
    </row>
    <row r="2274">
      <c r="A2274" t="inlineStr">
        <is>
          <t>Catenary system</t>
        </is>
      </c>
      <c r="B2274">
        <v>1.443591356107065e-08</v>
      </c>
      <c r="C2274" t="inlineStr">
        <is>
          <t>RER</t>
        </is>
      </c>
      <c r="D2274" t="inlineStr">
        <is>
          <t>kilometer</t>
        </is>
      </c>
      <c r="F2274" t="inlineStr">
        <is>
          <t>technosphere</t>
        </is>
      </c>
      <c r="G2274" t="inlineStr">
        <is>
          <t>Catenary system</t>
        </is>
      </c>
      <c r="I2274">
        <v>0</v>
      </c>
    </row>
    <row r="2275">
      <c r="A2275" t="inlineStr">
        <is>
          <t>market for battery capacity, Li-ion, LTO</t>
        </is>
      </c>
      <c r="B2275">
        <v>2.25290367699782e-06</v>
      </c>
      <c r="C2275" t="inlineStr">
        <is>
          <t>GLO</t>
        </is>
      </c>
      <c r="D2275" t="inlineStr">
        <is>
          <t>kilowatt hour</t>
        </is>
      </c>
      <c r="F2275" t="inlineStr">
        <is>
          <t>technosphere</t>
        </is>
      </c>
      <c r="G2275" t="inlineStr">
        <is>
          <t>electricity storage capacity</t>
        </is>
      </c>
      <c r="H2275" t="inlineStr">
        <is>
          <t> Energy-use allocation: 13 * 1e-07 / 0.5770331032227517 MJ per person kilometer.</t>
        </is>
      </c>
      <c r="I2275">
        <v>0</v>
      </c>
    </row>
    <row r="2276">
      <c r="A2276" t="inlineStr">
        <is>
          <t>gearbox, for lorry</t>
        </is>
      </c>
      <c r="B2276">
        <v>2.7313510752698047e-05</v>
      </c>
      <c r="C2276" t="inlineStr">
        <is>
          <t>RER</t>
        </is>
      </c>
      <c r="D2276" t="inlineStr">
        <is>
          <t>kilogram</t>
        </is>
      </c>
      <c r="F2276" t="inlineStr">
        <is>
          <t>technosphere</t>
        </is>
      </c>
      <c r="G2276" t="inlineStr">
        <is>
          <t>gearbox, for lorry</t>
        </is>
      </c>
      <c r="H2276" t="inlineStr">
        <is>
          <t> Energy-use allocation: 157.6079986953735 * 1e-07 / 0.5770331032227517 MJ per person kilometer.</t>
        </is>
      </c>
      <c r="I2276">
        <v>0</v>
      </c>
    </row>
    <row r="2277">
      <c r="A2277" t="inlineStr">
        <is>
          <t>market for converter, for electric passenger car</t>
        </is>
      </c>
      <c r="B2277">
        <v>4.332507071149654e-06</v>
      </c>
      <c r="C2277" t="inlineStr">
        <is>
          <t>GLO</t>
        </is>
      </c>
      <c r="D2277" t="inlineStr">
        <is>
          <t>kilogram</t>
        </is>
      </c>
      <c r="F2277" t="inlineStr">
        <is>
          <t>technosphere</t>
        </is>
      </c>
      <c r="G2277" t="inlineStr">
        <is>
          <t>converter, for electric passenger car</t>
        </is>
      </c>
      <c r="H2277" t="inlineStr">
        <is>
          <t> Energy-use allocation: 25 * 1e-07 / 0.5770331032227517 MJ per person kilometer.</t>
        </is>
      </c>
      <c r="I2277">
        <v>0</v>
      </c>
    </row>
    <row r="2278">
      <c r="A2278" t="inlineStr">
        <is>
          <t>market for electric motor, electric passenger car</t>
        </is>
      </c>
      <c r="B2278">
        <v>1.5106321069400454e-05</v>
      </c>
      <c r="C2278" t="inlineStr">
        <is>
          <t>GLO</t>
        </is>
      </c>
      <c r="D2278" t="inlineStr">
        <is>
          <t>kilogram</t>
        </is>
      </c>
      <c r="F2278" t="inlineStr">
        <is>
          <t>technosphere</t>
        </is>
      </c>
      <c r="G2278" t="inlineStr">
        <is>
          <t>electric motor, electric passenger car</t>
        </is>
      </c>
      <c r="H2278" t="inlineStr">
        <is>
          <t> Energy-use allocation: 87.16847324955381 * 1e-07 / 0.5770331032227517 MJ per person kilometer.</t>
        </is>
      </c>
      <c r="I2278">
        <v>0</v>
      </c>
    </row>
    <row r="2279">
      <c r="A2279" t="inlineStr">
        <is>
          <t>market for inverter, for electric passenger car</t>
        </is>
      </c>
      <c r="B2279">
        <v>2.202165579201585e-06</v>
      </c>
      <c r="C2279" t="inlineStr">
        <is>
          <t>GLO</t>
        </is>
      </c>
      <c r="D2279" t="inlineStr">
        <is>
          <t>kilogram</t>
        </is>
      </c>
      <c r="F2279" t="inlineStr">
        <is>
          <t>technosphere</t>
        </is>
      </c>
      <c r="G2279" t="inlineStr">
        <is>
          <t>inverter, for electric passenger car</t>
        </is>
      </c>
      <c r="H2279" t="inlineStr">
        <is>
          <t> Energy-use allocation: 12.70722437977019 * 1e-07 / 0.5770331032227517 MJ per person kilometer.</t>
        </is>
      </c>
      <c r="I2279">
        <v>0</v>
      </c>
    </row>
    <row r="2280">
      <c r="A2280" t="inlineStr">
        <is>
          <t>market for power distribution unit, for electric passenger car</t>
        </is>
      </c>
      <c r="B2280">
        <v>6.2388101824555015e-06</v>
      </c>
      <c r="C2280" t="inlineStr">
        <is>
          <t>GLO</t>
        </is>
      </c>
      <c r="D2280" t="inlineStr">
        <is>
          <t>kilogram</t>
        </is>
      </c>
      <c r="F2280" t="inlineStr">
        <is>
          <t>technosphere</t>
        </is>
      </c>
      <c r="G2280" t="inlineStr">
        <is>
          <t>power distribution unit, for electric passenger car</t>
        </is>
      </c>
      <c r="H2280" t="inlineStr">
        <is>
          <t> Energy-use allocation: 36 * 1e-07 / 0.5770331032227517 MJ per person kilometer.</t>
        </is>
      </c>
      <c r="I2280">
        <v>0</v>
      </c>
    </row>
    <row r="2281">
      <c r="A2281" t="inlineStr">
        <is>
          <t>power electronics, for lorry</t>
        </is>
      </c>
      <c r="B2281">
        <v>3.171395176081547e-05</v>
      </c>
      <c r="C2281" t="inlineStr">
        <is>
          <t>RER</t>
        </is>
      </c>
      <c r="D2281" t="inlineStr">
        <is>
          <t>kilogram</t>
        </is>
      </c>
      <c r="F2281" t="inlineStr">
        <is>
          <t>technosphere</t>
        </is>
      </c>
      <c r="G2281" t="inlineStr">
        <is>
          <t>power electronics, for lorry</t>
        </is>
      </c>
      <c r="H2281" t="inlineStr">
        <is>
          <t> Energy-use allocation: 183 * 1e-07 / 0.5770331032227517 MJ per person kilometer.</t>
        </is>
      </c>
      <c r="I2281">
        <v>0</v>
      </c>
    </row>
    <row r="2282">
      <c r="A2282" t="inlineStr">
        <is>
          <t>retarder, for lorry</t>
        </is>
      </c>
      <c r="B2282">
        <v>9.104503584232683e-06</v>
      </c>
      <c r="C2282" t="inlineStr">
        <is>
          <t>RER</t>
        </is>
      </c>
      <c r="D2282" t="inlineStr">
        <is>
          <t>kilogram</t>
        </is>
      </c>
      <c r="F2282" t="inlineStr">
        <is>
          <t>technosphere</t>
        </is>
      </c>
      <c r="G2282" t="inlineStr">
        <is>
          <t>retarder, for lorry</t>
        </is>
      </c>
      <c r="H2282" t="inlineStr">
        <is>
          <t> Energy-use allocation: 52.53599956512451 * 1e-07 / 0.5770331032227517 MJ per person kilometer.</t>
        </is>
      </c>
      <c r="I2282">
        <v>0</v>
      </c>
    </row>
    <row r="2283">
      <c r="A2283" t="inlineStr">
        <is>
          <t>transmission, for lorry</t>
        </is>
      </c>
      <c r="B2283">
        <v>3.945284886500829e-05</v>
      </c>
      <c r="C2283" t="inlineStr">
        <is>
          <t>RER</t>
        </is>
      </c>
      <c r="D2283" t="inlineStr">
        <is>
          <t>kilogram</t>
        </is>
      </c>
      <c r="F2283" t="inlineStr">
        <is>
          <t>technosphere</t>
        </is>
      </c>
      <c r="G2283" t="inlineStr">
        <is>
          <t>transmission, for lorry</t>
        </is>
      </c>
      <c r="H2283" t="inlineStr">
        <is>
          <t> Energy-use allocation: 227.6559981155395 * 1e-07 / 0.5770331032227517 MJ per person kilometer.</t>
        </is>
      </c>
      <c r="I2283">
        <v>0</v>
      </c>
    </row>
    <row r="2284">
      <c r="A2284" t="inlineStr">
        <is>
          <t>market for refrigerant R134a</t>
        </is>
      </c>
      <c r="B2284">
        <v>4.072556646880675e-06</v>
      </c>
      <c r="C2284" t="inlineStr">
        <is>
          <t>GLO</t>
        </is>
      </c>
      <c r="D2284" t="inlineStr">
        <is>
          <t>kilogram</t>
        </is>
      </c>
      <c r="F2284" t="inlineStr">
        <is>
          <t>technosphere</t>
        </is>
      </c>
      <c r="G2284" t="inlineStr">
        <is>
          <t>refrigerant R134a</t>
        </is>
      </c>
      <c r="I2284">
        <v>0</v>
      </c>
    </row>
    <row r="2285">
      <c r="A2285" t="inlineStr">
        <is>
          <t>treatment of brake wear emissions, lorry</t>
        </is>
      </c>
      <c r="B2285">
        <v>-7.430982091970633e-06</v>
      </c>
      <c r="C2285" t="inlineStr">
        <is>
          <t>RER</t>
        </is>
      </c>
      <c r="D2285" t="inlineStr">
        <is>
          <t>kilogram</t>
        </is>
      </c>
      <c r="F2285" t="inlineStr">
        <is>
          <t>technosphere</t>
        </is>
      </c>
      <c r="G2285" t="inlineStr">
        <is>
          <t>brake wear emissions, lorry</t>
        </is>
      </c>
      <c r="I2285">
        <v>0</v>
      </c>
    </row>
    <row r="2286">
      <c r="A2286" t="inlineStr">
        <is>
          <t>treatment of road wear emissions, lorry</t>
        </is>
      </c>
      <c r="B2286">
        <v>-1.3109941475499826e-05</v>
      </c>
      <c r="C2286" t="inlineStr">
        <is>
          <t>RER</t>
        </is>
      </c>
      <c r="D2286" t="inlineStr">
        <is>
          <t>kilogram</t>
        </is>
      </c>
      <c r="F2286" t="inlineStr">
        <is>
          <t>technosphere</t>
        </is>
      </c>
      <c r="G2286" t="inlineStr">
        <is>
          <t>road wear emissions, lorry</t>
        </is>
      </c>
      <c r="I2286">
        <v>0</v>
      </c>
    </row>
    <row r="2287">
      <c r="A2287" t="inlineStr">
        <is>
          <t>treatment of tyre wear emissions, lorry</t>
        </is>
      </c>
      <c r="B2287">
        <v>-1.3030412942614006e-05</v>
      </c>
      <c r="C2287" t="inlineStr">
        <is>
          <t>RER</t>
        </is>
      </c>
      <c r="D2287" t="inlineStr">
        <is>
          <t>kilogram</t>
        </is>
      </c>
      <c r="F2287" t="inlineStr">
        <is>
          <t>technosphere</t>
        </is>
      </c>
      <c r="G2287" t="inlineStr">
        <is>
          <t>tyre wear emissions, lorry</t>
        </is>
      </c>
      <c r="I2287">
        <v>0</v>
      </c>
    </row>
    <row r="2288"/>
    <row r="2289">
      <c r="A2289" t="inlineStr">
        <is>
          <t>Activity</t>
        </is>
      </c>
      <c r="B2289" t="inlineStr">
        <is>
          <t>electricity, used in tram</t>
        </is>
      </c>
    </row>
    <row r="2290">
      <c r="A2290" t="inlineStr">
        <is>
          <t>location</t>
        </is>
      </c>
      <c r="B2290" t="inlineStr">
        <is>
          <t>CH</t>
        </is>
      </c>
    </row>
    <row r="2291">
      <c r="A2291" t="inlineStr">
        <is>
          <t>reference product</t>
        </is>
      </c>
      <c r="B2291" t="inlineStr">
        <is>
          <t>electricity, low voltage</t>
        </is>
      </c>
    </row>
    <row r="2292">
      <c r="A2292" t="inlineStr">
        <is>
          <t>type</t>
        </is>
      </c>
      <c r="B2292" t="inlineStr">
        <is>
          <t>process</t>
        </is>
      </c>
    </row>
    <row r="2293">
      <c r="A2293" t="inlineStr">
        <is>
          <t>unit</t>
        </is>
      </c>
      <c r="B2293" t="inlineStr">
        <is>
          <t>megajoule</t>
        </is>
      </c>
    </row>
    <row r="2294">
      <c r="A2294" t="inlineStr">
        <is>
          <t>energy use source</t>
        </is>
      </c>
      <c r="B2294"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["market for electric motor, electric passenger car", "electric motor, electric passenger car",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2295">
      <c r="A2295" t="inlineStr">
        <is>
          <t>comment</t>
        </is>
      </c>
      <c r="B2295"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2296">
      <c r="A2296" t="inlineStr">
        <is>
          <t>Exchanges</t>
        </is>
      </c>
    </row>
    <row r="2297">
      <c r="A2297" t="inlineStr">
        <is>
          <t>name</t>
        </is>
      </c>
      <c r="B2297" t="inlineStr">
        <is>
          <t>amount</t>
        </is>
      </c>
      <c r="C2297" t="inlineStr">
        <is>
          <t>location</t>
        </is>
      </c>
      <c r="D2297" t="inlineStr">
        <is>
          <t>unit</t>
        </is>
      </c>
      <c r="E2297" t="inlineStr">
        <is>
          <t>categories</t>
        </is>
      </c>
      <c r="F2297" t="inlineStr">
        <is>
          <t>type</t>
        </is>
      </c>
      <c r="G2297" t="inlineStr">
        <is>
          <t>reference product</t>
        </is>
      </c>
      <c r="H2297" t="inlineStr">
        <is>
          <t>comment</t>
        </is>
      </c>
      <c r="I2297" t="inlineStr">
        <is>
          <t>uncertainty type</t>
        </is>
      </c>
    </row>
    <row r="2298">
      <c r="A2298" t="inlineStr">
        <is>
          <t>electricity, used in tram</t>
        </is>
      </c>
      <c r="B2298">
        <v>1.0</v>
      </c>
      <c r="C2298" t="inlineStr">
        <is>
          <t>CH</t>
        </is>
      </c>
      <c r="D2298" t="inlineStr">
        <is>
          <t>megajoule</t>
        </is>
      </c>
      <c r="F2298" t="inlineStr">
        <is>
          <t>production</t>
        </is>
      </c>
      <c r="G2298" t="inlineStr">
        <is>
          <t>electricity, low voltage</t>
        </is>
      </c>
      <c r="I2298">
        <v>0</v>
      </c>
    </row>
    <row r="2299">
      <c r="A2299" t="inlineStr">
        <is>
          <t>market group for electricity, high voltage</t>
        </is>
      </c>
      <c r="B2299">
        <v>0.27777777777777773</v>
      </c>
      <c r="C2299" t="inlineStr">
        <is>
          <t>Europe without Switzerland</t>
        </is>
      </c>
      <c r="D2299" t="inlineStr">
        <is>
          <t>kilowatt hour</t>
        </is>
      </c>
      <c r="F2299" t="inlineStr">
        <is>
          <t>technosphere</t>
        </is>
      </c>
      <c r="G2299" t="inlineStr">
        <is>
          <t>electricity, high voltage</t>
        </is>
      </c>
      <c r="H229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2299">
        <v>0</v>
      </c>
    </row>
    <row r="2300">
      <c r="A2300" t="inlineStr">
        <is>
          <t>market for diesel</t>
        </is>
      </c>
      <c r="B2300">
        <v>0.003188710842490739</v>
      </c>
      <c r="C2300" t="inlineStr">
        <is>
          <t>Europe without Switzerland</t>
        </is>
      </c>
      <c r="D2300" t="inlineStr">
        <is>
          <t>kilogram</t>
        </is>
      </c>
      <c r="F2300" t="inlineStr">
        <is>
          <t>technosphere</t>
        </is>
      </c>
      <c r="G2300" t="inlineStr">
        <is>
          <t>diesel</t>
        </is>
      </c>
      <c r="H2300"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2300">
        <v>0</v>
      </c>
    </row>
    <row r="2301">
      <c r="A2301" t="inlineStr">
        <is>
          <t>market for transformer, high voltage use</t>
        </is>
      </c>
      <c r="B2301">
        <v>1.0214001325676948e-05</v>
      </c>
      <c r="C2301" t="inlineStr">
        <is>
          <t>GLO</t>
        </is>
      </c>
      <c r="D2301" t="inlineStr">
        <is>
          <t>kilogram</t>
        </is>
      </c>
      <c r="F2301" t="inlineStr">
        <is>
          <t>technosphere</t>
        </is>
      </c>
      <c r="G2301" t="inlineStr">
        <is>
          <t>transformer, high voltage use</t>
        </is>
      </c>
      <c r="H2301"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2301">
        <v>0</v>
      </c>
    </row>
    <row r="2302">
      <c r="A2302" t="inlineStr">
        <is>
          <t>market for electric motor, electric passenger car</t>
        </is>
      </c>
      <c r="B2302">
        <v>1.2424244235495565e-05</v>
      </c>
      <c r="C2302" t="inlineStr">
        <is>
          <t>GLO</t>
        </is>
      </c>
      <c r="D2302" t="inlineStr">
        <is>
          <t>kilogram</t>
        </is>
      </c>
      <c r="F2302" t="inlineStr">
        <is>
          <t>technosphere</t>
        </is>
      </c>
      <c r="G2302" t="inlineStr">
        <is>
          <t>electric motor, electric passenger car</t>
        </is>
      </c>
      <c r="H2302"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2302">
        <v>0</v>
      </c>
    </row>
    <row r="2303">
      <c r="A2303" t="inlineStr">
        <is>
          <t>market for converter, for electric passenger car</t>
        </is>
      </c>
      <c r="B2303">
        <v>3.4694115978364936e-05</v>
      </c>
      <c r="C2303" t="inlineStr">
        <is>
          <t>GLO</t>
        </is>
      </c>
      <c r="D2303" t="inlineStr">
        <is>
          <t>kilogram</t>
        </is>
      </c>
      <c r="F2303" t="inlineStr">
        <is>
          <t>technosphere</t>
        </is>
      </c>
      <c r="G2303" t="inlineStr">
        <is>
          <t>converter, for electric passenger car</t>
        </is>
      </c>
      <c r="H2303"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2303">
        <v>0</v>
      </c>
    </row>
    <row r="2304">
      <c r="A2304" t="inlineStr">
        <is>
          <t>Ammonia</t>
        </is>
      </c>
      <c r="B2304">
        <v>6.377421684981479e-08</v>
      </c>
      <c r="D2304" t="inlineStr">
        <is>
          <t>kilogram</t>
        </is>
      </c>
      <c r="E2304" t="inlineStr">
        <is>
          <t>air</t>
        </is>
      </c>
      <c r="F2304" t="inlineStr">
        <is>
          <t>biosphere</t>
        </is>
      </c>
      <c r="H2304" t="inlineStr">
        <is>
          <t>2.0E-05 kg/kg fuel for diesel locomotives, according to Spielmann et al. (2007)
Spielmann, M., Bauer, C., Dones, R., Institut, P. S., &amp; Tuchschmid, M. (2007). Transport Services. Swiss Centre for Life Cycle Inventories, ecoinvent report No. 14.</t>
        </is>
      </c>
      <c r="I2304">
        <v>0</v>
      </c>
    </row>
    <row r="2305">
      <c r="A2305" t="inlineStr">
        <is>
          <t>Benzene</t>
        </is>
      </c>
      <c r="B2305">
        <v>3.1887108424907397e-07</v>
      </c>
      <c r="D2305" t="inlineStr">
        <is>
          <t>kilogram</t>
        </is>
      </c>
      <c r="E2305" t="inlineStr">
        <is>
          <t>air</t>
        </is>
      </c>
      <c r="F2305" t="inlineStr">
        <is>
          <t>biosphere</t>
        </is>
      </c>
      <c r="H2305" t="inlineStr">
        <is>
          <t>1.0E-04 kg/kg fuel for diesel locomotives, according to Spielmann et al. (2007)
Spielmann, M., Bauer, C., Dones, R., Institut, P. S., &amp; Tuchschmid, M. (2007). Transport Services. Swiss Centre for Life Cycle Inventories, ecoinvent report No. 14.</t>
        </is>
      </c>
      <c r="I2305">
        <v>0</v>
      </c>
    </row>
    <row r="2306">
      <c r="A2306" t="inlineStr">
        <is>
          <t>Cadmium II</t>
        </is>
      </c>
      <c r="B2306">
        <v>3.1887108424907394e-11</v>
      </c>
      <c r="D2306" t="inlineStr">
        <is>
          <t>kilogram</t>
        </is>
      </c>
      <c r="E2306" t="inlineStr">
        <is>
          <t>air</t>
        </is>
      </c>
      <c r="F2306" t="inlineStr">
        <is>
          <t>biosphere</t>
        </is>
      </c>
      <c r="H2306" t="inlineStr">
        <is>
          <t>1.0E-08 kg/kg fuel for diesel locomotives, according to Spielmann et al. (2007)
Spielmann, M., Bauer, C., Dones, R., Institut, P. S., &amp; Tuchschmid, M. (2007). Transport Services. Swiss Centre for Life Cycle Inventories, ecoinvent report No. 14.</t>
        </is>
      </c>
      <c r="I2306">
        <v>0</v>
      </c>
    </row>
    <row r="2307">
      <c r="A2307" t="inlineStr">
        <is>
          <t>Carbon dioxide, fossil</t>
        </is>
      </c>
      <c r="B2307">
        <v>0.010031684310475865</v>
      </c>
      <c r="D2307" t="inlineStr">
        <is>
          <t>kilogram</t>
        </is>
      </c>
      <c r="E2307" t="inlineStr">
        <is>
          <t>air</t>
        </is>
      </c>
      <c r="F2307" t="inlineStr">
        <is>
          <t>biosphere</t>
        </is>
      </c>
      <c r="H2307" t="inlineStr">
        <is>
          <t>3.146 kg/kg fuel for diesel locomotives, according to Spielmann et al. (2007)
Spielmann, M., Bauer, C., Dones, R., Institut, P. S., &amp; Tuchschmid, M. (2007). Transport Services. Swiss Centre for Life Cycle Inventories, ecoinvent report No. 14.</t>
        </is>
      </c>
      <c r="I2307">
        <v>0</v>
      </c>
    </row>
    <row r="2308">
      <c r="A2308" t="inlineStr">
        <is>
          <t>Carbon monoxide, fossil</t>
        </is>
      </c>
      <c r="B2308">
        <v>5.038163131135368e-05</v>
      </c>
      <c r="D2308" t="inlineStr">
        <is>
          <t>kilogram</t>
        </is>
      </c>
      <c r="E2308" t="inlineStr">
        <is>
          <t>air</t>
        </is>
      </c>
      <c r="F2308" t="inlineStr">
        <is>
          <t>biosphere</t>
        </is>
      </c>
      <c r="H2308" t="inlineStr">
        <is>
          <t>1.58E-02 kg/kg fuel for diesel locomotives, according to Spielmann et al. (2007)
Spielmann, M., Bauer, C., Dones, R., Institut, P. S., &amp; Tuchschmid, M. (2007). Transport Services. Swiss Centre for Life Cycle Inventories, ecoinvent report No. 14.</t>
        </is>
      </c>
      <c r="I2308">
        <v>0</v>
      </c>
    </row>
    <row r="2309">
      <c r="A2309" t="inlineStr">
        <is>
          <t>Chromium III</t>
        </is>
      </c>
      <c r="B2309">
        <v>1.5943554212453697e-10</v>
      </c>
      <c r="D2309" t="inlineStr">
        <is>
          <t>kilogram</t>
        </is>
      </c>
      <c r="E2309" t="inlineStr">
        <is>
          <t>air</t>
        </is>
      </c>
      <c r="F2309" t="inlineStr">
        <is>
          <t>biosphere</t>
        </is>
      </c>
      <c r="H2309" t="inlineStr">
        <is>
          <t>5.0E-08 kg/kg fuel for diesel locomotives, according to Spielmann et al. (2007)
Spielmann, M., Bauer, C., Dones, R., Institut, P. S., &amp; Tuchschmid, M. (2007). Transport Services. Swiss Centre for Life Cycle Inventories, ecoinvent report No. 14.</t>
        </is>
      </c>
      <c r="I2309">
        <v>0</v>
      </c>
    </row>
    <row r="2310">
      <c r="A2310" t="inlineStr">
        <is>
          <t>Copper ion</t>
        </is>
      </c>
      <c r="B2310">
        <v>5.420808432234257e-09</v>
      </c>
      <c r="D2310" t="inlineStr">
        <is>
          <t>kilogram</t>
        </is>
      </c>
      <c r="E2310" t="inlineStr">
        <is>
          <t>air</t>
        </is>
      </c>
      <c r="F2310" t="inlineStr">
        <is>
          <t>biosphere</t>
        </is>
      </c>
      <c r="H2310" t="inlineStr">
        <is>
          <t>1.7E-06 kg/kg fuel for diesel locomotives, according to Spielmann et al. (2007)
Spielmann, M., Bauer, C., Dones, R., Institut, P. S., &amp; Tuchschmid, M. (2007). Transport Services. Swiss Centre for Life Cycle Inventories, ecoinvent report No. 14.</t>
        </is>
      </c>
      <c r="I2310">
        <v>0</v>
      </c>
    </row>
    <row r="2311">
      <c r="A2311" t="inlineStr">
        <is>
          <t>Dinitrogen monoxide</t>
        </is>
      </c>
      <c r="B2311">
        <v>3.1887108424907397e-07</v>
      </c>
      <c r="D2311" t="inlineStr">
        <is>
          <t>kilogram</t>
        </is>
      </c>
      <c r="E2311" t="inlineStr">
        <is>
          <t>air</t>
        </is>
      </c>
      <c r="F2311" t="inlineStr">
        <is>
          <t>biosphere</t>
        </is>
      </c>
      <c r="H2311" t="inlineStr">
        <is>
          <t>1.0E-04 kg/kg fuel for diesel locomotives, according to Spielmann et al. (2007)
Spielmann, M., Bauer, C., Dones, R., Institut, P. S., &amp; Tuchschmid, M. (2007). Transport Services. Swiss Centre for Life Cycle Inventories, ecoinvent report No. 14.</t>
        </is>
      </c>
      <c r="I2311">
        <v>0</v>
      </c>
    </row>
    <row r="2312">
      <c r="A2312" t="inlineStr">
        <is>
          <t>Iron ion</t>
        </is>
      </c>
      <c r="B2312">
        <v>5.840474807516273e-05</v>
      </c>
      <c r="D2312" t="inlineStr">
        <is>
          <t>kilogram</t>
        </is>
      </c>
      <c r="E2312" t="inlineStr">
        <is>
          <t>soil</t>
        </is>
      </c>
      <c r="F2312" t="inlineStr">
        <is>
          <t>biosphere</t>
        </is>
      </c>
      <c r="H231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2312">
        <v>0</v>
      </c>
    </row>
    <row r="2313">
      <c r="A2313" t="inlineStr">
        <is>
          <t>Lead II</t>
        </is>
      </c>
      <c r="B2313">
        <v>3.5075819267398133e-13</v>
      </c>
      <c r="D2313" t="inlineStr">
        <is>
          <t>kilogram</t>
        </is>
      </c>
      <c r="E2313" t="inlineStr">
        <is>
          <t>air</t>
        </is>
      </c>
      <c r="F2313" t="inlineStr">
        <is>
          <t>biosphere</t>
        </is>
      </c>
      <c r="H2313" t="inlineStr">
        <is>
          <t>1.1E-10 kg/kg fuel for diesel locomotives, according to Spielmann et al. (2007)
Spielmann, M., Bauer, C., Dones, R., Institut, P. S., &amp; Tuchschmid, M. (2007). Transport Services. Swiss Centre for Life Cycle Inventories, ecoinvent report No. 14.</t>
        </is>
      </c>
      <c r="I2313">
        <v>0</v>
      </c>
    </row>
    <row r="2314">
      <c r="A2314" t="inlineStr">
        <is>
          <t>Mercury II</t>
        </is>
      </c>
      <c r="B2314">
        <v>6.377421684981477e-14</v>
      </c>
      <c r="D2314" t="inlineStr">
        <is>
          <t>kilogram</t>
        </is>
      </c>
      <c r="E2314" t="inlineStr">
        <is>
          <t>air</t>
        </is>
      </c>
      <c r="F2314" t="inlineStr">
        <is>
          <t>biosphere</t>
        </is>
      </c>
      <c r="H2314" t="inlineStr">
        <is>
          <t>2.0E-11 kg/kg fuel for diesel locomotives, according to Spielmann et al. (2007)
Spielmann, M., Bauer, C., Dones, R., Institut, P. S., &amp; Tuchschmid, M. (2007). Transport Services. Swiss Centre for Life Cycle Inventories, ecoinvent report No. 14.</t>
        </is>
      </c>
      <c r="I2314">
        <v>0</v>
      </c>
    </row>
    <row r="2315">
      <c r="A2315" t="inlineStr">
        <is>
          <t>Methane, fossil</t>
        </is>
      </c>
      <c r="B2315">
        <v>4.1453240952379607e-07</v>
      </c>
      <c r="D2315" t="inlineStr">
        <is>
          <t>kilogram</t>
        </is>
      </c>
      <c r="E2315" t="inlineStr">
        <is>
          <t>air</t>
        </is>
      </c>
      <c r="F2315" t="inlineStr">
        <is>
          <t>biosphere</t>
        </is>
      </c>
      <c r="H2315" t="inlineStr">
        <is>
          <t>1.3E-04 kg/kg fuel for diesel locomotives, according to Spielmann et al. (2007)
Spielmann, M., Bauer, C., Dones, R., Institut, P. S., &amp; Tuchschmid, M. (2007). Transport Services. Swiss Centre for Life Cycle Inventories, ecoinvent report No. 14.</t>
        </is>
      </c>
      <c r="I2315">
        <v>0</v>
      </c>
    </row>
    <row r="2316">
      <c r="A2316" t="inlineStr">
        <is>
          <t>NMVOC, non-methane volatile organic compounds</t>
        </is>
      </c>
      <c r="B2316">
        <v>1.6740731923076382e-05</v>
      </c>
      <c r="D2316" t="inlineStr">
        <is>
          <t>kilogram</t>
        </is>
      </c>
      <c r="E2316" t="inlineStr">
        <is>
          <t>air</t>
        </is>
      </c>
      <c r="F2316" t="inlineStr">
        <is>
          <t>biosphere</t>
        </is>
      </c>
      <c r="H2316" t="inlineStr">
        <is>
          <t>5.25E-03 kg/kg fuel for diesel locomotives, according to Spielmann et al. (2007)
Spielmann, M., Bauer, C., Dones, R., Institut, P. S., &amp; Tuchschmid, M. (2007). Transport Services. Swiss Centre for Life Cycle Inventories, ecoinvent report No. 14.</t>
        </is>
      </c>
      <c r="I2316">
        <v>0</v>
      </c>
    </row>
    <row r="2317">
      <c r="A2317" t="inlineStr">
        <is>
          <t>Nickel II</t>
        </is>
      </c>
      <c r="B2317">
        <v>2.2320975897435179e-10</v>
      </c>
      <c r="D2317" t="inlineStr">
        <is>
          <t>kilogram</t>
        </is>
      </c>
      <c r="E2317" t="inlineStr">
        <is>
          <t>air</t>
        </is>
      </c>
      <c r="F2317" t="inlineStr">
        <is>
          <t>biosphere</t>
        </is>
      </c>
      <c r="H2317" t="inlineStr">
        <is>
          <t>7.0E-08 kg/kg fuel for diesel locomotives, according to Spielmann et al. (2007)
Spielmann, M., Bauer, C., Dones, R., Institut, P. S., &amp; Tuchschmid, M. (2007). Transport Services. Swiss Centre for Life Cycle Inventories, ecoinvent report No. 14.</t>
        </is>
      </c>
      <c r="I2317">
        <v>0</v>
      </c>
    </row>
    <row r="2318">
      <c r="A2318" t="inlineStr">
        <is>
          <t>Nitrogen oxides</t>
        </is>
      </c>
      <c r="B2318">
        <v>0.00017537909633699066</v>
      </c>
      <c r="D2318" t="inlineStr">
        <is>
          <t>kilogram</t>
        </is>
      </c>
      <c r="E2318" t="inlineStr">
        <is>
          <t>air::unspecified</t>
        </is>
      </c>
      <c r="F2318" t="inlineStr">
        <is>
          <t>biosphere</t>
        </is>
      </c>
      <c r="H2318" t="inlineStr">
        <is>
          <t>5.5E-02 kg/kg fuel for diesel locomotives, according to Spielmann et al. (2007)
Spielmann, M., Bauer, C., Dones, R., Institut, P. S., &amp; Tuchschmid, M. (2007). Transport Services. Swiss Centre for Life Cycle Inventories, ecoinvent report No. 14.</t>
        </is>
      </c>
      <c r="I2318">
        <v>0</v>
      </c>
    </row>
    <row r="2319">
      <c r="A2319" t="inlineStr">
        <is>
          <t>Particulate Matter, &lt; 2.5 um</t>
        </is>
      </c>
      <c r="B2319">
        <v>3.922114336263609e-06</v>
      </c>
      <c r="D2319" t="inlineStr">
        <is>
          <t>kilogram</t>
        </is>
      </c>
      <c r="E2319" t="inlineStr">
        <is>
          <t>air</t>
        </is>
      </c>
      <c r="F2319" t="inlineStr">
        <is>
          <t>biosphere</t>
        </is>
      </c>
      <c r="H2319" t="inlineStr">
        <is>
          <t>1.28E-03 kg/kg fuel for diesel locomotives, according to Spielmann et al. (2007)
Spielmann, M., Bauer, C., Dones, R., Institut, P. S., &amp; Tuchschmid, M. (2007). Transport Services. Swiss Centre for Life Cycle Inventories, ecoinvent report No. 14.</t>
        </is>
      </c>
      <c r="I2319">
        <v>0</v>
      </c>
    </row>
    <row r="2320">
      <c r="A2320" t="inlineStr">
        <is>
          <t>Particulate Matter, &gt; 10 um</t>
        </is>
      </c>
      <c r="B2320">
        <v>8.35431280422189e-05</v>
      </c>
      <c r="D2320" t="inlineStr">
        <is>
          <t>kilogram</t>
        </is>
      </c>
      <c r="E2320" t="inlineStr">
        <is>
          <t>air</t>
        </is>
      </c>
      <c r="F2320" t="inlineStr">
        <is>
          <t>biosphere</t>
        </is>
      </c>
      <c r="H232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2320">
        <v>0</v>
      </c>
    </row>
    <row r="2321">
      <c r="A2321" t="inlineStr">
        <is>
          <t>Particulate Matter, &gt; 2.5 um and &lt; 10um</t>
        </is>
      </c>
      <c r="B2321">
        <v>7.711517541701365e-05</v>
      </c>
      <c r="D2321" t="inlineStr">
        <is>
          <t>kilogram</t>
        </is>
      </c>
      <c r="E2321" t="inlineStr">
        <is>
          <t>air</t>
        </is>
      </c>
      <c r="F2321" t="inlineStr">
        <is>
          <t>biosphere</t>
        </is>
      </c>
      <c r="H232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2321">
        <v>0</v>
      </c>
    </row>
    <row r="2322">
      <c r="A2322" t="inlineStr">
        <is>
          <t>Selenium IV</t>
        </is>
      </c>
      <c r="B2322">
        <v>3.1887108424907394e-11</v>
      </c>
      <c r="D2322" t="inlineStr">
        <is>
          <t>kilogram</t>
        </is>
      </c>
      <c r="E2322" t="inlineStr">
        <is>
          <t>air</t>
        </is>
      </c>
      <c r="F2322" t="inlineStr">
        <is>
          <t>biosphere</t>
        </is>
      </c>
      <c r="H2322" t="inlineStr">
        <is>
          <t>1.0E-08 kg/kg fuel for diesel locomotives, according to Spielmann et al. (2007)
Spielmann, M., Bauer, C., Dones, R., Institut, P. S., &amp; Tuchschmid, M. (2007). Transport Services. Swiss Centre for Life Cycle Inventories, ecoinvent report No. 14.</t>
        </is>
      </c>
      <c r="I2322">
        <v>0</v>
      </c>
    </row>
    <row r="2323">
      <c r="A2323" t="inlineStr">
        <is>
          <t>Sulfur dioxide</t>
        </is>
      </c>
      <c r="B2323">
        <v>1.9132265054944433e-06</v>
      </c>
      <c r="D2323" t="inlineStr">
        <is>
          <t>kilogram</t>
        </is>
      </c>
      <c r="E2323" t="inlineStr">
        <is>
          <t>air</t>
        </is>
      </c>
      <c r="F2323" t="inlineStr">
        <is>
          <t>biosphere</t>
        </is>
      </c>
      <c r="H2323" t="inlineStr">
        <is>
          <t>6.0E-04 kg/kg fuel for diesel locomotives, according to Spielmann et al. (2007)
Spielmann, M., Bauer, C., Dones, R., Institut, P. S., &amp; Tuchschmid, M. (2007). Transport Services. Swiss Centre for Life Cycle Inventories, ecoinvent report No. 14.</t>
        </is>
      </c>
      <c r="I2323">
        <v>0</v>
      </c>
    </row>
    <row r="2324">
      <c r="A2324" t="inlineStr">
        <is>
          <t>Sulfur hexafluoride</t>
        </is>
      </c>
      <c r="B2324">
        <v>1.4789589431936368e-08</v>
      </c>
      <c r="D2324" t="inlineStr">
        <is>
          <t>kilogram</t>
        </is>
      </c>
      <c r="E2324" t="inlineStr">
        <is>
          <t>air</t>
        </is>
      </c>
      <c r="F2324" t="inlineStr">
        <is>
          <t>biosphere</t>
        </is>
      </c>
      <c r="H2324"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2324">
        <v>0</v>
      </c>
    </row>
    <row r="2325">
      <c r="A2325" t="inlineStr">
        <is>
          <t>Toluene</t>
        </is>
      </c>
      <c r="B2325">
        <v>1.2754843369962958e-07</v>
      </c>
      <c r="D2325" t="inlineStr">
        <is>
          <t>kilogram</t>
        </is>
      </c>
      <c r="E2325" t="inlineStr">
        <is>
          <t>air</t>
        </is>
      </c>
      <c r="F2325" t="inlineStr">
        <is>
          <t>biosphere</t>
        </is>
      </c>
      <c r="H2325" t="inlineStr">
        <is>
          <t>4.0E-05 kg/kg fuel for diesel locomotives, according to Spielmann et al. (2007)
Spielmann, M., Bauer, C., Dones, R., Institut, P. S., &amp; Tuchschmid, M. (2007). Transport Services. Swiss Centre for Life Cycle Inventories, ecoinvent report No. 14.</t>
        </is>
      </c>
      <c r="I2325">
        <v>0</v>
      </c>
    </row>
    <row r="2326">
      <c r="A2326" t="inlineStr">
        <is>
          <t>Xylenes, unspecified</t>
        </is>
      </c>
      <c r="B2326">
        <v>1.2754843369962958e-07</v>
      </c>
      <c r="D2326" t="inlineStr">
        <is>
          <t>kilogram</t>
        </is>
      </c>
      <c r="E2326" t="inlineStr">
        <is>
          <t>air::unspecified</t>
        </is>
      </c>
      <c r="F2326" t="inlineStr">
        <is>
          <t>biosphere</t>
        </is>
      </c>
      <c r="H2326" t="inlineStr">
        <is>
          <t>4.0E-05 kg/kg fuel for diesel locomotives, according to Spielmann et al. (2007)
Spielmann, M., Bauer, C., Dones, R., Institut, P. S., &amp; Tuchschmid, M. (2007). Transport Services. Swiss Centre for Life Cycle Inventories, ecoinvent report No. 14.</t>
        </is>
      </c>
      <c r="I2326">
        <v>0</v>
      </c>
    </row>
    <row r="2327">
      <c r="A2327" t="inlineStr">
        <is>
          <t>Zinc II</t>
        </is>
      </c>
      <c r="B2327">
        <v>3.188710842490739e-09</v>
      </c>
      <c r="D2327" t="inlineStr">
        <is>
          <t>kilogram</t>
        </is>
      </c>
      <c r="E2327" t="inlineStr">
        <is>
          <t>air</t>
        </is>
      </c>
      <c r="F2327" t="inlineStr">
        <is>
          <t>biosphere</t>
        </is>
      </c>
      <c r="H2327" t="inlineStr">
        <is>
          <t>1.0E-06 kg/kg fuel for diesel locomotives, according to Spielmann et al. (2007)
Spielmann, M., Bauer, C., Dones, R., Institut, P. S., &amp; Tuchschmid, M. (2007). Transport Services. Swiss Centre for Life Cycle Inventories, ecoinvent report No. 14.</t>
        </is>
      </c>
      <c r="I2327">
        <v>0</v>
      </c>
    </row>
    <row r="2328"/>
    <row r="2329">
      <c r="A2329" t="inlineStr">
        <is>
          <t>Activity</t>
        </is>
      </c>
      <c r="B2329" t="inlineStr">
        <is>
          <t>electricity, used in battery electric motorcycle</t>
        </is>
      </c>
    </row>
    <row r="2330">
      <c r="A2330" t="inlineStr">
        <is>
          <t>location</t>
        </is>
      </c>
      <c r="B2330" t="inlineStr">
        <is>
          <t>CH</t>
        </is>
      </c>
    </row>
    <row r="2331">
      <c r="A2331" t="inlineStr">
        <is>
          <t>reference product</t>
        </is>
      </c>
      <c r="B2331" t="inlineStr">
        <is>
          <t>electricity, low voltage</t>
        </is>
      </c>
    </row>
    <row r="2332">
      <c r="A2332" t="inlineStr">
        <is>
          <t>type</t>
        </is>
      </c>
      <c r="B2332" t="inlineStr">
        <is>
          <t>process</t>
        </is>
      </c>
    </row>
    <row r="2333">
      <c r="A2333" t="inlineStr">
        <is>
          <t>unit</t>
        </is>
      </c>
      <c r="B2333" t="inlineStr">
        <is>
          <t>megajoule</t>
        </is>
      </c>
    </row>
    <row r="2334">
      <c r="A2334" t="inlineStr">
        <is>
          <t>source</t>
        </is>
      </c>
      <c r="B2334" t="inlineStr">
        <is>
          <t>Sacchi R., Bauer C. Life cycle inventories for on-road vehicles. Paul Scherrer Institut, 2021.</t>
        </is>
      </c>
    </row>
    <row r="2335">
      <c r="A2335" t="inlineStr">
        <is>
          <t>comment</t>
        </is>
      </c>
      <c r="B2335"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2336">
      <c r="A2336" t="inlineStr">
        <is>
          <t>energy use source</t>
        </is>
      </c>
      <c r="B2336"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337">
      <c r="A2337" t="inlineStr">
        <is>
          <t>Exchanges</t>
        </is>
      </c>
    </row>
    <row r="2338">
      <c r="A2338" t="inlineStr">
        <is>
          <t>name</t>
        </is>
      </c>
      <c r="B2338" t="inlineStr">
        <is>
          <t>amount</t>
        </is>
      </c>
      <c r="C2338" t="inlineStr">
        <is>
          <t>location</t>
        </is>
      </c>
      <c r="D2338" t="inlineStr">
        <is>
          <t>unit</t>
        </is>
      </c>
      <c r="E2338" t="inlineStr">
        <is>
          <t>categories</t>
        </is>
      </c>
      <c r="F2338" t="inlineStr">
        <is>
          <t>type</t>
        </is>
      </c>
      <c r="G2338" t="inlineStr">
        <is>
          <t>reference product</t>
        </is>
      </c>
      <c r="H2338" t="inlineStr">
        <is>
          <t>comment</t>
        </is>
      </c>
      <c r="I2338" t="inlineStr">
        <is>
          <t>uncertainty type</t>
        </is>
      </c>
    </row>
    <row r="2339">
      <c r="A2339" t="inlineStr">
        <is>
          <t>electricity, used in battery electric motorcycle</t>
        </is>
      </c>
      <c r="B2339">
        <v>1.0</v>
      </c>
      <c r="C2339" t="inlineStr">
        <is>
          <t>CH</t>
        </is>
      </c>
      <c r="D2339" t="inlineStr">
        <is>
          <t>megajoule</t>
        </is>
      </c>
      <c r="F2339" t="inlineStr">
        <is>
          <t>production</t>
        </is>
      </c>
      <c r="G2339" t="inlineStr">
        <is>
          <t>electricity, low voltage</t>
        </is>
      </c>
      <c r="H2339" t="inlineStr">
        <is>
          <t/>
        </is>
      </c>
      <c r="I2339">
        <v>0</v>
      </c>
    </row>
    <row r="2340">
      <c r="A2340" t="inlineStr">
        <is>
          <t>market for electricity, low voltage</t>
        </is>
      </c>
      <c r="B2340">
        <v>0.27777777777777773</v>
      </c>
      <c r="C2340" t="inlineStr">
        <is>
          <t>CH</t>
        </is>
      </c>
      <c r="D2340" t="inlineStr">
        <is>
          <t>kilowatt hour</t>
        </is>
      </c>
      <c r="F2340" t="inlineStr">
        <is>
          <t>technosphere</t>
        </is>
      </c>
      <c r="G2340" t="inlineStr">
        <is>
          <t>electricity, low voltage</t>
        </is>
      </c>
      <c r="H2340" t="inlineStr">
        <is>
          <t>Electricity consumption [MJ/km]</t>
        </is>
      </c>
      <c r="I2340">
        <v>0</v>
      </c>
    </row>
    <row r="2341">
      <c r="A2341" t="inlineStr">
        <is>
          <t>market for powertrain, for electric scooter</t>
        </is>
      </c>
      <c r="B2341">
        <v>0.001821115104231987</v>
      </c>
      <c r="C2341" t="inlineStr">
        <is>
          <t>GLO</t>
        </is>
      </c>
      <c r="D2341" t="inlineStr">
        <is>
          <t>kilogram</t>
        </is>
      </c>
      <c r="F2341" t="inlineStr">
        <is>
          <t>technosphere</t>
        </is>
      </c>
      <c r="G2341" t="inlineStr">
        <is>
          <t>powertrain, for electric scooter</t>
        </is>
      </c>
      <c r="H2341" t="inlineStr">
        <is>
          <t>Electric powertrain mass [kg] Energy-use allocation: 19 * 2.5974025974025975e-05 / 0.2709913790510339 MJ per kilometer.</t>
        </is>
      </c>
      <c r="I2341">
        <v>0</v>
      </c>
    </row>
    <row r="2342">
      <c r="A2342" t="inlineStr">
        <is>
          <t>market for battery capacity (MIX scenario)</t>
        </is>
      </c>
      <c r="B2342">
        <v>0.0015527402467662207</v>
      </c>
      <c r="C2342" t="inlineStr">
        <is>
          <t>GLO</t>
        </is>
      </c>
      <c r="D2342" t="inlineStr">
        <is>
          <t>kilowatt hour</t>
        </is>
      </c>
      <c r="F2342" t="inlineStr">
        <is>
          <t>technosphere</t>
        </is>
      </c>
      <c r="G2342" t="inlineStr">
        <is>
          <t>electricity storage capacity</t>
        </is>
      </c>
      <c r="H2342" t="inlineStr">
        <is>
          <t> Energy-use allocation: 8.1 * 2.5974025974025975e-05 / 0.2709913790510339 MJ per kilometer.</t>
        </is>
      </c>
      <c r="I2342">
        <v>0</v>
      </c>
    </row>
    <row r="2343">
      <c r="A2343" t="inlineStr">
        <is>
          <t>charging station, 3kW</t>
        </is>
      </c>
      <c r="B2343">
        <v>9.58481633806309e-05</v>
      </c>
      <c r="C2343" t="inlineStr">
        <is>
          <t>GLO</t>
        </is>
      </c>
      <c r="D2343" t="inlineStr">
        <is>
          <t>unit</t>
        </is>
      </c>
      <c r="F2343" t="inlineStr">
        <is>
          <t>technosphere</t>
        </is>
      </c>
      <c r="G2343" t="inlineStr">
        <is>
          <t>charging station, 3kW</t>
        </is>
      </c>
      <c r="H2343" t="inlineStr">
        <is>
          <t>Charging station per vehicle [unit] Energy-use allocation: 1 * 2.5974025974025975e-05 / 0.2709913790510339 MJ per kilometer.</t>
        </is>
      </c>
      <c r="I2343">
        <v>0</v>
      </c>
    </row>
    <row r="2344">
      <c r="A2344" t="inlineStr">
        <is>
          <t>treatment of road wear emissions, passenger car</t>
        </is>
      </c>
      <c r="B2344">
        <v>-3.2522650169904065e-05</v>
      </c>
      <c r="C2344" t="inlineStr">
        <is>
          <t>RER</t>
        </is>
      </c>
      <c r="D2344" t="inlineStr">
        <is>
          <t>kilogram</t>
        </is>
      </c>
      <c r="F2344" t="inlineStr">
        <is>
          <t>technosphere</t>
        </is>
      </c>
      <c r="G2344" t="inlineStr">
        <is>
          <t>road wear emissions, passenger car</t>
        </is>
      </c>
      <c r="H2344" t="inlineStr">
        <is>
          <t>Road wear [kg/km]</t>
        </is>
      </c>
      <c r="I2344">
        <v>0</v>
      </c>
    </row>
    <row r="2345">
      <c r="A2345" t="inlineStr">
        <is>
          <t>treatment of tyre wear emissions, passenger car</t>
        </is>
      </c>
      <c r="B2345">
        <v>-2.1350377440557216e-05</v>
      </c>
      <c r="C2345" t="inlineStr">
        <is>
          <t>RER</t>
        </is>
      </c>
      <c r="D2345" t="inlineStr">
        <is>
          <t>kilogram</t>
        </is>
      </c>
      <c r="F2345" t="inlineStr">
        <is>
          <t>technosphere</t>
        </is>
      </c>
      <c r="G2345" t="inlineStr">
        <is>
          <t>tyre wear emissions, passenger car</t>
        </is>
      </c>
      <c r="H2345" t="inlineStr">
        <is>
          <t>Tire wear [kg/km]</t>
        </is>
      </c>
      <c r="I2345">
        <v>0</v>
      </c>
    </row>
    <row r="2346">
      <c r="A2346" t="inlineStr">
        <is>
          <t>treatment of brake wear emissions, passenger car</t>
        </is>
      </c>
      <c r="B2346">
        <v>-1.1905895030261116e-05</v>
      </c>
      <c r="C2346" t="inlineStr">
        <is>
          <t>RER</t>
        </is>
      </c>
      <c r="D2346" t="inlineStr">
        <is>
          <t>kilogram</t>
        </is>
      </c>
      <c r="F2346" t="inlineStr">
        <is>
          <t>technosphere</t>
        </is>
      </c>
      <c r="G2346" t="inlineStr">
        <is>
          <t>brake wear emissions, passenger car</t>
        </is>
      </c>
      <c r="H2346" t="inlineStr">
        <is>
          <t>Brake wear [kg/km]</t>
        </is>
      </c>
      <c r="I2346">
        <v>0</v>
      </c>
    </row>
    <row r="2347"/>
    <row r="2348">
      <c r="A2348" t="inlineStr">
        <is>
          <t>Activity</t>
        </is>
      </c>
      <c r="B2348" t="inlineStr">
        <is>
          <t>hydrogen, used in hydrogen motorcycle</t>
        </is>
      </c>
    </row>
    <row r="2349">
      <c r="A2349" t="inlineStr">
        <is>
          <t>location</t>
        </is>
      </c>
      <c r="B2349" t="inlineStr">
        <is>
          <t>CH</t>
        </is>
      </c>
    </row>
    <row r="2350">
      <c r="A2350" t="inlineStr">
        <is>
          <t>reference product</t>
        </is>
      </c>
      <c r="B2350" t="inlineStr">
        <is>
          <t>heat</t>
        </is>
      </c>
    </row>
    <row r="2351">
      <c r="A2351" t="inlineStr">
        <is>
          <t>type</t>
        </is>
      </c>
      <c r="B2351" t="inlineStr">
        <is>
          <t>process</t>
        </is>
      </c>
    </row>
    <row r="2352">
      <c r="A2352" t="inlineStr">
        <is>
          <t>unit</t>
        </is>
      </c>
      <c r="B2352" t="inlineStr">
        <is>
          <t>megajoule</t>
        </is>
      </c>
    </row>
    <row r="2353">
      <c r="A2353" t="inlineStr">
        <is>
          <t>source</t>
        </is>
      </c>
      <c r="B2353" t="inlineStr">
        <is>
          <t>Sacchi R., Bauer C. Life cycle inventories for on-road vehicles. Paul Scherrer Institut, 2021.</t>
        </is>
      </c>
    </row>
    <row r="2354">
      <c r="A2354" t="inlineStr">
        <is>
          <t>comment</t>
        </is>
      </c>
      <c r="B2354"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355">
      <c r="A2355" t="inlineStr">
        <is>
          <t>energy use source</t>
        </is>
      </c>
      <c r="B2355"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356">
      <c r="A2356" t="inlineStr">
        <is>
          <t>Exchanges</t>
        </is>
      </c>
    </row>
    <row r="2357">
      <c r="A2357" t="inlineStr">
        <is>
          <t>name</t>
        </is>
      </c>
      <c r="B2357" t="inlineStr">
        <is>
          <t>amount</t>
        </is>
      </c>
      <c r="C2357" t="inlineStr">
        <is>
          <t>location</t>
        </is>
      </c>
      <c r="D2357" t="inlineStr">
        <is>
          <t>unit</t>
        </is>
      </c>
      <c r="E2357" t="inlineStr">
        <is>
          <t>categories</t>
        </is>
      </c>
      <c r="F2357" t="inlineStr">
        <is>
          <t>type</t>
        </is>
      </c>
      <c r="G2357" t="inlineStr">
        <is>
          <t>reference product</t>
        </is>
      </c>
      <c r="H2357" t="inlineStr">
        <is>
          <t>comment</t>
        </is>
      </c>
      <c r="I2357" t="inlineStr">
        <is>
          <t>uncertainty type</t>
        </is>
      </c>
    </row>
    <row r="2358">
      <c r="A2358" t="inlineStr">
        <is>
          <t>hydrogen, used in hydrogen motorcycle</t>
        </is>
      </c>
      <c r="B2358">
        <v>1.0</v>
      </c>
      <c r="C2358" t="inlineStr">
        <is>
          <t>CH</t>
        </is>
      </c>
      <c r="D2358" t="inlineStr">
        <is>
          <t>megajoule</t>
        </is>
      </c>
      <c r="F2358" t="inlineStr">
        <is>
          <t>production</t>
        </is>
      </c>
      <c r="G2358" t="inlineStr">
        <is>
          <t>heat</t>
        </is>
      </c>
      <c r="H2358" t="inlineStr">
        <is>
          <t/>
        </is>
      </c>
      <c r="I2358">
        <v>0</v>
      </c>
    </row>
    <row r="2359">
      <c r="A2359" t="inlineStr">
        <is>
          <t>market for hydrogen, gaseous, low pressure</t>
        </is>
      </c>
      <c r="B2359">
        <v>0.008333333333333333</v>
      </c>
      <c r="C2359" t="inlineStr">
        <is>
          <t>RER</t>
        </is>
      </c>
      <c r="D2359" t="inlineStr">
        <is>
          <t>kilogram</t>
        </is>
      </c>
      <c r="F2359" t="inlineStr">
        <is>
          <t>technosphere</t>
        </is>
      </c>
      <c r="G2359" t="inlineStr">
        <is>
          <t>hydrogen, gaseous, low pressure</t>
        </is>
      </c>
      <c r="H2359" t="inlineStr">
        <is>
          <t>Default carculator fuel energy preserved (1.07263356625 MJ/vkm); premise reference LHV 120.0 MJ/kg. Regional scenario blend belongs to premise.</t>
        </is>
      </c>
      <c r="I2359">
        <v>0</v>
      </c>
    </row>
    <row r="2360">
      <c r="A2360" t="inlineStr">
        <is>
          <t>treatment of brake wear emissions, passenger car</t>
        </is>
      </c>
      <c r="B2360">
        <v>-7.811243251597881e-06</v>
      </c>
      <c r="C2360" t="inlineStr">
        <is>
          <t>RER</t>
        </is>
      </c>
      <c r="D2360" t="inlineStr">
        <is>
          <t>kilogram</t>
        </is>
      </c>
      <c r="F2360" t="inlineStr">
        <is>
          <t>technosphere</t>
        </is>
      </c>
      <c r="G2360" t="inlineStr">
        <is>
          <t>brake wear emissions, passenger car</t>
        </is>
      </c>
      <c r="I2360">
        <v>0</v>
      </c>
    </row>
    <row r="2361">
      <c r="A2361" t="inlineStr">
        <is>
          <t>treatment of road wear emissions, passenger car</t>
        </is>
      </c>
      <c r="B2361">
        <v>-1.7354722075946138e-05</v>
      </c>
      <c r="C2361" t="inlineStr">
        <is>
          <t>RER</t>
        </is>
      </c>
      <c r="D2361" t="inlineStr">
        <is>
          <t>kilogram</t>
        </is>
      </c>
      <c r="F2361" t="inlineStr">
        <is>
          <t>technosphere</t>
        </is>
      </c>
      <c r="G2361" t="inlineStr">
        <is>
          <t>road wear emissions, passenger car</t>
        </is>
      </c>
      <c r="I2361">
        <v>0</v>
      </c>
    </row>
    <row r="2362">
      <c r="A2362" t="inlineStr">
        <is>
          <t>treatment of tyre wear emissions, passenger car</t>
        </is>
      </c>
      <c r="B2362">
        <v>-1.9644274084031096e-05</v>
      </c>
      <c r="C2362" t="inlineStr">
        <is>
          <t>RER</t>
        </is>
      </c>
      <c r="D2362" t="inlineStr">
        <is>
          <t>kilogram</t>
        </is>
      </c>
      <c r="F2362" t="inlineStr">
        <is>
          <t>technosphere</t>
        </is>
      </c>
      <c r="G2362" t="inlineStr">
        <is>
          <t>tyre wear emissions, passenger car</t>
        </is>
      </c>
      <c r="I2362">
        <v>0</v>
      </c>
    </row>
    <row r="2363">
      <c r="A2363" t="inlineStr">
        <is>
          <t>market for tetrafluoroethane, R134a</t>
        </is>
      </c>
      <c r="B2363">
        <v>6.05985131483241e-06</v>
      </c>
      <c r="C2363" t="inlineStr">
        <is>
          <t>GLO</t>
        </is>
      </c>
      <c r="D2363" t="inlineStr">
        <is>
          <t>kilogram</t>
        </is>
      </c>
      <c r="F2363" t="inlineStr">
        <is>
          <t>technosphere</t>
        </is>
      </c>
      <c r="G2363" t="inlineStr">
        <is>
          <t>tetrafluoroethane, R134a</t>
        </is>
      </c>
      <c r="I2363">
        <v>0</v>
      </c>
    </row>
    <row r="2364">
      <c r="A2364" t="inlineStr">
        <is>
          <t>1,1,1,2-Tetrafluoroethane</t>
        </is>
      </c>
      <c r="B2364">
        <v>3.4960680173316915e-06</v>
      </c>
      <c r="D2364" t="inlineStr">
        <is>
          <t>kilogram</t>
        </is>
      </c>
      <c r="E2364" t="inlineStr">
        <is>
          <t>air</t>
        </is>
      </c>
      <c r="F2364" t="inlineStr">
        <is>
          <t>biosphere</t>
        </is>
      </c>
      <c r="I2364">
        <v>0</v>
      </c>
    </row>
    <row r="2365">
      <c r="A2365" t="inlineStr">
        <is>
          <t>market group for electricity, low voltage</t>
        </is>
      </c>
      <c r="B2365">
        <v>0.020421827056420445</v>
      </c>
      <c r="C2365" t="inlineStr">
        <is>
          <t>RER</t>
        </is>
      </c>
      <c r="D2365" t="inlineStr">
        <is>
          <t>kilowatt hour</t>
        </is>
      </c>
      <c r="F2365" t="inlineStr">
        <is>
          <t>technosphere</t>
        </is>
      </c>
      <c r="G2365" t="inlineStr">
        <is>
          <t>electricity, low voltage</t>
        </is>
      </c>
      <c r="H2365" t="inlineStr">
        <is>
          <t>Hydrogen tank compression, 30 to 700 bar: 2.45061924677 kWh/kg H2, using the model's default compressor assumptions and Premise's documented delivery pressure.</t>
        </is>
      </c>
      <c r="I2365">
        <v>0</v>
      </c>
    </row>
    <row r="2366">
      <c r="A2366" t="inlineStr">
        <is>
          <t>fuel cell Balance of Plant production, 1 kWe, proton exchange membrane (PEM), carculator passenger car 2020</t>
        </is>
      </c>
      <c r="B2366">
        <v>0.00013256366446464648</v>
      </c>
      <c r="C2366" t="inlineStr">
        <is>
          <t>GLO</t>
        </is>
      </c>
      <c r="D2366" t="inlineStr">
        <is>
          <t>unit</t>
        </is>
      </c>
      <c r="F2366" t="inlineStr">
        <is>
          <t>technosphere</t>
        </is>
      </c>
      <c r="G2366" t="inlineStr">
        <is>
          <t>fuel cell Balance of Plant, 1 kWe, proton exchange membrane (PEM)</t>
        </is>
      </c>
      <c r="H2366" t="inlineStr">
        <is>
          <t> Energy-use allocation: 28.43844795227051 * 4.999999873689376e-06 / 1.0726335662454156 MJ per kilometer.</t>
        </is>
      </c>
      <c r="I2366">
        <v>0</v>
      </c>
    </row>
    <row r="2367">
      <c r="A2367" t="inlineStr">
        <is>
          <t>fuel cell stack production, 1 kWe, proton exchange membrane (PEM), carculator passenger car 2020</t>
        </is>
      </c>
      <c r="B2367">
        <v>0.0006491343068889693</v>
      </c>
      <c r="C2367" t="inlineStr">
        <is>
          <t>GLO</t>
        </is>
      </c>
      <c r="D2367" t="inlineStr">
        <is>
          <t>unit</t>
        </is>
      </c>
      <c r="F2367" t="inlineStr">
        <is>
          <t>technosphere</t>
        </is>
      </c>
      <c r="G2367" t="inlineStr">
        <is>
          <t>fuel cell stack, 1 kWe, proton exchange membrane (PEM)</t>
        </is>
      </c>
      <c r="H2367" t="inlineStr">
        <is>
          <t> Energy-use allocation: 139.2566528320312 * 4.999999873689376e-06 / 1.0726335662454156 MJ per kilometer.</t>
        </is>
      </c>
      <c r="I2367">
        <v>0</v>
      </c>
    </row>
    <row r="2368">
      <c r="A2368" t="inlineStr">
        <is>
          <t>fuel tank, compressed hydrogen gas, 700bar, with HDPE liner, carculator passenger car 2020</t>
        </is>
      </c>
      <c r="B2368">
        <v>0.0004560088764646349</v>
      </c>
      <c r="C2368" t="inlineStr">
        <is>
          <t>RER</t>
        </is>
      </c>
      <c r="D2368" t="inlineStr">
        <is>
          <t>kilogram</t>
        </is>
      </c>
      <c r="F2368" t="inlineStr">
        <is>
          <t>technosphere</t>
        </is>
      </c>
      <c r="G2368" t="inlineStr">
        <is>
          <t>hydrogen tank</t>
        </is>
      </c>
      <c r="H2368" t="inlineStr">
        <is>
          <t> Energy-use allocation: 97.82608795166016 * 4.999999873689376e-06 / 1.0726335662454156 MJ per kilometer.</t>
        </is>
      </c>
      <c r="I2368">
        <v>0</v>
      </c>
    </row>
    <row r="2369">
      <c r="A2369" t="inlineStr">
        <is>
          <t>market for converter, for electric passenger car</t>
        </is>
      </c>
      <c r="B2369">
        <v>2.0839605113863403e-05</v>
      </c>
      <c r="C2369" t="inlineStr">
        <is>
          <t>GLO</t>
        </is>
      </c>
      <c r="D2369" t="inlineStr">
        <is>
          <t>kilogram</t>
        </is>
      </c>
      <c r="F2369" t="inlineStr">
        <is>
          <t>technosphere</t>
        </is>
      </c>
      <c r="G2369" t="inlineStr">
        <is>
          <t>converter, for electric passenger car</t>
        </is>
      </c>
      <c r="H2369" t="inlineStr">
        <is>
          <t> Energy-use allocation: 4.470652103424072 * 4.999999873689376e-06 / 1.0726335662454156 MJ per kilometer.</t>
        </is>
      </c>
      <c r="I2369">
        <v>0</v>
      </c>
    </row>
    <row r="2370">
      <c r="A2370" t="inlineStr">
        <is>
          <t>market for electric motor, electric passenger car</t>
        </is>
      </c>
      <c r="B2370">
        <v>0.0004290234592004841</v>
      </c>
      <c r="C2370" t="inlineStr">
        <is>
          <t>GLO</t>
        </is>
      </c>
      <c r="D2370" t="inlineStr">
        <is>
          <t>kilogram</t>
        </is>
      </c>
      <c r="F2370" t="inlineStr">
        <is>
          <t>technosphere</t>
        </is>
      </c>
      <c r="G2370" t="inlineStr">
        <is>
          <t>electric motor, electric passenger car</t>
        </is>
      </c>
      <c r="H2370" t="inlineStr">
        <is>
          <t> Energy-use allocation: 92.03699493408203 * 4.999999873689376e-06 / 1.0726335662454156 MJ per kilometer.</t>
        </is>
      </c>
      <c r="I2370">
        <v>0</v>
      </c>
    </row>
    <row r="2371">
      <c r="A2371" t="inlineStr">
        <is>
          <t>market for internal combustion engine, passenger car</t>
        </is>
      </c>
      <c r="B2371">
        <v>0.0004267582557876431</v>
      </c>
      <c r="C2371" t="inlineStr">
        <is>
          <t>GLO</t>
        </is>
      </c>
      <c r="D2371" t="inlineStr">
        <is>
          <t>kilogram</t>
        </is>
      </c>
      <c r="F2371" t="inlineStr">
        <is>
          <t>technosphere</t>
        </is>
      </c>
      <c r="G2371" t="inlineStr">
        <is>
          <t>internal combustion engine, passenger car</t>
        </is>
      </c>
      <c r="H2371" t="inlineStr">
        <is>
          <t> Energy-use allocation: 91.5510482788086 * 4.999999873689376e-06 / 1.0726335662454156 MJ per kilometer.</t>
        </is>
      </c>
      <c r="I2371">
        <v>0</v>
      </c>
    </row>
    <row r="2372">
      <c r="A2372" t="inlineStr">
        <is>
          <t>market for inverter, for electric passenger car</t>
        </is>
      </c>
      <c r="B2372">
        <v>4.1679210227726807e-05</v>
      </c>
      <c r="C2372" t="inlineStr">
        <is>
          <t>GLO</t>
        </is>
      </c>
      <c r="D2372" t="inlineStr">
        <is>
          <t>kilogram</t>
        </is>
      </c>
      <c r="F2372" t="inlineStr">
        <is>
          <t>technosphere</t>
        </is>
      </c>
      <c r="G2372" t="inlineStr">
        <is>
          <t>inverter, for electric passenger car</t>
        </is>
      </c>
      <c r="H2372" t="inlineStr">
        <is>
          <t> Energy-use allocation: 8.941304206848145 * 4.999999873689376e-06 / 1.0726335662454156 MJ per kilometer.</t>
        </is>
      </c>
      <c r="I2372">
        <v>0</v>
      </c>
    </row>
    <row r="2373">
      <c r="A2373" t="inlineStr">
        <is>
          <t>market for power distribution unit, for electric passenger car</t>
        </is>
      </c>
      <c r="B2373">
        <v>1.852409331105968e-05</v>
      </c>
      <c r="C2373" t="inlineStr">
        <is>
          <t>GLO</t>
        </is>
      </c>
      <c r="D2373" t="inlineStr">
        <is>
          <t>kilogram</t>
        </is>
      </c>
      <c r="F2373" t="inlineStr">
        <is>
          <t>technosphere</t>
        </is>
      </c>
      <c r="G2373" t="inlineStr">
        <is>
          <t>power distribution unit, for electric passenger car</t>
        </is>
      </c>
      <c r="H2373" t="inlineStr">
        <is>
          <t> Energy-use allocation: 3.973912954330444 * 4.999999873689376e-06 / 1.0726335662454156 MJ per kilometer.</t>
        </is>
      </c>
      <c r="I2373">
        <v>0</v>
      </c>
    </row>
    <row r="2374">
      <c r="A2374" t="inlineStr">
        <is>
          <t>market for used powertrain from electric passenger car, manual dismantling</t>
        </is>
      </c>
      <c r="B2374">
        <v>-0.0016750567184222265</v>
      </c>
      <c r="C2374" t="inlineStr">
        <is>
          <t>GLO</t>
        </is>
      </c>
      <c r="D2374" t="inlineStr">
        <is>
          <t>kilogram</t>
        </is>
      </c>
      <c r="F2374" t="inlineStr">
        <is>
          <t>technosphere</t>
        </is>
      </c>
      <c r="G2374" t="inlineStr">
        <is>
          <t>used powertrain from electric passenger car, manual dismantling</t>
        </is>
      </c>
      <c r="H2374" t="inlineStr">
        <is>
          <t> Energy-use allocation: -359.3444213867188 * 4.999999873689376e-06 / 1.0726335662454156 MJ per kilometer.</t>
        </is>
      </c>
      <c r="I2374">
        <v>0</v>
      </c>
    </row>
    <row r="2375">
      <c r="A2375" t="inlineStr">
        <is>
          <t>market for waste plastic, industrial electronics</t>
        </is>
      </c>
      <c r="B2375">
        <v>-0.0004560088764646349</v>
      </c>
      <c r="C2375" t="inlineStr">
        <is>
          <t>CH</t>
        </is>
      </c>
      <c r="D2375" t="inlineStr">
        <is>
          <t>kilogram</t>
        </is>
      </c>
      <c r="F2375" t="inlineStr">
        <is>
          <t>technosphere</t>
        </is>
      </c>
      <c r="G2375" t="inlineStr">
        <is>
          <t>waste plastic, industrial electronics</t>
        </is>
      </c>
      <c r="H2375" t="inlineStr">
        <is>
          <t> Energy-use allocation: -97.82608795166016 * 4.999999873689376e-06 / 1.0726335662454156 MJ per kilometer.</t>
        </is>
      </c>
      <c r="I2375">
        <v>0</v>
      </c>
    </row>
    <row r="2376">
      <c r="A2376" t="inlineStr">
        <is>
          <t>market for battery capacity (MIX scenario)</t>
        </is>
      </c>
      <c r="B2376">
        <v>7.446961466462621e-06</v>
      </c>
      <c r="C2376" t="inlineStr">
        <is>
          <t>GLO</t>
        </is>
      </c>
      <c r="D2376" t="inlineStr">
        <is>
          <t>kilowatt hour</t>
        </is>
      </c>
      <c r="F2376" t="inlineStr">
        <is>
          <t>technosphere</t>
        </is>
      </c>
      <c r="G2376" t="inlineStr">
        <is>
          <t>electricity storage capacity</t>
        </is>
      </c>
      <c r="H2376" t="inlineStr">
        <is>
          <t>1.59757220745 kWh nominal * (1 + 0 lifetime replacements). Capacity market includes battery manufacture AND end of life; original kg pack and disposal removed. Energy-use allocation: 1.597572207450867 * 4.999999873689376e-06 / 1.0726335662454156 MJ per kilometer.</t>
        </is>
      </c>
      <c r="I2376">
        <v>0</v>
      </c>
    </row>
    <row r="2377"/>
    <row r="2378">
      <c r="A2378" t="inlineStr">
        <is>
          <t>Activity</t>
        </is>
      </c>
      <c r="B2378" t="inlineStr">
        <is>
          <t>petrol, burned in motorcycle</t>
        </is>
      </c>
    </row>
    <row r="2379">
      <c r="A2379" t="inlineStr">
        <is>
          <t>location</t>
        </is>
      </c>
      <c r="B2379" t="inlineStr">
        <is>
          <t>CH</t>
        </is>
      </c>
    </row>
    <row r="2380">
      <c r="A2380" t="inlineStr">
        <is>
          <t>production amount</t>
        </is>
      </c>
      <c r="B2380">
        <v>1</v>
      </c>
    </row>
    <row r="2381">
      <c r="A2381" t="inlineStr">
        <is>
          <t>reference product</t>
        </is>
      </c>
      <c r="B2381" t="inlineStr">
        <is>
          <t>heat</t>
        </is>
      </c>
    </row>
    <row r="2382">
      <c r="A2382" t="inlineStr">
        <is>
          <t>type</t>
        </is>
      </c>
      <c r="B2382" t="inlineStr">
        <is>
          <t>process</t>
        </is>
      </c>
    </row>
    <row r="2383">
      <c r="A2383" t="inlineStr">
        <is>
          <t>unit</t>
        </is>
      </c>
      <c r="B2383" t="inlineStr">
        <is>
          <t>megajoule</t>
        </is>
      </c>
    </row>
    <row r="2384">
      <c r="A2384" t="inlineStr">
        <is>
          <t>energy use source</t>
        </is>
      </c>
      <c r="B2384"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385">
      <c r="A2385" t="inlineStr">
        <is>
          <t>comment</t>
        </is>
      </c>
      <c r="B2385"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6">
      <c r="A2386" t="inlineStr">
        <is>
          <t>Exchanges</t>
        </is>
      </c>
    </row>
    <row r="2387">
      <c r="A2387" t="inlineStr">
        <is>
          <t>name</t>
        </is>
      </c>
      <c r="B2387" t="inlineStr">
        <is>
          <t>amount</t>
        </is>
      </c>
      <c r="C2387" t="inlineStr">
        <is>
          <t>location</t>
        </is>
      </c>
      <c r="D2387" t="inlineStr">
        <is>
          <t>unit</t>
        </is>
      </c>
      <c r="E2387" t="inlineStr">
        <is>
          <t>categories</t>
        </is>
      </c>
      <c r="F2387" t="inlineStr">
        <is>
          <t>type</t>
        </is>
      </c>
      <c r="G2387" t="inlineStr">
        <is>
          <t>reference product</t>
        </is>
      </c>
      <c r="H2387" t="inlineStr">
        <is>
          <t>comment</t>
        </is>
      </c>
      <c r="I2387" t="inlineStr">
        <is>
          <t>uncertainty type</t>
        </is>
      </c>
    </row>
    <row r="2388">
      <c r="A2388" t="inlineStr">
        <is>
          <t>petrol, burned in motorcycle</t>
        </is>
      </c>
      <c r="B2388">
        <v>1.0</v>
      </c>
      <c r="C2388" t="inlineStr">
        <is>
          <t>CH</t>
        </is>
      </c>
      <c r="D2388" t="inlineStr">
        <is>
          <t>megajoule</t>
        </is>
      </c>
      <c r="F2388" t="inlineStr">
        <is>
          <t>production</t>
        </is>
      </c>
      <c r="G2388" t="inlineStr">
        <is>
          <t>heat</t>
        </is>
      </c>
      <c r="I2388">
        <v>0</v>
      </c>
    </row>
    <row r="2389">
      <c r="A2389" t="inlineStr">
        <is>
          <t>fuel supply for gasoline vehicles</t>
        </is>
      </c>
      <c r="B2389">
        <v>0.02347417840375587</v>
      </c>
      <c r="C2389" t="inlineStr">
        <is>
          <t>CH</t>
        </is>
      </c>
      <c r="D2389" t="inlineStr">
        <is>
          <t>kilogram</t>
        </is>
      </c>
      <c r="F2389" t="inlineStr">
        <is>
          <t>technosphere</t>
        </is>
      </c>
      <c r="G2389" t="inlineStr">
        <is>
          <t>gasoline blend</t>
        </is>
      </c>
      <c r="H2389" t="inlineStr">
        <is>
          <t>Gasoline consumption [MJ/km]</t>
        </is>
      </c>
      <c r="I2389">
        <v>0</v>
      </c>
    </row>
    <row r="2390">
      <c r="A2390" t="inlineStr">
        <is>
          <t>polyethylene production, high density, granulate</t>
        </is>
      </c>
      <c r="B2390">
        <v>3.004649931974593e-05</v>
      </c>
      <c r="C2390" t="inlineStr">
        <is>
          <t>RER</t>
        </is>
      </c>
      <c r="D2390" t="inlineStr">
        <is>
          <t>kilogram</t>
        </is>
      </c>
      <c r="F2390" t="inlineStr">
        <is>
          <t>technosphere</t>
        </is>
      </c>
      <c r="G2390" t="inlineStr">
        <is>
          <t>polyethylene, high density, granulate</t>
        </is>
      </c>
      <c r="H2390" t="inlineStr">
        <is>
          <t>Fuel tank mass [kg] Energy-use allocation: 1.6875 * 2.5974025974025975e-05 / 1.4587778883899432 MJ per kilometer.</t>
        </is>
      </c>
      <c r="I2390">
        <v>0</v>
      </c>
    </row>
    <row r="2391">
      <c r="A2391" t="inlineStr">
        <is>
          <t>Carbon dioxide, fossil</t>
        </is>
      </c>
      <c r="B2391">
        <v>0.0728244131455399</v>
      </c>
      <c r="D2391" t="inlineStr">
        <is>
          <t>kilogram</t>
        </is>
      </c>
      <c r="E2391" t="inlineStr">
        <is>
          <t>air::urban air close to ground</t>
        </is>
      </c>
      <c r="F2391" t="inlineStr">
        <is>
          <t>biosphere</t>
        </is>
      </c>
      <c r="H2391" t="inlineStr">
        <is>
          <t>CO2</t>
        </is>
      </c>
      <c r="I2391">
        <v>0</v>
      </c>
    </row>
    <row r="2392">
      <c r="A2392" t="inlineStr">
        <is>
          <t>Carbon dioxide, from soil or biomass stock</t>
        </is>
      </c>
      <c r="B2392">
        <v>0.0008845070422535212</v>
      </c>
      <c r="D2392" t="inlineStr">
        <is>
          <t>kilogram</t>
        </is>
      </c>
      <c r="E2392" t="inlineStr">
        <is>
          <t>air::urban air close to ground</t>
        </is>
      </c>
      <c r="F2392" t="inlineStr">
        <is>
          <t>biosphere</t>
        </is>
      </c>
      <c r="H2392" t="inlineStr">
        <is>
          <t>CO2, bio</t>
        </is>
      </c>
      <c r="I2392">
        <v>0</v>
      </c>
    </row>
    <row r="2393">
      <c r="A2393" t="inlineStr">
        <is>
          <t>Sulfur dioxide</t>
        </is>
      </c>
      <c r="B2393">
        <v>3.755868544600939e-07</v>
      </c>
      <c r="D2393" t="inlineStr">
        <is>
          <t>kilogram</t>
        </is>
      </c>
      <c r="E2393" t="inlineStr">
        <is>
          <t>air::urban air close to ground</t>
        </is>
      </c>
      <c r="F2393" t="inlineStr">
        <is>
          <t>biosphere</t>
        </is>
      </c>
      <c r="H2393" t="inlineStr">
        <is>
          <t>SO2</t>
        </is>
      </c>
      <c r="I2393">
        <v>0</v>
      </c>
    </row>
    <row r="2394">
      <c r="A2394" t="inlineStr">
        <is>
          <t>Benzene</t>
        </is>
      </c>
      <c r="B2394">
        <v>7.62340991328562e-07</v>
      </c>
      <c r="D2394" t="inlineStr">
        <is>
          <t>kilogram</t>
        </is>
      </c>
      <c r="E2394" t="inlineStr">
        <is>
          <t>air::urban air close to ground</t>
        </is>
      </c>
      <c r="F2394" t="inlineStr">
        <is>
          <t>biosphere</t>
        </is>
      </c>
      <c r="H2394" t="inlineStr">
        <is>
          <t>Benzene</t>
        </is>
      </c>
      <c r="I2394">
        <v>0</v>
      </c>
    </row>
    <row r="2395">
      <c r="A2395" t="inlineStr">
        <is>
          <t>Methane, fossil</t>
        </is>
      </c>
      <c r="B2395">
        <v>1.8797075715851682e-05</v>
      </c>
      <c r="D2395" t="inlineStr">
        <is>
          <t>kilogram</t>
        </is>
      </c>
      <c r="E2395" t="inlineStr">
        <is>
          <t>air::urban air close to ground</t>
        </is>
      </c>
      <c r="F2395" t="inlineStr">
        <is>
          <t>biosphere</t>
        </is>
      </c>
      <c r="H2395" t="inlineStr">
        <is>
          <t>CH4</t>
        </is>
      </c>
      <c r="I2395">
        <v>0</v>
      </c>
    </row>
    <row r="2396">
      <c r="A2396" t="inlineStr">
        <is>
          <t>Carbon monoxide, fossil</t>
        </is>
      </c>
      <c r="B2396">
        <v>8.345515188546348e-05</v>
      </c>
      <c r="D2396" t="inlineStr">
        <is>
          <t>kilogram</t>
        </is>
      </c>
      <c r="E2396" t="inlineStr">
        <is>
          <t>air::urban air close to ground</t>
        </is>
      </c>
      <c r="F2396" t="inlineStr">
        <is>
          <t>biosphere</t>
        </is>
      </c>
      <c r="H2396" t="inlineStr">
        <is>
          <t>CO</t>
        </is>
      </c>
      <c r="I2396">
        <v>0</v>
      </c>
    </row>
    <row r="2397">
      <c r="A2397" t="inlineStr">
        <is>
          <t>Dinitrogen monoxide</t>
        </is>
      </c>
      <c r="B2397">
        <v>5.653255854391483e-07</v>
      </c>
      <c r="D2397" t="inlineStr">
        <is>
          <t>kilogram</t>
        </is>
      </c>
      <c r="E2397" t="inlineStr">
        <is>
          <t>air::urban air close to ground</t>
        </is>
      </c>
      <c r="F2397" t="inlineStr">
        <is>
          <t>biosphere</t>
        </is>
      </c>
      <c r="H2397" t="inlineStr">
        <is>
          <t>N2O</t>
        </is>
      </c>
      <c r="I2397">
        <v>0</v>
      </c>
    </row>
    <row r="2398">
      <c r="A2398" t="inlineStr">
        <is>
          <t>Ammonia</t>
        </is>
      </c>
      <c r="B2398">
        <v>5.653255854391483e-07</v>
      </c>
      <c r="D2398" t="inlineStr">
        <is>
          <t>kilogram</t>
        </is>
      </c>
      <c r="E2398" t="inlineStr">
        <is>
          <t>air::urban air close to ground</t>
        </is>
      </c>
      <c r="F2398" t="inlineStr">
        <is>
          <t>biosphere</t>
        </is>
      </c>
      <c r="H2398" t="inlineStr">
        <is>
          <t>NH3</t>
        </is>
      </c>
      <c r="I2398">
        <v>0</v>
      </c>
    </row>
    <row r="2399">
      <c r="A2399" t="inlineStr">
        <is>
          <t>Nitrogen oxides</t>
        </is>
      </c>
      <c r="B2399">
        <v>6.162014101297245e-06</v>
      </c>
      <c r="D2399" t="inlineStr">
        <is>
          <t>kilogram</t>
        </is>
      </c>
      <c r="E2399" t="inlineStr">
        <is>
          <t>air::urban air close to ground</t>
        </is>
      </c>
      <c r="F2399" t="inlineStr">
        <is>
          <t>biosphere</t>
        </is>
      </c>
      <c r="H2399" t="inlineStr">
        <is>
          <t>NOx</t>
        </is>
      </c>
      <c r="I2399">
        <v>0</v>
      </c>
    </row>
    <row r="2400">
      <c r="A2400" t="inlineStr">
        <is>
          <t>Particulate Matter, &lt; 2.5 um</t>
        </is>
      </c>
      <c r="B2400">
        <v>1.4133139635978708e-06</v>
      </c>
      <c r="D2400" t="inlineStr">
        <is>
          <t>kilogram</t>
        </is>
      </c>
      <c r="E2400" t="inlineStr">
        <is>
          <t>air::urban air close to ground</t>
        </is>
      </c>
      <c r="F2400" t="inlineStr">
        <is>
          <t>biosphere</t>
        </is>
      </c>
      <c r="H2400" t="inlineStr">
        <is>
          <t>PM2.5</t>
        </is>
      </c>
      <c r="I2400">
        <v>0</v>
      </c>
    </row>
    <row r="2401">
      <c r="A2401" t="inlineStr">
        <is>
          <t>NMVOC, non-methane volatile organic compounds</t>
        </is>
      </c>
      <c r="B2401">
        <v>6.1476482081469075e-06</v>
      </c>
      <c r="D2401" t="inlineStr">
        <is>
          <t>kilogram</t>
        </is>
      </c>
      <c r="E2401" t="inlineStr">
        <is>
          <t>air::urban air close to ground</t>
        </is>
      </c>
      <c r="F2401" t="inlineStr">
        <is>
          <t>biosphere</t>
        </is>
      </c>
      <c r="H2401" t="inlineStr">
        <is>
          <t>NMVOC</t>
        </is>
      </c>
      <c r="I2401">
        <v>0</v>
      </c>
    </row>
    <row r="2402">
      <c r="A2402" t="inlineStr">
        <is>
          <t>Ethane</t>
        </is>
      </c>
      <c r="B2402">
        <v>4.3348801467702544e-07</v>
      </c>
      <c r="D2402" t="inlineStr">
        <is>
          <t>kilogram</t>
        </is>
      </c>
      <c r="E2402" t="inlineStr">
        <is>
          <t>air::urban air close to ground</t>
        </is>
      </c>
      <c r="F2402" t="inlineStr">
        <is>
          <t>biosphere</t>
        </is>
      </c>
      <c r="H2402" t="inlineStr">
        <is>
          <t>Ethane</t>
        </is>
      </c>
      <c r="I2402">
        <v>0</v>
      </c>
    </row>
    <row r="2403">
      <c r="A2403" t="inlineStr">
        <is>
          <t>Propane</t>
        </is>
      </c>
      <c r="B2403">
        <v>8.832827885268543e-08</v>
      </c>
      <c r="D2403" t="inlineStr">
        <is>
          <t>kilogram</t>
        </is>
      </c>
      <c r="E2403" t="inlineStr">
        <is>
          <t>air::urban air close to ground</t>
        </is>
      </c>
      <c r="F2403" t="inlineStr">
        <is>
          <t>biosphere</t>
        </is>
      </c>
      <c r="H2403" t="inlineStr">
        <is>
          <t>Propane</t>
        </is>
      </c>
      <c r="I2403">
        <v>0</v>
      </c>
    </row>
    <row r="2404">
      <c r="A2404" t="inlineStr">
        <is>
          <t>Butane</t>
        </is>
      </c>
      <c r="B2404">
        <v>7.120618172124179e-07</v>
      </c>
      <c r="D2404" t="inlineStr">
        <is>
          <t>kilogram</t>
        </is>
      </c>
      <c r="E2404" t="inlineStr">
        <is>
          <t>air::urban air close to ground</t>
        </is>
      </c>
      <c r="F2404" t="inlineStr">
        <is>
          <t>biosphere</t>
        </is>
      </c>
      <c r="H2404" t="inlineStr">
        <is>
          <t>Butane</t>
        </is>
      </c>
      <c r="I2404">
        <v>0</v>
      </c>
    </row>
    <row r="2405">
      <c r="A2405" t="inlineStr">
        <is>
          <t>Pentane</t>
        </is>
      </c>
      <c r="B2405">
        <v>2.9216276851272876e-07</v>
      </c>
      <c r="D2405" t="inlineStr">
        <is>
          <t>kilogram</t>
        </is>
      </c>
      <c r="E2405" t="inlineStr">
        <is>
          <t>air::urban air close to ground</t>
        </is>
      </c>
      <c r="F2405" t="inlineStr">
        <is>
          <t>biosphere</t>
        </is>
      </c>
      <c r="H2405" t="inlineStr">
        <is>
          <t>Pentane</t>
        </is>
      </c>
      <c r="I2405">
        <v>0</v>
      </c>
    </row>
    <row r="2406">
      <c r="A2406" t="inlineStr">
        <is>
          <t>Hexane</t>
        </is>
      </c>
      <c r="B2406">
        <v>2.1878235223511317e-07</v>
      </c>
      <c r="D2406" t="inlineStr">
        <is>
          <t>kilogram</t>
        </is>
      </c>
      <c r="E2406" t="inlineStr">
        <is>
          <t>air::urban air close to ground</t>
        </is>
      </c>
      <c r="F2406" t="inlineStr">
        <is>
          <t>biosphere</t>
        </is>
      </c>
      <c r="H2406" t="inlineStr">
        <is>
          <t>Hexane</t>
        </is>
      </c>
      <c r="I2406">
        <v>0</v>
      </c>
    </row>
    <row r="2407">
      <c r="A2407" t="inlineStr">
        <is>
          <t>Cyclohexane</t>
        </is>
      </c>
      <c r="B2407">
        <v>1.5491421214163292e-07</v>
      </c>
      <c r="D2407" t="inlineStr">
        <is>
          <t>kilogram</t>
        </is>
      </c>
      <c r="E2407" t="inlineStr">
        <is>
          <t>air::urban air close to ground</t>
        </is>
      </c>
      <c r="F2407" t="inlineStr">
        <is>
          <t>biosphere</t>
        </is>
      </c>
      <c r="H2407" t="inlineStr">
        <is>
          <t>Cyclohexane</t>
        </is>
      </c>
      <c r="I2407">
        <v>0</v>
      </c>
    </row>
    <row r="2408">
      <c r="A2408" t="inlineStr">
        <is>
          <t>Heptane</t>
        </is>
      </c>
      <c r="B2408">
        <v>1.0055834823228804e-07</v>
      </c>
      <c r="D2408" t="inlineStr">
        <is>
          <t>kilogram</t>
        </is>
      </c>
      <c r="E2408" t="inlineStr">
        <is>
          <t>air::urban air close to ground</t>
        </is>
      </c>
      <c r="F2408" t="inlineStr">
        <is>
          <t>biosphere</t>
        </is>
      </c>
      <c r="H2408" t="inlineStr">
        <is>
          <t>Heptane</t>
        </is>
      </c>
      <c r="I2408">
        <v>0</v>
      </c>
    </row>
    <row r="2409">
      <c r="A2409" t="inlineStr">
        <is>
          <t>Ethylene</t>
        </is>
      </c>
      <c r="B2409">
        <v>9.919945163455441e-07</v>
      </c>
      <c r="D2409" t="inlineStr">
        <is>
          <t>kilogram</t>
        </is>
      </c>
      <c r="E2409" t="inlineStr">
        <is>
          <t>air::urban air close to ground</t>
        </is>
      </c>
      <c r="F2409" t="inlineStr">
        <is>
          <t>biosphere</t>
        </is>
      </c>
      <c r="H2409" t="inlineStr">
        <is>
          <t>Ethene</t>
        </is>
      </c>
      <c r="I2409">
        <v>0</v>
      </c>
    </row>
    <row r="2410">
      <c r="A2410" t="inlineStr">
        <is>
          <t>Propylene</t>
        </is>
      </c>
      <c r="B2410">
        <v>5.190985003342436e-07</v>
      </c>
      <c r="D2410" t="inlineStr">
        <is>
          <t>kilogram</t>
        </is>
      </c>
      <c r="E2410" t="inlineStr">
        <is>
          <t>air::urban air close to ground</t>
        </is>
      </c>
      <c r="F2410" t="inlineStr">
        <is>
          <t>biosphere</t>
        </is>
      </c>
      <c r="H2410" t="inlineStr">
        <is>
          <t>Propene</t>
        </is>
      </c>
      <c r="I2410">
        <v>0</v>
      </c>
    </row>
    <row r="2411">
      <c r="A2411" t="inlineStr">
        <is>
          <t>1-Pentene</t>
        </is>
      </c>
      <c r="B2411">
        <v>1.4947862575069847e-08</v>
      </c>
      <c r="D2411" t="inlineStr">
        <is>
          <t>kilogram</t>
        </is>
      </c>
      <c r="E2411" t="inlineStr">
        <is>
          <t>air::urban air close to ground</t>
        </is>
      </c>
      <c r="F2411" t="inlineStr">
        <is>
          <t>biosphere</t>
        </is>
      </c>
      <c r="H2411" t="inlineStr">
        <is>
          <t>1-Pentene</t>
        </is>
      </c>
      <c r="I2411">
        <v>0</v>
      </c>
    </row>
    <row r="2412">
      <c r="A2412" t="inlineStr">
        <is>
          <t>Toluene</t>
        </is>
      </c>
      <c r="B2412">
        <v>1.4920684643115172e-06</v>
      </c>
      <c r="D2412" t="inlineStr">
        <is>
          <t>kilogram</t>
        </is>
      </c>
      <c r="E2412" t="inlineStr">
        <is>
          <t>air::urban air close to ground</t>
        </is>
      </c>
      <c r="F2412" t="inlineStr">
        <is>
          <t>biosphere</t>
        </is>
      </c>
      <c r="H2412" t="inlineStr">
        <is>
          <t>Toluene</t>
        </is>
      </c>
      <c r="I2412">
        <v>0</v>
      </c>
    </row>
    <row r="2413">
      <c r="A2413" t="inlineStr">
        <is>
          <t>m-Xylene</t>
        </is>
      </c>
      <c r="B2413">
        <v>7.37880852569357e-07</v>
      </c>
      <c r="D2413" t="inlineStr">
        <is>
          <t>kilogram</t>
        </is>
      </c>
      <c r="E2413" t="inlineStr">
        <is>
          <t>air::urban air close to ground</t>
        </is>
      </c>
      <c r="F2413" t="inlineStr">
        <is>
          <t>biosphere</t>
        </is>
      </c>
      <c r="H2413" t="inlineStr">
        <is>
          <t>m-Xylene</t>
        </is>
      </c>
      <c r="I2413">
        <v>0</v>
      </c>
    </row>
    <row r="2414">
      <c r="A2414" t="inlineStr">
        <is>
          <t>o-Xylene</t>
        </is>
      </c>
      <c r="B2414">
        <v>3.071106310877986e-07</v>
      </c>
      <c r="D2414" t="inlineStr">
        <is>
          <t>kilogram</t>
        </is>
      </c>
      <c r="E2414" t="inlineStr">
        <is>
          <t>air::urban air close to ground</t>
        </is>
      </c>
      <c r="F2414" t="inlineStr">
        <is>
          <t>biosphere</t>
        </is>
      </c>
      <c r="H2414" t="inlineStr">
        <is>
          <t>o-Xylene</t>
        </is>
      </c>
      <c r="I2414">
        <v>0</v>
      </c>
    </row>
    <row r="2415">
      <c r="A2415" t="inlineStr">
        <is>
          <t>Formaldehyde</t>
        </is>
      </c>
      <c r="B2415">
        <v>2.310124216147158e-07</v>
      </c>
      <c r="D2415" t="inlineStr">
        <is>
          <t>kilogram</t>
        </is>
      </c>
      <c r="E2415" t="inlineStr">
        <is>
          <t>air::urban air close to ground</t>
        </is>
      </c>
      <c r="F2415" t="inlineStr">
        <is>
          <t>biosphere</t>
        </is>
      </c>
      <c r="H2415" t="inlineStr">
        <is>
          <t>Formaldehyde</t>
        </is>
      </c>
      <c r="I2415">
        <v>0</v>
      </c>
    </row>
    <row r="2416">
      <c r="A2416" t="inlineStr">
        <is>
          <t>Acetaldehyde</t>
        </is>
      </c>
      <c r="B2416">
        <v>1.0191724483002165e-07</v>
      </c>
      <c r="D2416" t="inlineStr">
        <is>
          <t>kilogram</t>
        </is>
      </c>
      <c r="E2416" t="inlineStr">
        <is>
          <t>air::urban air close to ground</t>
        </is>
      </c>
      <c r="F2416" t="inlineStr">
        <is>
          <t>biosphere</t>
        </is>
      </c>
      <c r="H2416" t="inlineStr">
        <is>
          <t>Acetaldehyde</t>
        </is>
      </c>
      <c r="I2416">
        <v>0</v>
      </c>
    </row>
    <row r="2417">
      <c r="A2417" t="inlineStr">
        <is>
          <t>Benzaldehyde</t>
        </is>
      </c>
      <c r="B2417">
        <v>2.9895725150139694e-08</v>
      </c>
      <c r="D2417" t="inlineStr">
        <is>
          <t>kilogram</t>
        </is>
      </c>
      <c r="E2417" t="inlineStr">
        <is>
          <t>air::urban air close to ground</t>
        </is>
      </c>
      <c r="F2417" t="inlineStr">
        <is>
          <t>biosphere</t>
        </is>
      </c>
      <c r="H2417" t="inlineStr">
        <is>
          <t>Benzaldehyde</t>
        </is>
      </c>
      <c r="I2417">
        <v>0</v>
      </c>
    </row>
    <row r="2418">
      <c r="A2418" t="inlineStr">
        <is>
          <t>Acetone</t>
        </is>
      </c>
      <c r="B2418">
        <v>8.289269246175097e-08</v>
      </c>
      <c r="D2418" t="inlineStr">
        <is>
          <t>kilogram</t>
        </is>
      </c>
      <c r="E2418" t="inlineStr">
        <is>
          <t>air::urban air close to ground</t>
        </is>
      </c>
      <c r="F2418" t="inlineStr">
        <is>
          <t>biosphere</t>
        </is>
      </c>
      <c r="H2418" t="inlineStr">
        <is>
          <t>Acetone</t>
        </is>
      </c>
      <c r="I2418">
        <v>0</v>
      </c>
    </row>
    <row r="2419">
      <c r="A2419" t="inlineStr">
        <is>
          <t>Methyl ethyl ketone</t>
        </is>
      </c>
      <c r="B2419">
        <v>0.0</v>
      </c>
      <c r="D2419" t="inlineStr">
        <is>
          <t>kilogram</t>
        </is>
      </c>
      <c r="E2419" t="inlineStr">
        <is>
          <t>air::urban air close to ground</t>
        </is>
      </c>
      <c r="F2419" t="inlineStr">
        <is>
          <t>biosphere</t>
        </is>
      </c>
      <c r="H2419" t="inlineStr">
        <is>
          <t>Methyl ethyl ketone</t>
        </is>
      </c>
      <c r="I2419">
        <v>0</v>
      </c>
    </row>
    <row r="2420">
      <c r="A2420" t="inlineStr">
        <is>
          <t>Acrolein</t>
        </is>
      </c>
      <c r="B2420">
        <v>2.581903535693882e-08</v>
      </c>
      <c r="D2420" t="inlineStr">
        <is>
          <t>kilogram</t>
        </is>
      </c>
      <c r="E2420" t="inlineStr">
        <is>
          <t>air::urban air close to ground</t>
        </is>
      </c>
      <c r="F2420" t="inlineStr">
        <is>
          <t>biosphere</t>
        </is>
      </c>
      <c r="H2420" t="inlineStr">
        <is>
          <t>Acrolein</t>
        </is>
      </c>
      <c r="I2420">
        <v>0</v>
      </c>
    </row>
    <row r="2421">
      <c r="A2421" t="inlineStr">
        <is>
          <t>Styrene</t>
        </is>
      </c>
      <c r="B2421">
        <v>1.3724855637109585e-07</v>
      </c>
      <c r="D2421" t="inlineStr">
        <is>
          <t>kilogram</t>
        </is>
      </c>
      <c r="E2421" t="inlineStr">
        <is>
          <t>air::urban air close to ground</t>
        </is>
      </c>
      <c r="F2421" t="inlineStr">
        <is>
          <t>biosphere</t>
        </is>
      </c>
      <c r="H2421" t="inlineStr">
        <is>
          <t>Styrene</t>
        </is>
      </c>
      <c r="I2421">
        <v>0</v>
      </c>
    </row>
    <row r="2422">
      <c r="A2422" t="inlineStr">
        <is>
          <t>PAH, polycyclic aromatic hydrocarbons</t>
        </is>
      </c>
      <c r="B2422">
        <v>8.188235294117648e-10</v>
      </c>
      <c r="D2422" t="inlineStr">
        <is>
          <t>kilogram</t>
        </is>
      </c>
      <c r="E2422" t="inlineStr">
        <is>
          <t>air::urban air close to ground</t>
        </is>
      </c>
      <c r="F2422" t="inlineStr">
        <is>
          <t>biosphere</t>
        </is>
      </c>
      <c r="H2422" t="inlineStr">
        <is>
          <t>PAHs</t>
        </is>
      </c>
      <c r="I2422">
        <v>0</v>
      </c>
    </row>
    <row r="2423">
      <c r="A2423" t="inlineStr">
        <is>
          <t>Arsenic ion</t>
        </is>
      </c>
      <c r="B2423">
        <v>7.058823529411766e-12</v>
      </c>
      <c r="D2423" t="inlineStr">
        <is>
          <t>kilogram</t>
        </is>
      </c>
      <c r="E2423" t="inlineStr">
        <is>
          <t>air::urban air close to ground</t>
        </is>
      </c>
      <c r="F2423" t="inlineStr">
        <is>
          <t>biosphere</t>
        </is>
      </c>
      <c r="H2423" t="inlineStr">
        <is>
          <t>Arsenic</t>
        </is>
      </c>
      <c r="I2423">
        <v>0</v>
      </c>
    </row>
    <row r="2424">
      <c r="A2424" t="inlineStr">
        <is>
          <t>Selenium IV</t>
        </is>
      </c>
      <c r="B2424">
        <v>4.705882352941177e-12</v>
      </c>
      <c r="D2424" t="inlineStr">
        <is>
          <t>kilogram</t>
        </is>
      </c>
      <c r="E2424" t="inlineStr">
        <is>
          <t>air::urban air close to ground</t>
        </is>
      </c>
      <c r="F2424" t="inlineStr">
        <is>
          <t>biosphere</t>
        </is>
      </c>
      <c r="H2424" t="inlineStr">
        <is>
          <t>Selenium</t>
        </is>
      </c>
      <c r="I2424">
        <v>0</v>
      </c>
    </row>
    <row r="2425">
      <c r="A2425" t="inlineStr">
        <is>
          <t>Zinc II</t>
        </is>
      </c>
      <c r="B2425">
        <v>5.082352941176471e-08</v>
      </c>
      <c r="D2425" t="inlineStr">
        <is>
          <t>kilogram</t>
        </is>
      </c>
      <c r="E2425" t="inlineStr">
        <is>
          <t>air::urban air close to ground</t>
        </is>
      </c>
      <c r="F2425" t="inlineStr">
        <is>
          <t>biosphere</t>
        </is>
      </c>
      <c r="H2425" t="inlineStr">
        <is>
          <t>Zinc</t>
        </is>
      </c>
      <c r="I2425">
        <v>0</v>
      </c>
    </row>
    <row r="2426">
      <c r="A2426" t="inlineStr">
        <is>
          <t>Copper ion</t>
        </is>
      </c>
      <c r="B2426">
        <v>9.88235294117647e-10</v>
      </c>
      <c r="D2426" t="inlineStr">
        <is>
          <t>kilogram</t>
        </is>
      </c>
      <c r="E2426" t="inlineStr">
        <is>
          <t>air::urban air close to ground</t>
        </is>
      </c>
      <c r="F2426" t="inlineStr">
        <is>
          <t>biosphere</t>
        </is>
      </c>
      <c r="H2426" t="inlineStr">
        <is>
          <t>Copper</t>
        </is>
      </c>
      <c r="I2426">
        <v>0</v>
      </c>
    </row>
    <row r="2427">
      <c r="A2427" t="inlineStr">
        <is>
          <t>Nickel II</t>
        </is>
      </c>
      <c r="B2427">
        <v>3.058823529411765e-10</v>
      </c>
      <c r="D2427" t="inlineStr">
        <is>
          <t>kilogram</t>
        </is>
      </c>
      <c r="E2427" t="inlineStr">
        <is>
          <t>air::urban air close to ground</t>
        </is>
      </c>
      <c r="F2427" t="inlineStr">
        <is>
          <t>biosphere</t>
        </is>
      </c>
      <c r="H2427" t="inlineStr">
        <is>
          <t>Nickel</t>
        </is>
      </c>
      <c r="I2427">
        <v>0</v>
      </c>
    </row>
    <row r="2428">
      <c r="A2428" t="inlineStr">
        <is>
          <t>Chromium III</t>
        </is>
      </c>
      <c r="B2428">
        <v>3.7647058823529416e-10</v>
      </c>
      <c r="D2428" t="inlineStr">
        <is>
          <t>kilogram</t>
        </is>
      </c>
      <c r="E2428" t="inlineStr">
        <is>
          <t>air::urban air close to ground</t>
        </is>
      </c>
      <c r="F2428" t="inlineStr">
        <is>
          <t>biosphere</t>
        </is>
      </c>
      <c r="H2428" t="inlineStr">
        <is>
          <t>Chromium</t>
        </is>
      </c>
      <c r="I2428">
        <v>0</v>
      </c>
    </row>
    <row r="2429">
      <c r="A2429" t="inlineStr">
        <is>
          <t>Chromium VI</t>
        </is>
      </c>
      <c r="B2429">
        <v>7.529411764705882e-13</v>
      </c>
      <c r="D2429" t="inlineStr">
        <is>
          <t>kilogram</t>
        </is>
      </c>
      <c r="E2429" t="inlineStr">
        <is>
          <t>air::urban air close to ground</t>
        </is>
      </c>
      <c r="F2429" t="inlineStr">
        <is>
          <t>biosphere</t>
        </is>
      </c>
      <c r="H2429" t="inlineStr">
        <is>
          <t>Chromium VI</t>
        </is>
      </c>
      <c r="I2429">
        <v>0</v>
      </c>
    </row>
    <row r="2430">
      <c r="A2430" t="inlineStr">
        <is>
          <t>Mercury II</t>
        </is>
      </c>
      <c r="B2430">
        <v>2.047058823529412e-10</v>
      </c>
      <c r="D2430" t="inlineStr">
        <is>
          <t>kilogram</t>
        </is>
      </c>
      <c r="E2430" t="inlineStr">
        <is>
          <t>air::urban air close to ground</t>
        </is>
      </c>
      <c r="F2430" t="inlineStr">
        <is>
          <t>biosphere</t>
        </is>
      </c>
      <c r="H2430" t="inlineStr">
        <is>
          <t>Mercury</t>
        </is>
      </c>
      <c r="I2430">
        <v>0</v>
      </c>
    </row>
    <row r="2431">
      <c r="A2431" t="inlineStr">
        <is>
          <t>Cadmium II</t>
        </is>
      </c>
      <c r="B2431">
        <v>2.541176470588236e-10</v>
      </c>
      <c r="D2431" t="inlineStr">
        <is>
          <t>kilogram</t>
        </is>
      </c>
      <c r="E2431" t="inlineStr">
        <is>
          <t>air::urban air close to ground</t>
        </is>
      </c>
      <c r="F2431" t="inlineStr">
        <is>
          <t>biosphere</t>
        </is>
      </c>
      <c r="H2431" t="inlineStr">
        <is>
          <t>Cadmium</t>
        </is>
      </c>
      <c r="I2431">
        <v>0</v>
      </c>
    </row>
    <row r="2432">
      <c r="A2432" t="inlineStr">
        <is>
          <t>treatment of road wear emissions, passenger car</t>
        </is>
      </c>
      <c r="B2432">
        <v>-5.857039126012582e-06</v>
      </c>
      <c r="C2432" t="inlineStr">
        <is>
          <t>RER</t>
        </is>
      </c>
      <c r="D2432" t="inlineStr">
        <is>
          <t>kilogram</t>
        </is>
      </c>
      <c r="F2432" t="inlineStr">
        <is>
          <t>technosphere</t>
        </is>
      </c>
      <c r="G2432" t="inlineStr">
        <is>
          <t>road wear emissions, passenger car</t>
        </is>
      </c>
      <c r="H2432" t="inlineStr">
        <is>
          <t>Road wear [kg/km]</t>
        </is>
      </c>
      <c r="I2432">
        <v>0</v>
      </c>
    </row>
    <row r="2433">
      <c r="A2433" t="inlineStr">
        <is>
          <t>treatment of tyre wear emissions, passenger car</t>
        </is>
      </c>
      <c r="B2433">
        <v>-3.886222117725553e-06</v>
      </c>
      <c r="C2433" t="inlineStr">
        <is>
          <t>RER</t>
        </is>
      </c>
      <c r="D2433" t="inlineStr">
        <is>
          <t>kilogram</t>
        </is>
      </c>
      <c r="F2433" t="inlineStr">
        <is>
          <t>technosphere</t>
        </is>
      </c>
      <c r="G2433" t="inlineStr">
        <is>
          <t>tyre wear emissions, passenger car</t>
        </is>
      </c>
      <c r="H2433" t="inlineStr">
        <is>
          <t>Tire wear [kg/km]</t>
        </is>
      </c>
      <c r="I2433">
        <v>0</v>
      </c>
    </row>
    <row r="2434">
      <c r="A2434" t="inlineStr">
        <is>
          <t>treatment of brake wear emissions, passenger car</t>
        </is>
      </c>
      <c r="B2434">
        <v>-2.1569214522274334e-06</v>
      </c>
      <c r="C2434" t="inlineStr">
        <is>
          <t>RER</t>
        </is>
      </c>
      <c r="D2434" t="inlineStr">
        <is>
          <t>kilogram</t>
        </is>
      </c>
      <c r="F2434" t="inlineStr">
        <is>
          <t>technosphere</t>
        </is>
      </c>
      <c r="G2434" t="inlineStr">
        <is>
          <t>brake wear emissions, passenger car</t>
        </is>
      </c>
      <c r="H2434" t="inlineStr">
        <is>
          <t>Brake wear [kg/km]</t>
        </is>
      </c>
      <c r="I2434">
        <v>0</v>
      </c>
    </row>
    <row r="2435"/>
    <row r="2436">
      <c r="A2436" t="inlineStr">
        <is>
          <t>Activity</t>
        </is>
      </c>
      <c r="B2436" t="inlineStr">
        <is>
          <t>diesel, burned in heavy duty vehicle</t>
        </is>
      </c>
    </row>
    <row r="2437">
      <c r="A2437" t="inlineStr">
        <is>
          <t>location</t>
        </is>
      </c>
      <c r="B2437" t="inlineStr">
        <is>
          <t>CH</t>
        </is>
      </c>
    </row>
    <row r="2438">
      <c r="A2438" t="inlineStr">
        <is>
          <t>production amount</t>
        </is>
      </c>
      <c r="B2438">
        <v>1</v>
      </c>
    </row>
    <row r="2439">
      <c r="A2439" t="inlineStr">
        <is>
          <t>reference product</t>
        </is>
      </c>
      <c r="B2439" t="inlineStr">
        <is>
          <t>heat</t>
        </is>
      </c>
    </row>
    <row r="2440">
      <c r="A2440" t="inlineStr">
        <is>
          <t>type</t>
        </is>
      </c>
      <c r="B2440" t="inlineStr">
        <is>
          <t>process</t>
        </is>
      </c>
    </row>
    <row r="2441">
      <c r="A2441" t="inlineStr">
        <is>
          <t>unit</t>
        </is>
      </c>
      <c r="B2441" t="inlineStr">
        <is>
          <t>megajoule</t>
        </is>
      </c>
    </row>
    <row r="2442">
      <c r="A2442" t="inlineStr">
        <is>
          <t>source</t>
        </is>
      </c>
      <c r="B2442" t="inlineStr">
        <is>
          <t>Sacchi, R., Bauer, C., and Cox, B. Does size matter? The influence of size, load factor, range autonomy and application type on the Life Cycle Assessment of current and future trucks. 2021. Environmental Science and Technology.</t>
        </is>
      </c>
    </row>
    <row r="2443">
      <c r="A2443" t="inlineStr">
        <is>
          <t>description</t>
        </is>
      </c>
      <c r="B2443"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444">
      <c r="A2444" t="inlineStr">
        <is>
          <t>comment</t>
        </is>
      </c>
      <c r="B2444"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445">
      <c r="A2445" t="inlineStr">
        <is>
          <t>energy use source</t>
        </is>
      </c>
      <c r="B2445"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446">
      <c r="A2446" t="inlineStr">
        <is>
          <t>Exchanges</t>
        </is>
      </c>
    </row>
    <row r="2447">
      <c r="A2447" t="inlineStr">
        <is>
          <t>name</t>
        </is>
      </c>
      <c r="B2447" t="inlineStr">
        <is>
          <t>amount</t>
        </is>
      </c>
      <c r="C2447" t="inlineStr">
        <is>
          <t>location</t>
        </is>
      </c>
      <c r="D2447" t="inlineStr">
        <is>
          <t>unit</t>
        </is>
      </c>
      <c r="E2447" t="inlineStr">
        <is>
          <t>categories</t>
        </is>
      </c>
      <c r="F2447" t="inlineStr">
        <is>
          <t>type</t>
        </is>
      </c>
      <c r="G2447" t="inlineStr">
        <is>
          <t>reference product</t>
        </is>
      </c>
      <c r="H2447" t="inlineStr">
        <is>
          <t>comment</t>
        </is>
      </c>
      <c r="I2447" t="inlineStr">
        <is>
          <t>uncertainty type</t>
        </is>
      </c>
    </row>
    <row r="2448">
      <c r="A2448" t="inlineStr">
        <is>
          <t>diesel, burned in heavy duty vehicle</t>
        </is>
      </c>
      <c r="B2448">
        <v>1.0</v>
      </c>
      <c r="C2448" t="inlineStr">
        <is>
          <t>CH</t>
        </is>
      </c>
      <c r="D2448" t="inlineStr">
        <is>
          <t>megajoule</t>
        </is>
      </c>
      <c r="E2448" t="inlineStr">
        <is>
          <t/>
        </is>
      </c>
      <c r="F2448" t="inlineStr">
        <is>
          <t>production</t>
        </is>
      </c>
      <c r="G2448" t="inlineStr">
        <is>
          <t>heat</t>
        </is>
      </c>
      <c r="I2448">
        <v>0</v>
      </c>
    </row>
    <row r="2449">
      <c r="A2449" t="inlineStr">
        <is>
          <t>market for diesel, low-sulfur</t>
        </is>
      </c>
      <c r="B2449">
        <v>0.023255813953488372</v>
      </c>
      <c r="C2449" t="inlineStr">
        <is>
          <t>Europe without Switzerland</t>
        </is>
      </c>
      <c r="D2449" t="inlineStr">
        <is>
          <t>kilogram</t>
        </is>
      </c>
      <c r="F2449" t="inlineStr">
        <is>
          <t>technosphere</t>
        </is>
      </c>
      <c r="G2449" t="inlineStr">
        <is>
          <t>diesel, low-sulfur</t>
        </is>
      </c>
      <c r="H2449" t="inlineStr">
        <is>
          <t>Model fuel energy retained: 1.21344858584 MJ/tkm; reference LHV 43.0 MJ/kg. Premise determines regional blends.</t>
        </is>
      </c>
      <c r="I2449">
        <v>0</v>
      </c>
    </row>
    <row r="2450">
      <c r="A2450" t="inlineStr">
        <is>
          <t>market for tetrafluoroethane, R134a</t>
        </is>
      </c>
      <c r="B2450">
        <v>2.2988634886667227e-07</v>
      </c>
      <c r="C2450" t="inlineStr">
        <is>
          <t>GLO</t>
        </is>
      </c>
      <c r="D2450" t="inlineStr">
        <is>
          <t>kilogram</t>
        </is>
      </c>
      <c r="F2450" t="inlineStr">
        <is>
          <t>technosphere</t>
        </is>
      </c>
      <c r="G2450" t="inlineStr">
        <is>
          <t>tetrafluoroethane, R134a</t>
        </is>
      </c>
      <c r="I2450">
        <v>0</v>
      </c>
    </row>
    <row r="2451">
      <c r="A2451" t="inlineStr">
        <is>
          <t>treatment of brake wear emissions, lorry</t>
        </is>
      </c>
      <c r="B2451">
        <v>-8.332264901167272e-06</v>
      </c>
      <c r="C2451" t="inlineStr">
        <is>
          <t>RER</t>
        </is>
      </c>
      <c r="D2451" t="inlineStr">
        <is>
          <t>kilogram</t>
        </is>
      </c>
      <c r="F2451" t="inlineStr">
        <is>
          <t>technosphere</t>
        </is>
      </c>
      <c r="G2451" t="inlineStr">
        <is>
          <t>brake wear emissions, lorry</t>
        </is>
      </c>
      <c r="I2451">
        <v>0</v>
      </c>
    </row>
    <row r="2452">
      <c r="A2452" t="inlineStr">
        <is>
          <t>treatment of road wear emissions, lorry</t>
        </is>
      </c>
      <c r="B2452">
        <v>-1.0511814175882647e-05</v>
      </c>
      <c r="C2452" t="inlineStr">
        <is>
          <t>RER</t>
        </is>
      </c>
      <c r="D2452" t="inlineStr">
        <is>
          <t>kilogram</t>
        </is>
      </c>
      <c r="F2452" t="inlineStr">
        <is>
          <t>technosphere</t>
        </is>
      </c>
      <c r="G2452" t="inlineStr">
        <is>
          <t>road wear emissions, lorry</t>
        </is>
      </c>
      <c r="I2452">
        <v>0</v>
      </c>
    </row>
    <row r="2453">
      <c r="A2453" t="inlineStr">
        <is>
          <t>treatment of tyre wear emissions, lorry</t>
        </is>
      </c>
      <c r="B2453">
        <v>-8.54276405830878e-06</v>
      </c>
      <c r="C2453" t="inlineStr">
        <is>
          <t>RER</t>
        </is>
      </c>
      <c r="D2453" t="inlineStr">
        <is>
          <t>kilogram</t>
        </is>
      </c>
      <c r="F2453" t="inlineStr">
        <is>
          <t>technosphere</t>
        </is>
      </c>
      <c r="G2453" t="inlineStr">
        <is>
          <t>tyre wear emissions, lorry</t>
        </is>
      </c>
      <c r="I2453">
        <v>0</v>
      </c>
    </row>
    <row r="2454">
      <c r="A2454" t="inlineStr">
        <is>
          <t>Toluene</t>
        </is>
      </c>
      <c r="B2454">
        <v>9.72817404061121e-11</v>
      </c>
      <c r="D2454" t="inlineStr">
        <is>
          <t>kilogram</t>
        </is>
      </c>
      <c r="E2454" t="inlineStr">
        <is>
          <t>air::non-urban air or from high stacks</t>
        </is>
      </c>
      <c r="F2454" t="inlineStr">
        <is>
          <t>biosphere</t>
        </is>
      </c>
      <c r="I2454">
        <v>0</v>
      </c>
    </row>
    <row r="2455">
      <c r="A2455" t="inlineStr">
        <is>
          <t>NMVOC, non-methane volatile organic compounds</t>
        </is>
      </c>
      <c r="B2455">
        <v>7.909005533746073e-07</v>
      </c>
      <c r="D2455" t="inlineStr">
        <is>
          <t>kilogram</t>
        </is>
      </c>
      <c r="E2455" t="inlineStr">
        <is>
          <t>air::non-urban air or from high stacks</t>
        </is>
      </c>
      <c r="F2455" t="inlineStr">
        <is>
          <t>biosphere</t>
        </is>
      </c>
      <c r="I2455">
        <v>0</v>
      </c>
    </row>
    <row r="2456">
      <c r="A2456" t="inlineStr">
        <is>
          <t>Dinitrogen monoxide</t>
        </is>
      </c>
      <c r="B2456">
        <v>1.9725120204580215e-05</v>
      </c>
      <c r="D2456" t="inlineStr">
        <is>
          <t>kilogram</t>
        </is>
      </c>
      <c r="E2456" t="inlineStr">
        <is>
          <t>air::non-urban air or from high stacks</t>
        </is>
      </c>
      <c r="F2456" t="inlineStr">
        <is>
          <t>biosphere</t>
        </is>
      </c>
      <c r="I2456">
        <v>0</v>
      </c>
    </row>
    <row r="2457">
      <c r="A2457" t="inlineStr">
        <is>
          <t>Ethane</t>
        </is>
      </c>
      <c r="B2457">
        <v>1.0891786400309831e-10</v>
      </c>
      <c r="D2457" t="inlineStr">
        <is>
          <t>kilogram</t>
        </is>
      </c>
      <c r="E2457" t="inlineStr">
        <is>
          <t>air::urban air close to ground</t>
        </is>
      </c>
      <c r="F2457" t="inlineStr">
        <is>
          <t>biosphere</t>
        </is>
      </c>
      <c r="I2457">
        <v>0</v>
      </c>
    </row>
    <row r="2458">
      <c r="A2458" t="inlineStr">
        <is>
          <t>Pentane</t>
        </is>
      </c>
      <c r="B2458">
        <v>2.178357280061967e-10</v>
      </c>
      <c r="D2458" t="inlineStr">
        <is>
          <t>kilogram</t>
        </is>
      </c>
      <c r="E2458" t="inlineStr">
        <is>
          <t>air::urban air close to ground</t>
        </is>
      </c>
      <c r="F2458" t="inlineStr">
        <is>
          <t>biosphere</t>
        </is>
      </c>
      <c r="I2458">
        <v>0</v>
      </c>
    </row>
    <row r="2459">
      <c r="A2459" t="inlineStr">
        <is>
          <t>Selenium IV</t>
        </is>
      </c>
      <c r="B2459">
        <v>1.6967614759358543e-12</v>
      </c>
      <c r="D2459" t="inlineStr">
        <is>
          <t>kilogram</t>
        </is>
      </c>
      <c r="E2459" t="inlineStr">
        <is>
          <t>air::non-urban air or from high stacks</t>
        </is>
      </c>
      <c r="F2459" t="inlineStr">
        <is>
          <t>biosphere</t>
        </is>
      </c>
      <c r="I2459">
        <v>0</v>
      </c>
    </row>
    <row r="2460">
      <c r="A2460" t="inlineStr">
        <is>
          <t>Arsenic ion</t>
        </is>
      </c>
      <c r="B2460">
        <v>1.6967614759358543e-12</v>
      </c>
      <c r="D2460" t="inlineStr">
        <is>
          <t>kilogram</t>
        </is>
      </c>
      <c r="E2460" t="inlineStr">
        <is>
          <t>air::non-urban air or from high stacks</t>
        </is>
      </c>
      <c r="F2460" t="inlineStr">
        <is>
          <t>biosphere</t>
        </is>
      </c>
      <c r="I2460">
        <v>0</v>
      </c>
    </row>
    <row r="2461">
      <c r="A2461" t="inlineStr">
        <is>
          <t>Arsenic ion</t>
        </is>
      </c>
      <c r="B2461">
        <v>6.332385327245513e-13</v>
      </c>
      <c r="D2461" t="inlineStr">
        <is>
          <t>kilogram</t>
        </is>
      </c>
      <c r="E2461" t="inlineStr">
        <is>
          <t>air::urban air close to ground</t>
        </is>
      </c>
      <c r="F2461" t="inlineStr">
        <is>
          <t>biosphere</t>
        </is>
      </c>
      <c r="I2461">
        <v>0</v>
      </c>
    </row>
    <row r="2462">
      <c r="A2462" t="inlineStr">
        <is>
          <t>Particulate Matter, &lt; 2.5 um</t>
        </is>
      </c>
      <c r="B2462">
        <v>1.7825282603055566e-07</v>
      </c>
      <c r="D2462" t="inlineStr">
        <is>
          <t>kilogram</t>
        </is>
      </c>
      <c r="E2462" t="inlineStr">
        <is>
          <t>air::urban air close to ground</t>
        </is>
      </c>
      <c r="F2462" t="inlineStr">
        <is>
          <t>biosphere</t>
        </is>
      </c>
      <c r="I2462">
        <v>0</v>
      </c>
    </row>
    <row r="2463">
      <c r="A2463" t="inlineStr">
        <is>
          <t>Nickel II</t>
        </is>
      </c>
      <c r="B2463">
        <v>3.3862406923329497e-12</v>
      </c>
      <c r="D2463" t="inlineStr">
        <is>
          <t>kilogram</t>
        </is>
      </c>
      <c r="E2463" t="inlineStr">
        <is>
          <t>air::non-urban air or from high stacks</t>
        </is>
      </c>
      <c r="F2463" t="inlineStr">
        <is>
          <t>biosphere</t>
        </is>
      </c>
      <c r="I2463">
        <v>0</v>
      </c>
    </row>
    <row r="2464">
      <c r="A2464" t="inlineStr">
        <is>
          <t>Methane, fossil</t>
        </is>
      </c>
      <c r="B2464">
        <v>2.3921714073582906e-08</v>
      </c>
      <c r="D2464" t="inlineStr">
        <is>
          <t>kilogram</t>
        </is>
      </c>
      <c r="E2464" t="inlineStr">
        <is>
          <t>air::non-urban air or from high stacks</t>
        </is>
      </c>
      <c r="F2464" t="inlineStr">
        <is>
          <t>biosphere</t>
        </is>
      </c>
      <c r="I2464">
        <v>0</v>
      </c>
    </row>
    <row r="2465">
      <c r="A2465" t="inlineStr">
        <is>
          <t>Mercury II</t>
        </is>
      </c>
      <c r="B2465">
        <v>8.957152806237827e-11</v>
      </c>
      <c r="D2465" t="inlineStr">
        <is>
          <t>kilogram</t>
        </is>
      </c>
      <c r="E2465" t="inlineStr">
        <is>
          <t>air::non-urban air or from high stacks</t>
        </is>
      </c>
      <c r="F2465" t="inlineStr">
        <is>
          <t>biosphere</t>
        </is>
      </c>
      <c r="I2465">
        <v>0</v>
      </c>
    </row>
    <row r="2466">
      <c r="A2466" t="inlineStr">
        <is>
          <t>Ammonia</t>
        </is>
      </c>
      <c r="B2466">
        <v>6.894575078264757e-06</v>
      </c>
      <c r="D2466" t="inlineStr">
        <is>
          <t>kilogram</t>
        </is>
      </c>
      <c r="E2466" t="inlineStr">
        <is>
          <t>air::non-urban air or from high stacks</t>
        </is>
      </c>
      <c r="F2466" t="inlineStr">
        <is>
          <t>biosphere</t>
        </is>
      </c>
      <c r="I2466">
        <v>0</v>
      </c>
    </row>
    <row r="2467">
      <c r="A2467" t="inlineStr">
        <is>
          <t>Ethane</t>
        </is>
      </c>
      <c r="B2467">
        <v>2.918452212183362e-10</v>
      </c>
      <c r="D2467" t="inlineStr">
        <is>
          <t>kilogram</t>
        </is>
      </c>
      <c r="E2467" t="inlineStr">
        <is>
          <t>air::non-urban air or from high stacks</t>
        </is>
      </c>
      <c r="F2467" t="inlineStr">
        <is>
          <t>biosphere</t>
        </is>
      </c>
      <c r="I2467">
        <v>0</v>
      </c>
    </row>
    <row r="2468">
      <c r="A2468" t="inlineStr">
        <is>
          <t>Nickel II</t>
        </is>
      </c>
      <c r="B2468">
        <v>1.263759195389486e-12</v>
      </c>
      <c r="D2468" t="inlineStr">
        <is>
          <t>kilogram</t>
        </is>
      </c>
      <c r="E2468" t="inlineStr">
        <is>
          <t>air::urban air close to ground</t>
        </is>
      </c>
      <c r="F2468" t="inlineStr">
        <is>
          <t>biosphere</t>
        </is>
      </c>
      <c r="I2468">
        <v>0</v>
      </c>
    </row>
    <row r="2469">
      <c r="A2469" t="inlineStr">
        <is>
          <t>Cadmium II</t>
        </is>
      </c>
      <c r="B2469">
        <v>8.447396081985474e-13</v>
      </c>
      <c r="D2469" t="inlineStr">
        <is>
          <t>kilogram</t>
        </is>
      </c>
      <c r="E2469" t="inlineStr">
        <is>
          <t>air::non-urban air or from high stacks</t>
        </is>
      </c>
      <c r="F2469" t="inlineStr">
        <is>
          <t>biosphere</t>
        </is>
      </c>
      <c r="I2469">
        <v>0</v>
      </c>
    </row>
    <row r="2470">
      <c r="A2470" t="inlineStr">
        <is>
          <t>Ammonia</t>
        </is>
      </c>
      <c r="B2470">
        <v>2.573084583766733e-06</v>
      </c>
      <c r="D2470" t="inlineStr">
        <is>
          <t>kilogram</t>
        </is>
      </c>
      <c r="E2470" t="inlineStr">
        <is>
          <t>air::urban air close to ground</t>
        </is>
      </c>
      <c r="F2470" t="inlineStr">
        <is>
          <t>biosphere</t>
        </is>
      </c>
      <c r="I2470">
        <v>0</v>
      </c>
    </row>
    <row r="2471">
      <c r="A2471" t="inlineStr">
        <is>
          <t>Butane</t>
        </is>
      </c>
      <c r="B2471">
        <v>1.4592261593886937e-09</v>
      </c>
      <c r="D2471" t="inlineStr">
        <is>
          <t>kilogram</t>
        </is>
      </c>
      <c r="E2471" t="inlineStr">
        <is>
          <t>air::non-urban air or from high stacks</t>
        </is>
      </c>
      <c r="F2471" t="inlineStr">
        <is>
          <t>biosphere</t>
        </is>
      </c>
      <c r="I2471">
        <v>0</v>
      </c>
    </row>
    <row r="2472">
      <c r="A2472" t="inlineStr">
        <is>
          <t>PAH, polycyclic aromatic hydrocarbons</t>
        </is>
      </c>
      <c r="B2472">
        <v>4.946326620454795e-10</v>
      </c>
      <c r="D2472" t="inlineStr">
        <is>
          <t>kilogram</t>
        </is>
      </c>
      <c r="E2472" t="inlineStr">
        <is>
          <t>air::urban air close to ground</t>
        </is>
      </c>
      <c r="F2472" t="inlineStr">
        <is>
          <t>biosphere</t>
        </is>
      </c>
      <c r="I2472">
        <v>0</v>
      </c>
    </row>
    <row r="2473">
      <c r="A2473" t="inlineStr">
        <is>
          <t>Copper ion</t>
        </is>
      </c>
      <c r="B2473">
        <v>9.685376539404841e-11</v>
      </c>
      <c r="D2473" t="inlineStr">
        <is>
          <t>kilogram</t>
        </is>
      </c>
      <c r="E2473" t="inlineStr">
        <is>
          <t>air::non-urban air or from high stacks</t>
        </is>
      </c>
      <c r="F2473" t="inlineStr">
        <is>
          <t>biosphere</t>
        </is>
      </c>
      <c r="I2473">
        <v>0</v>
      </c>
    </row>
    <row r="2474">
      <c r="A2474" t="inlineStr">
        <is>
          <t>Nitrogen oxides</t>
        </is>
      </c>
      <c r="B2474">
        <v>0.00018753997183161043</v>
      </c>
      <c r="D2474" t="inlineStr">
        <is>
          <t>kilogram</t>
        </is>
      </c>
      <c r="E2474" t="inlineStr">
        <is>
          <t>air::non-urban air or from high stacks</t>
        </is>
      </c>
      <c r="F2474" t="inlineStr">
        <is>
          <t>biosphere</t>
        </is>
      </c>
      <c r="I2474">
        <v>0</v>
      </c>
    </row>
    <row r="2475">
      <c r="A2475" t="inlineStr">
        <is>
          <t>Butane</t>
        </is>
      </c>
      <c r="B2475">
        <v>5.445893377811625e-10</v>
      </c>
      <c r="D2475" t="inlineStr">
        <is>
          <t>kilogram</t>
        </is>
      </c>
      <c r="E2475" t="inlineStr">
        <is>
          <t>air::urban air close to ground</t>
        </is>
      </c>
      <c r="F2475" t="inlineStr">
        <is>
          <t>biosphere</t>
        </is>
      </c>
      <c r="I2475">
        <v>0</v>
      </c>
    </row>
    <row r="2476">
      <c r="A2476" t="inlineStr">
        <is>
          <t>Copper ion</t>
        </is>
      </c>
      <c r="B2476">
        <v>3.6146231663205874e-11</v>
      </c>
      <c r="D2476" t="inlineStr">
        <is>
          <t>kilogram</t>
        </is>
      </c>
      <c r="E2476" t="inlineStr">
        <is>
          <t>air::urban air close to ground</t>
        </is>
      </c>
      <c r="F2476" t="inlineStr">
        <is>
          <t>biosphere</t>
        </is>
      </c>
      <c r="I2476">
        <v>0</v>
      </c>
    </row>
    <row r="2477">
      <c r="A2477" t="inlineStr">
        <is>
          <t>Chromium III</t>
        </is>
      </c>
      <c r="B2477">
        <v>5.3811684196359975e-11</v>
      </c>
      <c r="D2477" t="inlineStr">
        <is>
          <t>kilogram</t>
        </is>
      </c>
      <c r="E2477" t="inlineStr">
        <is>
          <t>air::urban air close to ground</t>
        </is>
      </c>
      <c r="F2477" t="inlineStr">
        <is>
          <t>biosphere</t>
        </is>
      </c>
      <c r="I2477">
        <v>0</v>
      </c>
    </row>
    <row r="2478">
      <c r="A2478" t="inlineStr">
        <is>
          <t>Propane</t>
        </is>
      </c>
      <c r="B2478">
        <v>3.6305953483321385e-10</v>
      </c>
      <c r="D2478" t="inlineStr">
        <is>
          <t>kilogram</t>
        </is>
      </c>
      <c r="E2478" t="inlineStr">
        <is>
          <t>air::urban air close to ground</t>
        </is>
      </c>
      <c r="F2478" t="inlineStr">
        <is>
          <t>biosphere</t>
        </is>
      </c>
      <c r="I2478">
        <v>0</v>
      </c>
    </row>
    <row r="2479">
      <c r="A2479" t="inlineStr">
        <is>
          <t>Toluene</t>
        </is>
      </c>
      <c r="B2479">
        <v>3.6305953927463155e-11</v>
      </c>
      <c r="D2479" t="inlineStr">
        <is>
          <t>kilogram</t>
        </is>
      </c>
      <c r="E2479" t="inlineStr">
        <is>
          <t>air::urban air close to ground</t>
        </is>
      </c>
      <c r="F2479" t="inlineStr">
        <is>
          <t>biosphere</t>
        </is>
      </c>
      <c r="I2479">
        <v>0</v>
      </c>
    </row>
    <row r="2480">
      <c r="A2480" t="inlineStr">
        <is>
          <t>Dinitrogen monoxide</t>
        </is>
      </c>
      <c r="B2480">
        <v>7.361498269225741e-06</v>
      </c>
      <c r="D2480" t="inlineStr">
        <is>
          <t>kilogram</t>
        </is>
      </c>
      <c r="E2480" t="inlineStr">
        <is>
          <t>air::urban air close to ground</t>
        </is>
      </c>
      <c r="F2480" t="inlineStr">
        <is>
          <t>biosphere</t>
        </is>
      </c>
      <c r="I2480">
        <v>0</v>
      </c>
    </row>
    <row r="2481">
      <c r="A2481" t="inlineStr">
        <is>
          <t>Zinc II</t>
        </is>
      </c>
      <c r="B2481">
        <v>1.1387421970009149e-10</v>
      </c>
      <c r="D2481" t="inlineStr">
        <is>
          <t>kilogram</t>
        </is>
      </c>
      <c r="E2481" t="inlineStr">
        <is>
          <t>air::urban air close to ground</t>
        </is>
      </c>
      <c r="F2481" t="inlineStr">
        <is>
          <t>biosphere</t>
        </is>
      </c>
      <c r="I2481">
        <v>0</v>
      </c>
    </row>
    <row r="2482">
      <c r="A2482" t="inlineStr">
        <is>
          <t>Chromium VI</t>
        </is>
      </c>
      <c r="B2482">
        <v>2.876484190151482e-13</v>
      </c>
      <c r="D2482" t="inlineStr">
        <is>
          <t>kilogram</t>
        </is>
      </c>
      <c r="E2482" t="inlineStr">
        <is>
          <t>air::non-urban air or from high stacks</t>
        </is>
      </c>
      <c r="F2482" t="inlineStr">
        <is>
          <t>biosphere</t>
        </is>
      </c>
      <c r="I2482">
        <v>0</v>
      </c>
    </row>
    <row r="2483">
      <c r="A2483" t="inlineStr">
        <is>
          <t>Benzene</t>
        </is>
      </c>
      <c r="B2483">
        <v>1.6645520623154097e-08</v>
      </c>
      <c r="D2483" t="inlineStr">
        <is>
          <t>kilogram</t>
        </is>
      </c>
      <c r="E2483" t="inlineStr">
        <is>
          <t>air::non-urban air or from high stacks</t>
        </is>
      </c>
      <c r="F2483" t="inlineStr">
        <is>
          <t>biosphere</t>
        </is>
      </c>
      <c r="I2483">
        <v>0</v>
      </c>
    </row>
    <row r="2484">
      <c r="A2484" t="inlineStr">
        <is>
          <t>Carbon monoxide, fossil</t>
        </is>
      </c>
      <c r="B2484">
        <v>9.188384379664334e-06</v>
      </c>
      <c r="D2484" t="inlineStr">
        <is>
          <t>kilogram</t>
        </is>
      </c>
      <c r="E2484" t="inlineStr">
        <is>
          <t>air::non-urban air or from high stacks</t>
        </is>
      </c>
      <c r="F2484" t="inlineStr">
        <is>
          <t>biosphere</t>
        </is>
      </c>
      <c r="I2484">
        <v>0</v>
      </c>
    </row>
    <row r="2485">
      <c r="A2485" t="inlineStr">
        <is>
          <t>Chromium VI</t>
        </is>
      </c>
      <c r="B2485">
        <v>1.0735159075537383e-13</v>
      </c>
      <c r="D2485" t="inlineStr">
        <is>
          <t>kilogram</t>
        </is>
      </c>
      <c r="E2485" t="inlineStr">
        <is>
          <t>air::urban air close to ground</t>
        </is>
      </c>
      <c r="F2485" t="inlineStr">
        <is>
          <t>biosphere</t>
        </is>
      </c>
      <c r="I2485">
        <v>0</v>
      </c>
    </row>
    <row r="2486">
      <c r="A2486" t="inlineStr">
        <is>
          <t>Methane, fossil</t>
        </is>
      </c>
      <c r="B2486">
        <v>8.927684532596896e-09</v>
      </c>
      <c r="D2486" t="inlineStr">
        <is>
          <t>kilogram</t>
        </is>
      </c>
      <c r="E2486" t="inlineStr">
        <is>
          <t>air::urban air close to ground</t>
        </is>
      </c>
      <c r="F2486" t="inlineStr">
        <is>
          <t>biosphere</t>
        </is>
      </c>
      <c r="I2486">
        <v>0</v>
      </c>
    </row>
    <row r="2487">
      <c r="A2487" t="inlineStr">
        <is>
          <t>Sulfur dioxide</t>
        </is>
      </c>
      <c r="B2487">
        <v>4.6773094495270746e-07</v>
      </c>
      <c r="D2487" t="inlineStr">
        <is>
          <t>kilogram</t>
        </is>
      </c>
      <c r="E2487" t="inlineStr">
        <is>
          <t>air</t>
        </is>
      </c>
      <c r="F2487" t="inlineStr">
        <is>
          <t>biosphere</t>
        </is>
      </c>
      <c r="I2487">
        <v>0</v>
      </c>
    </row>
    <row r="2488">
      <c r="A2488" t="inlineStr">
        <is>
          <t>NMVOC, non-methane volatile organic compounds</t>
        </is>
      </c>
      <c r="B2488">
        <v>2.9516741802169465e-07</v>
      </c>
      <c r="D2488" t="inlineStr">
        <is>
          <t>kilogram</t>
        </is>
      </c>
      <c r="E2488" t="inlineStr">
        <is>
          <t>air::urban air close to ground</t>
        </is>
      </c>
      <c r="F2488" t="inlineStr">
        <is>
          <t>biosphere</t>
        </is>
      </c>
      <c r="I2488">
        <v>0</v>
      </c>
    </row>
    <row r="2489">
      <c r="A2489" t="inlineStr">
        <is>
          <t>Formaldehyde</t>
        </is>
      </c>
      <c r="B2489">
        <v>3.04970020629929e-08</v>
      </c>
      <c r="D2489" t="inlineStr">
        <is>
          <t>kilogram</t>
        </is>
      </c>
      <c r="E2489" t="inlineStr">
        <is>
          <t>air::urban air close to ground</t>
        </is>
      </c>
      <c r="F2489" t="inlineStr">
        <is>
          <t>biosphere</t>
        </is>
      </c>
      <c r="I2489">
        <v>0</v>
      </c>
    </row>
    <row r="2490">
      <c r="A2490" t="inlineStr">
        <is>
          <t>Nitrogen oxides</t>
        </is>
      </c>
      <c r="B2490">
        <v>6.99907066197852e-05</v>
      </c>
      <c r="D2490" t="inlineStr">
        <is>
          <t>kilogram</t>
        </is>
      </c>
      <c r="E2490" t="inlineStr">
        <is>
          <t>air::urban air close to ground</t>
        </is>
      </c>
      <c r="F2490" t="inlineStr">
        <is>
          <t>biosphere</t>
        </is>
      </c>
      <c r="I2490">
        <v>0</v>
      </c>
    </row>
    <row r="2491">
      <c r="A2491" t="inlineStr">
        <is>
          <t>Formaldehyde</t>
        </is>
      </c>
      <c r="B2491">
        <v>8.171666492576685e-08</v>
      </c>
      <c r="D2491" t="inlineStr">
        <is>
          <t>kilogram</t>
        </is>
      </c>
      <c r="E2491" t="inlineStr">
        <is>
          <t>air::non-urban air or from high stacks</t>
        </is>
      </c>
      <c r="F2491" t="inlineStr">
        <is>
          <t>biosphere</t>
        </is>
      </c>
      <c r="I2491">
        <v>0</v>
      </c>
    </row>
    <row r="2492">
      <c r="A2492" t="inlineStr">
        <is>
          <t>Zinc II</t>
        </is>
      </c>
      <c r="B2492">
        <v>3.051257530798148e-10</v>
      </c>
      <c r="D2492" t="inlineStr">
        <is>
          <t>kilogram</t>
        </is>
      </c>
      <c r="E2492" t="inlineStr">
        <is>
          <t>air::non-urban air or from high stacks</t>
        </is>
      </c>
      <c r="F2492" t="inlineStr">
        <is>
          <t>biosphere</t>
        </is>
      </c>
      <c r="I2492">
        <v>0</v>
      </c>
    </row>
    <row r="2493">
      <c r="A2493" t="inlineStr">
        <is>
          <t>Carbon monoxide, fossil</t>
        </is>
      </c>
      <c r="B2493">
        <v>3.4291435191313595e-06</v>
      </c>
      <c r="D2493" t="inlineStr">
        <is>
          <t>kilogram</t>
        </is>
      </c>
      <c r="E2493" t="inlineStr">
        <is>
          <t>air::urban air close to ground</t>
        </is>
      </c>
      <c r="F2493" t="inlineStr">
        <is>
          <t>biosphere</t>
        </is>
      </c>
      <c r="I2493">
        <v>0</v>
      </c>
    </row>
    <row r="2494">
      <c r="A2494" t="inlineStr">
        <is>
          <t>m-Xylene</t>
        </is>
      </c>
      <c r="B2494">
        <v>3.5579834982156424e-09</v>
      </c>
      <c r="D2494" t="inlineStr">
        <is>
          <t>kilogram</t>
        </is>
      </c>
      <c r="E2494" t="inlineStr">
        <is>
          <t>air::urban air close to ground</t>
        </is>
      </c>
      <c r="F2494" t="inlineStr">
        <is>
          <t>biosphere</t>
        </is>
      </c>
      <c r="I2494">
        <v>0</v>
      </c>
    </row>
    <row r="2495">
      <c r="A2495" t="inlineStr">
        <is>
          <t>PAH, polycyclic aromatic hydrocarbons</t>
        </is>
      </c>
      <c r="B2495">
        <v>1.3253673720206761e-09</v>
      </c>
      <c r="D2495" t="inlineStr">
        <is>
          <t>kilogram</t>
        </is>
      </c>
      <c r="E2495" t="inlineStr">
        <is>
          <t>air::non-urban air or from high stacks</t>
        </is>
      </c>
      <c r="F2495" t="inlineStr">
        <is>
          <t>biosphere</t>
        </is>
      </c>
      <c r="I2495">
        <v>0</v>
      </c>
    </row>
    <row r="2496">
      <c r="A2496" t="inlineStr">
        <is>
          <t>Particulate Matter, &lt; 2.5 um</t>
        </is>
      </c>
      <c r="B2496">
        <v>4.776281554847676e-07</v>
      </c>
      <c r="D2496" t="inlineStr">
        <is>
          <t>kilogram</t>
        </is>
      </c>
      <c r="E2496" t="inlineStr">
        <is>
          <t>air::non-urban air or from high stacks</t>
        </is>
      </c>
      <c r="F2496" t="inlineStr">
        <is>
          <t>biosphere</t>
        </is>
      </c>
      <c r="I2496">
        <v>0</v>
      </c>
    </row>
    <row r="2497">
      <c r="A2497" t="inlineStr">
        <is>
          <t>Pentane</t>
        </is>
      </c>
      <c r="B2497">
        <v>5.836904424366724e-10</v>
      </c>
      <c r="D2497" t="inlineStr">
        <is>
          <t>kilogram</t>
        </is>
      </c>
      <c r="E2497" t="inlineStr">
        <is>
          <t>air::non-urban air or from high stacks</t>
        </is>
      </c>
      <c r="F2497" t="inlineStr">
        <is>
          <t>biosphere</t>
        </is>
      </c>
      <c r="I2497">
        <v>0</v>
      </c>
    </row>
    <row r="2498">
      <c r="A2498" t="inlineStr">
        <is>
          <t>1,1,1,2-Tetrafluoroethane</t>
        </is>
      </c>
      <c r="B2498">
        <v>1.0592803277176511e-07</v>
      </c>
      <c r="D2498" t="inlineStr">
        <is>
          <t>kilogram</t>
        </is>
      </c>
      <c r="E2498" t="inlineStr">
        <is>
          <t>air</t>
        </is>
      </c>
      <c r="F2498" t="inlineStr">
        <is>
          <t>biosphere</t>
        </is>
      </c>
      <c r="I2498">
        <v>0</v>
      </c>
    </row>
    <row r="2499">
      <c r="A2499" t="inlineStr">
        <is>
          <t>Acetaldehyde</t>
        </is>
      </c>
      <c r="B2499">
        <v>1.6591821111403828e-08</v>
      </c>
      <c r="D2499" t="inlineStr">
        <is>
          <t>kilogram</t>
        </is>
      </c>
      <c r="E2499" t="inlineStr">
        <is>
          <t>air::urban air close to ground</t>
        </is>
      </c>
      <c r="F2499" t="inlineStr">
        <is>
          <t>biosphere</t>
        </is>
      </c>
      <c r="I2499">
        <v>0</v>
      </c>
    </row>
    <row r="2500">
      <c r="A2500" t="inlineStr">
        <is>
          <t>Benzene</t>
        </is>
      </c>
      <c r="B2500">
        <v>6.21217814219678e-09</v>
      </c>
      <c r="D2500" t="inlineStr">
        <is>
          <t>kilogram</t>
        </is>
      </c>
      <c r="E2500" t="inlineStr">
        <is>
          <t>air::urban air close to ground</t>
        </is>
      </c>
      <c r="F2500" t="inlineStr">
        <is>
          <t>biosphere</t>
        </is>
      </c>
      <c r="I2500">
        <v>0</v>
      </c>
    </row>
    <row r="2501">
      <c r="A2501" t="inlineStr">
        <is>
          <t>Mercury II</t>
        </is>
      </c>
      <c r="B2501">
        <v>3.342847041832335e-11</v>
      </c>
      <c r="D2501" t="inlineStr">
        <is>
          <t>kilogram</t>
        </is>
      </c>
      <c r="E2501" t="inlineStr">
        <is>
          <t>air::urban air close to ground</t>
        </is>
      </c>
      <c r="F2501" t="inlineStr">
        <is>
          <t>biosphere</t>
        </is>
      </c>
      <c r="I2501">
        <v>0</v>
      </c>
    </row>
    <row r="2502">
      <c r="A2502" t="inlineStr">
        <is>
          <t>Cadmium II</t>
        </is>
      </c>
      <c r="B2502">
        <v>3.152603660310432e-13</v>
      </c>
      <c r="D2502" t="inlineStr">
        <is>
          <t>kilogram</t>
        </is>
      </c>
      <c r="E2502" t="inlineStr">
        <is>
          <t>air::urban air close to ground</t>
        </is>
      </c>
      <c r="F2502" t="inlineStr">
        <is>
          <t>biosphere</t>
        </is>
      </c>
      <c r="I2502">
        <v>0</v>
      </c>
    </row>
    <row r="2503">
      <c r="A2503" t="inlineStr">
        <is>
          <t>Propane</t>
        </is>
      </c>
      <c r="B2503">
        <v>9.728174395924623e-10</v>
      </c>
      <c r="D2503" t="inlineStr">
        <is>
          <t>kilogram</t>
        </is>
      </c>
      <c r="E2503" t="inlineStr">
        <is>
          <t>air::non-urban air or from high stacks</t>
        </is>
      </c>
      <c r="F2503" t="inlineStr">
        <is>
          <t>biosphere</t>
        </is>
      </c>
      <c r="I2503">
        <v>0</v>
      </c>
    </row>
    <row r="2504">
      <c r="A2504" t="inlineStr">
        <is>
          <t>Chromium III</t>
        </is>
      </c>
      <c r="B2504">
        <v>1.4418831693273988e-10</v>
      </c>
      <c r="D2504" t="inlineStr">
        <is>
          <t>kilogram</t>
        </is>
      </c>
      <c r="E2504" t="inlineStr">
        <is>
          <t>air::non-urban air or from high stacks</t>
        </is>
      </c>
      <c r="F2504" t="inlineStr">
        <is>
          <t>biosphere</t>
        </is>
      </c>
      <c r="I2504">
        <v>0</v>
      </c>
    </row>
    <row r="2505">
      <c r="A2505" t="inlineStr">
        <is>
          <t>Acrolein</t>
        </is>
      </c>
      <c r="B2505">
        <v>6.42615413607384e-09</v>
      </c>
      <c r="D2505" t="inlineStr">
        <is>
          <t>kilogram</t>
        </is>
      </c>
      <c r="E2505" t="inlineStr">
        <is>
          <t>air::urban air close to ground</t>
        </is>
      </c>
      <c r="F2505" t="inlineStr">
        <is>
          <t>biosphere</t>
        </is>
      </c>
      <c r="I2505">
        <v>0</v>
      </c>
    </row>
    <row r="2506">
      <c r="A2506" t="inlineStr">
        <is>
          <t>Benzaldehyde</t>
        </is>
      </c>
      <c r="B2506">
        <v>4.9739159967409846e-09</v>
      </c>
      <c r="D2506" t="inlineStr">
        <is>
          <t>kilogram</t>
        </is>
      </c>
      <c r="E2506" t="inlineStr">
        <is>
          <t>air::urban air close to ground</t>
        </is>
      </c>
      <c r="F2506" t="inlineStr">
        <is>
          <t>biosphere</t>
        </is>
      </c>
      <c r="I2506">
        <v>0</v>
      </c>
    </row>
    <row r="2507">
      <c r="A2507" t="inlineStr">
        <is>
          <t>Heptane</t>
        </is>
      </c>
      <c r="B2507">
        <v>1.0891786755623254e-09</v>
      </c>
      <c r="D2507" t="inlineStr">
        <is>
          <t>kilogram</t>
        </is>
      </c>
      <c r="E2507" t="inlineStr">
        <is>
          <t>air::urban air close to ground</t>
        </is>
      </c>
      <c r="F2507" t="inlineStr">
        <is>
          <t>biosphere</t>
        </is>
      </c>
      <c r="I2507">
        <v>0</v>
      </c>
    </row>
    <row r="2508">
      <c r="A2508" t="inlineStr">
        <is>
          <t>o-Xylene</t>
        </is>
      </c>
      <c r="B2508">
        <v>1.452238139332855e-09</v>
      </c>
      <c r="D2508" t="inlineStr">
        <is>
          <t>kilogram</t>
        </is>
      </c>
      <c r="E2508" t="inlineStr">
        <is>
          <t>air::urban air close to ground</t>
        </is>
      </c>
      <c r="F2508" t="inlineStr">
        <is>
          <t>biosphere</t>
        </is>
      </c>
      <c r="I2508">
        <v>0</v>
      </c>
    </row>
    <row r="2509">
      <c r="A2509" t="inlineStr">
        <is>
          <t>Selenium IV</t>
        </is>
      </c>
      <c r="B2509">
        <v>6.332385327245513e-13</v>
      </c>
      <c r="D2509" t="inlineStr">
        <is>
          <t>kilogram</t>
        </is>
      </c>
      <c r="E2509" t="inlineStr">
        <is>
          <t>air::urban air close to ground</t>
        </is>
      </c>
      <c r="F2509" t="inlineStr">
        <is>
          <t>biosphere</t>
        </is>
      </c>
      <c r="I2509">
        <v>0</v>
      </c>
    </row>
    <row r="2510">
      <c r="A2510" t="inlineStr">
        <is>
          <t>Styrene</t>
        </is>
      </c>
      <c r="B2510">
        <v>2.033133508766291e-09</v>
      </c>
      <c r="D2510" t="inlineStr">
        <is>
          <t>kilogram</t>
        </is>
      </c>
      <c r="E2510" t="inlineStr">
        <is>
          <t>air::urban air close to ground</t>
        </is>
      </c>
      <c r="F2510" t="inlineStr">
        <is>
          <t>biosphere</t>
        </is>
      </c>
      <c r="I2510">
        <v>0</v>
      </c>
    </row>
    <row r="2511">
      <c r="A2511" t="inlineStr">
        <is>
          <t>Acetaldehyde</t>
        </is>
      </c>
      <c r="B2511">
        <v>4.4457756307173774e-08</v>
      </c>
      <c r="D2511" t="inlineStr">
        <is>
          <t>kilogram</t>
        </is>
      </c>
      <c r="E2511" t="inlineStr">
        <is>
          <t>air::non-urban air or from high stacks</t>
        </is>
      </c>
      <c r="F2511" t="inlineStr">
        <is>
          <t>biosphere</t>
        </is>
      </c>
      <c r="I2511">
        <v>0</v>
      </c>
    </row>
    <row r="2512">
      <c r="A2512" t="inlineStr">
        <is>
          <t>Acrolein</t>
        </is>
      </c>
      <c r="B2512">
        <v>1.7218867998584824e-08</v>
      </c>
      <c r="D2512" t="inlineStr">
        <is>
          <t>kilogram</t>
        </is>
      </c>
      <c r="E2512" t="inlineStr">
        <is>
          <t>air::non-urban air or from high stacks</t>
        </is>
      </c>
      <c r="F2512" t="inlineStr">
        <is>
          <t>biosphere</t>
        </is>
      </c>
      <c r="I2512">
        <v>0</v>
      </c>
    </row>
    <row r="2513">
      <c r="A2513" t="inlineStr">
        <is>
          <t>Benzaldehyde</t>
        </is>
      </c>
      <c r="B2513">
        <v>1.3327598240214973e-08</v>
      </c>
      <c r="D2513" t="inlineStr">
        <is>
          <t>kilogram</t>
        </is>
      </c>
      <c r="E2513" t="inlineStr">
        <is>
          <t>air::non-urban air or from high stacks</t>
        </is>
      </c>
      <c r="F2513" t="inlineStr">
        <is>
          <t>biosphere</t>
        </is>
      </c>
      <c r="I2513">
        <v>0</v>
      </c>
    </row>
    <row r="2514">
      <c r="A2514" t="inlineStr">
        <is>
          <t>Heptane</t>
        </is>
      </c>
      <c r="B2514">
        <v>2.9184523187773873e-09</v>
      </c>
      <c r="D2514" t="inlineStr">
        <is>
          <t>kilogram</t>
        </is>
      </c>
      <c r="E2514" t="inlineStr">
        <is>
          <t>air::non-urban air or from high stacks</t>
        </is>
      </c>
      <c r="F2514" t="inlineStr">
        <is>
          <t>biosphere</t>
        </is>
      </c>
      <c r="I2514">
        <v>0</v>
      </c>
    </row>
    <row r="2515">
      <c r="A2515" t="inlineStr">
        <is>
          <t>m-Xylene</t>
        </is>
      </c>
      <c r="B2515">
        <v>9.533610453204961e-09</v>
      </c>
      <c r="D2515" t="inlineStr">
        <is>
          <t>kilogram</t>
        </is>
      </c>
      <c r="E2515" t="inlineStr">
        <is>
          <t>air::non-urban air or from high stacks</t>
        </is>
      </c>
      <c r="F2515" t="inlineStr">
        <is>
          <t>biosphere</t>
        </is>
      </c>
      <c r="I2515">
        <v>0</v>
      </c>
    </row>
    <row r="2516">
      <c r="A2516" t="inlineStr">
        <is>
          <t>o-Xylene</t>
        </is>
      </c>
      <c r="B2516">
        <v>3.891269758369849e-09</v>
      </c>
      <c r="D2516" t="inlineStr">
        <is>
          <t>kilogram</t>
        </is>
      </c>
      <c r="E2516" t="inlineStr">
        <is>
          <t>air::non-urban air or from high stacks</t>
        </is>
      </c>
      <c r="F2516" t="inlineStr">
        <is>
          <t>biosphere</t>
        </is>
      </c>
      <c r="I2516">
        <v>0</v>
      </c>
    </row>
    <row r="2517">
      <c r="A2517" t="inlineStr">
        <is>
          <t>Styrene</t>
        </is>
      </c>
      <c r="B2517">
        <v>5.447777889118377e-09</v>
      </c>
      <c r="D2517" t="inlineStr">
        <is>
          <t>kilogram</t>
        </is>
      </c>
      <c r="E2517" t="inlineStr">
        <is>
          <t>air::non-urban air or from high stacks</t>
        </is>
      </c>
      <c r="F2517" t="inlineStr">
        <is>
          <t>biosphere</t>
        </is>
      </c>
      <c r="I2517">
        <v>0</v>
      </c>
    </row>
    <row r="2518">
      <c r="A2518" t="inlineStr">
        <is>
          <t>exhaust system, for lorry</t>
        </is>
      </c>
      <c r="B2518">
        <v>2.4791665583947556e-05</v>
      </c>
      <c r="C2518" t="inlineStr">
        <is>
          <t>RER</t>
        </is>
      </c>
      <c r="D2518" t="inlineStr">
        <is>
          <t>kilogram</t>
        </is>
      </c>
      <c r="F2518" t="inlineStr">
        <is>
          <t>technosphere</t>
        </is>
      </c>
      <c r="G2518" t="inlineStr">
        <is>
          <t>exhaust system, for lorry</t>
        </is>
      </c>
      <c r="H2518" t="inlineStr">
        <is>
          <t> Energy-use allocation: 220 * 1.367427797431765e-07 / 1.2134485858415922 MJ per ton kilometer.</t>
        </is>
      </c>
      <c r="I2518">
        <v>0</v>
      </c>
    </row>
    <row r="2519">
      <c r="A2519" t="inlineStr">
        <is>
          <t>fuel tank, for diesel vehicle</t>
        </is>
      </c>
      <c r="B2519">
        <v>6.181935329374144e-06</v>
      </c>
      <c r="C2519" t="inlineStr">
        <is>
          <t>RER</t>
        </is>
      </c>
      <c r="D2519" t="inlineStr">
        <is>
          <t>kilogram</t>
        </is>
      </c>
      <c r="F2519" t="inlineStr">
        <is>
          <t>technosphere</t>
        </is>
      </c>
      <c r="G2519" t="inlineStr">
        <is>
          <t>fuel tank</t>
        </is>
      </c>
      <c r="H2519" t="inlineStr">
        <is>
          <t> Energy-use allocation: 54.85818481445312 * 1.367427797431765e-07 / 1.2134485858415922 MJ per ton kilometer.</t>
        </is>
      </c>
      <c r="I2519">
        <v>0</v>
      </c>
    </row>
    <row r="2520">
      <c r="A2520" t="inlineStr">
        <is>
          <t>gearbox, for lorry</t>
        </is>
      </c>
      <c r="B2520">
        <v>2.271818151381884e-05</v>
      </c>
      <c r="C2520" t="inlineStr">
        <is>
          <t>RER</t>
        </is>
      </c>
      <c r="D2520" t="inlineStr">
        <is>
          <t>kilogram</t>
        </is>
      </c>
      <c r="F2520" t="inlineStr">
        <is>
          <t>technosphere</t>
        </is>
      </c>
      <c r="G2520" t="inlineStr">
        <is>
          <t>gearbox, for lorry</t>
        </is>
      </c>
      <c r="H2520" t="inlineStr">
        <is>
          <t> Energy-use allocation: 201.6000061035156 * 1.367427797431765e-07 / 1.2134485858415922 MJ per ton kilometer.</t>
        </is>
      </c>
      <c r="I2520">
        <v>0</v>
      </c>
    </row>
    <row r="2521">
      <c r="A2521" t="inlineStr">
        <is>
          <t>internal combustion engine, for lorry</t>
        </is>
      </c>
      <c r="B2521">
        <v>0.000121895652649343</v>
      </c>
      <c r="C2521" t="inlineStr">
        <is>
          <t>RER</t>
        </is>
      </c>
      <c r="D2521" t="inlineStr">
        <is>
          <t>kilogram</t>
        </is>
      </c>
      <c r="F2521" t="inlineStr">
        <is>
          <t>technosphere</t>
        </is>
      </c>
      <c r="G2521" t="inlineStr">
        <is>
          <t>internal combustion engine, for lorry</t>
        </is>
      </c>
      <c r="H2521" t="inlineStr">
        <is>
          <t> Energy-use allocation: 1081.695922851562 * 1.367427797431765e-07 / 1.2134485858415922 MJ per ton kilometer.</t>
        </is>
      </c>
      <c r="I2521">
        <v>0</v>
      </c>
    </row>
    <row r="2522">
      <c r="A2522" t="inlineStr">
        <is>
          <t>lead acid battery, for lorry</t>
        </is>
      </c>
      <c r="B2522">
        <v>3.7651515024380753e-06</v>
      </c>
      <c r="C2522" t="inlineStr">
        <is>
          <t>RER</t>
        </is>
      </c>
      <c r="D2522" t="inlineStr">
        <is>
          <t>kilogram</t>
        </is>
      </c>
      <c r="F2522" t="inlineStr">
        <is>
          <t>technosphere</t>
        </is>
      </c>
      <c r="G2522" t="inlineStr">
        <is>
          <t>lead acid battery, for lorry</t>
        </is>
      </c>
      <c r="H2522" t="inlineStr">
        <is>
          <t> Energy-use allocation: 33.41176605224609 * 1.367427797431765e-07 / 1.2134485858415922 MJ per ton kilometer.</t>
        </is>
      </c>
      <c r="I2522">
        <v>0</v>
      </c>
    </row>
    <row r="2523">
      <c r="A2523" t="inlineStr">
        <is>
          <t>power electronics, for lorry</t>
        </is>
      </c>
      <c r="B2523">
        <v>2.986268808975501e-05</v>
      </c>
      <c r="C2523" t="inlineStr">
        <is>
          <t>RER</t>
        </is>
      </c>
      <c r="D2523" t="inlineStr">
        <is>
          <t>kilogram</t>
        </is>
      </c>
      <c r="F2523" t="inlineStr">
        <is>
          <t>technosphere</t>
        </is>
      </c>
      <c r="G2523" t="inlineStr">
        <is>
          <t>power electronics, for lorry</t>
        </is>
      </c>
      <c r="H2523" t="inlineStr">
        <is>
          <t> Energy-use allocation: 265 * 1.367427797431765e-07 / 1.2134485858415922 MJ per ton kilometer.</t>
        </is>
      </c>
      <c r="I2523">
        <v>0</v>
      </c>
    </row>
    <row r="2524">
      <c r="A2524" t="inlineStr">
        <is>
          <t>retarder, for lorry</t>
        </is>
      </c>
      <c r="B2524">
        <v>7.572726598105075e-06</v>
      </c>
      <c r="C2524" t="inlineStr">
        <is>
          <t>RER</t>
        </is>
      </c>
      <c r="D2524" t="inlineStr">
        <is>
          <t>kilogram</t>
        </is>
      </c>
      <c r="F2524" t="inlineStr">
        <is>
          <t>technosphere</t>
        </is>
      </c>
      <c r="G2524" t="inlineStr">
        <is>
          <t>retarder, for lorry</t>
        </is>
      </c>
      <c r="H2524" t="inlineStr">
        <is>
          <t> Energy-use allocation: 67.19999694824219 * 1.367427797431765e-07 / 1.2134485858415922 MJ per ton kilometer.</t>
        </is>
      </c>
      <c r="I2524">
        <v>0</v>
      </c>
    </row>
    <row r="2525">
      <c r="A2525" t="inlineStr">
        <is>
          <t>transmission, for lorry</t>
        </is>
      </c>
      <c r="B2525">
        <v>3.281514801862079e-05</v>
      </c>
      <c r="C2525" t="inlineStr">
        <is>
          <t>RER</t>
        </is>
      </c>
      <c r="D2525" t="inlineStr">
        <is>
          <t>kilogram</t>
        </is>
      </c>
      <c r="F2525" t="inlineStr">
        <is>
          <t>technosphere</t>
        </is>
      </c>
      <c r="G2525" t="inlineStr">
        <is>
          <t>transmission, for lorry</t>
        </is>
      </c>
      <c r="H2525" t="inlineStr">
        <is>
          <t> Energy-use allocation: 291.1999816894531 * 1.367427797431765e-07 / 1.2134485858415922 MJ per ton kilometer.</t>
        </is>
      </c>
      <c r="I2525">
        <v>0</v>
      </c>
    </row>
    <row r="2526">
      <c r="A2526" t="inlineStr">
        <is>
          <t>Carbon dioxide, fossil</t>
        </is>
      </c>
      <c r="B2526">
        <v>0.0732</v>
      </c>
      <c r="D2526" t="inlineStr">
        <is>
          <t>kilogram</t>
        </is>
      </c>
      <c r="E2526" t="inlineStr">
        <is>
          <t>air</t>
        </is>
      </c>
      <c r="F2526" t="inlineStr">
        <is>
          <t>biosphere</t>
        </is>
      </c>
      <c r="H2526" t="inlineStr">
        <is>
          <t>Reference-fuel full-oxidation CO2; Premise reclassifies fossil/biogenic carbon with regional blends. Pollutants are separate model estimates, not an elemental closure.</t>
        </is>
      </c>
      <c r="I2526">
        <v>0</v>
      </c>
    </row>
    <row r="2527"/>
    <row r="2528">
      <c r="A2528" t="inlineStr">
        <is>
          <t>Activity</t>
        </is>
      </c>
      <c r="B2528" t="inlineStr">
        <is>
          <t>electricity, used in heavy duty vehicle</t>
        </is>
      </c>
    </row>
    <row r="2529">
      <c r="A2529" t="inlineStr">
        <is>
          <t>location</t>
        </is>
      </c>
      <c r="B2529" t="inlineStr">
        <is>
          <t>CH</t>
        </is>
      </c>
    </row>
    <row r="2530">
      <c r="A2530" t="inlineStr">
        <is>
          <t>production amount</t>
        </is>
      </c>
      <c r="B2530">
        <v>1</v>
      </c>
    </row>
    <row r="2531">
      <c r="A2531" t="inlineStr">
        <is>
          <t>reference product</t>
        </is>
      </c>
      <c r="B2531" t="inlineStr">
        <is>
          <t>electricity, low voltage</t>
        </is>
      </c>
    </row>
    <row r="2532">
      <c r="A2532" t="inlineStr">
        <is>
          <t>type</t>
        </is>
      </c>
      <c r="B2532" t="inlineStr">
        <is>
          <t>process</t>
        </is>
      </c>
    </row>
    <row r="2533">
      <c r="A2533" t="inlineStr">
        <is>
          <t>unit</t>
        </is>
      </c>
      <c r="B2533" t="inlineStr">
        <is>
          <t>megajoule</t>
        </is>
      </c>
    </row>
    <row r="2534">
      <c r="A2534" t="inlineStr">
        <is>
          <t>source</t>
        </is>
      </c>
      <c r="B2534" t="inlineStr">
        <is>
          <t>Sacchi, R., Bauer, C., and Cox, B. Does size matter? The influence of size, load factor, range autonomy and application type on the Life Cycle Assessment of current and future trucks. 2021. Environmental Science and Technology.</t>
        </is>
      </c>
    </row>
    <row r="2535">
      <c r="A2535" t="inlineStr">
        <is>
          <t>description</t>
        </is>
      </c>
      <c r="B2535"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36">
      <c r="A2536" t="inlineStr">
        <is>
          <t>comment</t>
        </is>
      </c>
      <c r="B2536"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537">
      <c r="A2537" t="inlineStr">
        <is>
          <t>energy use source</t>
        </is>
      </c>
      <c r="B2537"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["market for electric motor, electric passenger car", "electric motor, electric passenger car",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38">
      <c r="A2538" t="inlineStr">
        <is>
          <t>Exchanges</t>
        </is>
      </c>
    </row>
    <row r="2539">
      <c r="A2539" t="inlineStr">
        <is>
          <t>name</t>
        </is>
      </c>
      <c r="B2539" t="inlineStr">
        <is>
          <t>amount</t>
        </is>
      </c>
      <c r="C2539" t="inlineStr">
        <is>
          <t>location</t>
        </is>
      </c>
      <c r="D2539" t="inlineStr">
        <is>
          <t>unit</t>
        </is>
      </c>
      <c r="E2539" t="inlineStr">
        <is>
          <t>categories</t>
        </is>
      </c>
      <c r="F2539" t="inlineStr">
        <is>
          <t>type</t>
        </is>
      </c>
      <c r="G2539" t="inlineStr">
        <is>
          <t>reference product</t>
        </is>
      </c>
      <c r="H2539" t="inlineStr">
        <is>
          <t>comment</t>
        </is>
      </c>
      <c r="I2539" t="inlineStr">
        <is>
          <t>uncertainty type</t>
        </is>
      </c>
    </row>
    <row r="2540">
      <c r="A2540" t="inlineStr">
        <is>
          <t>electricity, used in heavy duty vehicle</t>
        </is>
      </c>
      <c r="B2540">
        <v>1.0</v>
      </c>
      <c r="C2540" t="inlineStr">
        <is>
          <t>CH</t>
        </is>
      </c>
      <c r="D2540" t="inlineStr">
        <is>
          <t>megajoule</t>
        </is>
      </c>
      <c r="E2540" t="inlineStr">
        <is>
          <t/>
        </is>
      </c>
      <c r="F2540" t="inlineStr">
        <is>
          <t>production</t>
        </is>
      </c>
      <c r="G2540" t="inlineStr">
        <is>
          <t>electricity, low voltage</t>
        </is>
      </c>
      <c r="I2540">
        <v>0</v>
      </c>
    </row>
    <row r="2541">
      <c r="A2541" t="inlineStr">
        <is>
          <t>market group for electricity, low voltage</t>
        </is>
      </c>
      <c r="B2541">
        <v>0.27777777777777773</v>
      </c>
      <c r="C2541" t="inlineStr">
        <is>
          <t>RER</t>
        </is>
      </c>
      <c r="D2541" t="inlineStr">
        <is>
          <t>kilowatt hour</t>
        </is>
      </c>
      <c r="F2541" t="inlineStr">
        <is>
          <t>technosphere</t>
        </is>
      </c>
      <c r="G2541" t="inlineStr">
        <is>
          <t>electricity, low voltage</t>
        </is>
      </c>
      <c r="H2541" t="inlineStr">
        <is>
          <t>Grid purchase including model charging losses; Premise regional electricity.</t>
        </is>
      </c>
      <c r="I2541">
        <v>0</v>
      </c>
    </row>
    <row r="2542">
      <c r="A2542" t="inlineStr">
        <is>
          <t>market for tetrafluoroethane, R134a</t>
        </is>
      </c>
      <c r="B2542">
        <v>6.421292897004757e-07</v>
      </c>
      <c r="C2542" t="inlineStr">
        <is>
          <t>GLO</t>
        </is>
      </c>
      <c r="D2542" t="inlineStr">
        <is>
          <t>kilogram</t>
        </is>
      </c>
      <c r="F2542" t="inlineStr">
        <is>
          <t>technosphere</t>
        </is>
      </c>
      <c r="G2542" t="inlineStr">
        <is>
          <t>tetrafluoroethane, R134a</t>
        </is>
      </c>
      <c r="I2542">
        <v>0</v>
      </c>
    </row>
    <row r="2543">
      <c r="A2543" t="inlineStr">
        <is>
          <t>treatment of brake wear emissions, lorry</t>
        </is>
      </c>
      <c r="B2543">
        <v>-1.6923273973174422e-05</v>
      </c>
      <c r="C2543" t="inlineStr">
        <is>
          <t>RER</t>
        </is>
      </c>
      <c r="D2543" t="inlineStr">
        <is>
          <t>kilogram</t>
        </is>
      </c>
      <c r="F2543" t="inlineStr">
        <is>
          <t>technosphere</t>
        </is>
      </c>
      <c r="G2543" t="inlineStr">
        <is>
          <t>brake wear emissions, lorry</t>
        </is>
      </c>
      <c r="I2543">
        <v>0</v>
      </c>
    </row>
    <row r="2544">
      <c r="A2544" t="inlineStr">
        <is>
          <t>treatment of road wear emissions, lorry</t>
        </is>
      </c>
      <c r="B2544">
        <v>-3.154446984763782e-05</v>
      </c>
      <c r="C2544" t="inlineStr">
        <is>
          <t>RER</t>
        </is>
      </c>
      <c r="D2544" t="inlineStr">
        <is>
          <t>kilogram</t>
        </is>
      </c>
      <c r="F2544" t="inlineStr">
        <is>
          <t>technosphere</t>
        </is>
      </c>
      <c r="G2544" t="inlineStr">
        <is>
          <t>road wear emissions, lorry</t>
        </is>
      </c>
      <c r="I2544">
        <v>0</v>
      </c>
    </row>
    <row r="2545">
      <c r="A2545" t="inlineStr">
        <is>
          <t>treatment of tyre wear emissions, lorry</t>
        </is>
      </c>
      <c r="B2545">
        <v>-2.5484250382903828e-05</v>
      </c>
      <c r="C2545" t="inlineStr">
        <is>
          <t>RER</t>
        </is>
      </c>
      <c r="D2545" t="inlineStr">
        <is>
          <t>kilogram</t>
        </is>
      </c>
      <c r="F2545" t="inlineStr">
        <is>
          <t>technosphere</t>
        </is>
      </c>
      <c r="G2545" t="inlineStr">
        <is>
          <t>tyre wear emissions, lorry</t>
        </is>
      </c>
      <c r="I2545">
        <v>0</v>
      </c>
    </row>
    <row r="2546">
      <c r="A2546" t="inlineStr">
        <is>
          <t>1,1,1,2-Tetrafluoroethane</t>
        </is>
      </c>
      <c r="B2546">
        <v>2.9588312998329307e-07</v>
      </c>
      <c r="D2546" t="inlineStr">
        <is>
          <t>kilogram</t>
        </is>
      </c>
      <c r="E2546" t="inlineStr">
        <is>
          <t>air</t>
        </is>
      </c>
      <c r="F2546" t="inlineStr">
        <is>
          <t>biosphere</t>
        </is>
      </c>
      <c r="I2546">
        <v>0</v>
      </c>
    </row>
    <row r="2547">
      <c r="A2547" t="inlineStr">
        <is>
          <t>EV charger, level 3, plugin, 200 kW</t>
        </is>
      </c>
      <c r="B2547">
        <v>3.8343213519496126e-08</v>
      </c>
      <c r="C2547" t="inlineStr">
        <is>
          <t>RER</t>
        </is>
      </c>
      <c r="D2547" t="inlineStr">
        <is>
          <t>unit</t>
        </is>
      </c>
      <c r="F2547" t="inlineStr">
        <is>
          <t>technosphere</t>
        </is>
      </c>
      <c r="G2547" t="inlineStr">
        <is>
          <t>EV charger, level 3, plugin, 200 kW</t>
        </is>
      </c>
      <c r="H2547" t="inlineStr">
        <is>
          <t> Energy-use allocation: 0.1218137145042419 * 1.367427797431765e-07 / 0.4344222719799472 MJ per ton kilometer.</t>
        </is>
      </c>
      <c r="I2547">
        <v>0</v>
      </c>
    </row>
    <row r="2548">
      <c r="A2548" t="inlineStr">
        <is>
          <t>gearbox, for lorry</t>
        </is>
      </c>
      <c r="B2548">
        <v>6.34574859737131e-05</v>
      </c>
      <c r="C2548" t="inlineStr">
        <is>
          <t>RER</t>
        </is>
      </c>
      <c r="D2548" t="inlineStr">
        <is>
          <t>kilogram</t>
        </is>
      </c>
      <c r="F2548" t="inlineStr">
        <is>
          <t>technosphere</t>
        </is>
      </c>
      <c r="G2548" t="inlineStr">
        <is>
          <t>gearbox, for lorry</t>
        </is>
      </c>
      <c r="H2548" t="inlineStr">
        <is>
          <t> Energy-use allocation: 201.6000061035156 * 1.367427797431765e-07 / 0.4344222719799472 MJ per ton kilometer.</t>
        </is>
      </c>
      <c r="I2548">
        <v>0</v>
      </c>
    </row>
    <row r="2549">
      <c r="A2549" t="inlineStr">
        <is>
          <t>power electronics, for lorry</t>
        </is>
      </c>
      <c r="B2549">
        <v>8.341385552537798e-05</v>
      </c>
      <c r="C2549" t="inlineStr">
        <is>
          <t>RER</t>
        </is>
      </c>
      <c r="D2549" t="inlineStr">
        <is>
          <t>kilogram</t>
        </is>
      </c>
      <c r="F2549" t="inlineStr">
        <is>
          <t>technosphere</t>
        </is>
      </c>
      <c r="G2549" t="inlineStr">
        <is>
          <t>power electronics, for lorry</t>
        </is>
      </c>
      <c r="H2549" t="inlineStr">
        <is>
          <t> Energy-use allocation: 265 * 1.367427797431765e-07 / 0.4344222719799472 MJ per ton kilometer.</t>
        </is>
      </c>
      <c r="I2549">
        <v>0</v>
      </c>
    </row>
    <row r="2550">
      <c r="A2550" t="inlineStr">
        <is>
          <t>retarder, for lorry</t>
        </is>
      </c>
      <c r="B2550">
        <v>2.1152493723571755e-05</v>
      </c>
      <c r="C2550" t="inlineStr">
        <is>
          <t>RER</t>
        </is>
      </c>
      <c r="D2550" t="inlineStr">
        <is>
          <t>kilogram</t>
        </is>
      </c>
      <c r="F2550" t="inlineStr">
        <is>
          <t>technosphere</t>
        </is>
      </c>
      <c r="G2550" t="inlineStr">
        <is>
          <t>retarder, for lorry</t>
        </is>
      </c>
      <c r="H2550" t="inlineStr">
        <is>
          <t> Energy-use allocation: 67.19999694824219 * 1.367427797431765e-07 / 0.4344222719799472 MJ per ton kilometer.</t>
        </is>
      </c>
      <c r="I2550">
        <v>0</v>
      </c>
    </row>
    <row r="2551">
      <c r="A2551" t="inlineStr">
        <is>
          <t>transmission, for lorry</t>
        </is>
      </c>
      <c r="B2551">
        <v>9.166080453447832e-05</v>
      </c>
      <c r="C2551" t="inlineStr">
        <is>
          <t>RER</t>
        </is>
      </c>
      <c r="D2551" t="inlineStr">
        <is>
          <t>kilogram</t>
        </is>
      </c>
      <c r="F2551" t="inlineStr">
        <is>
          <t>technosphere</t>
        </is>
      </c>
      <c r="G2551" t="inlineStr">
        <is>
          <t>transmission, for lorry</t>
        </is>
      </c>
      <c r="H2551" t="inlineStr">
        <is>
          <t> Energy-use allocation: 291.1999816894531 * 1.367427797431765e-07 / 0.4344222719799472 MJ per ton kilometer.</t>
        </is>
      </c>
      <c r="I2551">
        <v>0</v>
      </c>
    </row>
    <row r="2552">
      <c r="A2552" t="inlineStr">
        <is>
          <t>market for converter, for electric passenger car</t>
        </is>
      </c>
      <c r="B2552">
        <v>7.869231653337545e-06</v>
      </c>
      <c r="C2552" t="inlineStr">
        <is>
          <t>GLO</t>
        </is>
      </c>
      <c r="D2552" t="inlineStr">
        <is>
          <t>kilogram</t>
        </is>
      </c>
      <c r="F2552" t="inlineStr">
        <is>
          <t>technosphere</t>
        </is>
      </c>
      <c r="G2552" t="inlineStr">
        <is>
          <t>converter, for electric passenger car</t>
        </is>
      </c>
      <c r="H2552" t="inlineStr">
        <is>
          <t> Energy-use allocation: 25 * 1.367427797431765e-07 / 0.4344222719799472 MJ per ton kilometer.</t>
        </is>
      </c>
      <c r="I2552">
        <v>0</v>
      </c>
    </row>
    <row r="2553">
      <c r="A2553" t="inlineStr">
        <is>
          <t>market for electric motor, electric passenger car</t>
        </is>
      </c>
      <c r="B2553">
        <v>0.00018886155968010109</v>
      </c>
      <c r="C2553" t="inlineStr">
        <is>
          <t>GLO</t>
        </is>
      </c>
      <c r="D2553" t="inlineStr">
        <is>
          <t>kilogram</t>
        </is>
      </c>
      <c r="F2553" t="inlineStr">
        <is>
          <t>technosphere</t>
        </is>
      </c>
      <c r="G2553" t="inlineStr">
        <is>
          <t>electric motor, electric passenger car</t>
        </is>
      </c>
      <c r="H2553" t="inlineStr">
        <is>
          <t> Energy-use allocation: 600 * 1.367427797431765e-07 / 0.4344222719799472 MJ per ton kilometer.</t>
        </is>
      </c>
      <c r="I2553">
        <v>0</v>
      </c>
    </row>
    <row r="2554">
      <c r="A2554" t="inlineStr">
        <is>
          <t>market for inverter, for electric passenger car</t>
        </is>
      </c>
      <c r="B2554">
        <v>8.725462677809252e-06</v>
      </c>
      <c r="C2554" t="inlineStr">
        <is>
          <t>GLO</t>
        </is>
      </c>
      <c r="D2554" t="inlineStr">
        <is>
          <t>kilogram</t>
        </is>
      </c>
      <c r="F2554" t="inlineStr">
        <is>
          <t>technosphere</t>
        </is>
      </c>
      <c r="G2554" t="inlineStr">
        <is>
          <t>inverter, for electric passenger car</t>
        </is>
      </c>
      <c r="H2554" t="inlineStr">
        <is>
          <t> Energy-use allocation: 27.72018623352051 * 1.367427797431765e-07 / 0.4344222719799472 MJ per ton kilometer.</t>
        </is>
      </c>
      <c r="I2554">
        <v>0</v>
      </c>
    </row>
    <row r="2555">
      <c r="A2555" t="inlineStr">
        <is>
          <t>market for power distribution unit, for electric passenger car</t>
        </is>
      </c>
      <c r="B2555">
        <v>1.2590770645340072e-06</v>
      </c>
      <c r="C2555" t="inlineStr">
        <is>
          <t>GLO</t>
        </is>
      </c>
      <c r="D2555" t="inlineStr">
        <is>
          <t>kilogram</t>
        </is>
      </c>
      <c r="F2555" t="inlineStr">
        <is>
          <t>technosphere</t>
        </is>
      </c>
      <c r="G2555" t="inlineStr">
        <is>
          <t>power distribution unit, for electric passenger car</t>
        </is>
      </c>
      <c r="H2555" t="inlineStr">
        <is>
          <t> Energy-use allocation: 4 * 1.367427797431765e-07 / 0.4344222719799472 MJ per ton kilometer.</t>
        </is>
      </c>
      <c r="I2555">
        <v>0</v>
      </c>
    </row>
    <row r="2556">
      <c r="A2556" t="inlineStr">
        <is>
          <t>market for battery capacity (MIX scenario)</t>
        </is>
      </c>
      <c r="B2556">
        <v>0.00017339536871471286</v>
      </c>
      <c r="C2556" t="inlineStr">
        <is>
          <t>GLO</t>
        </is>
      </c>
      <c r="D2556" t="inlineStr">
        <is>
          <t>kilowatt hour</t>
        </is>
      </c>
      <c r="F2556" t="inlineStr">
        <is>
          <t>technosphere</t>
        </is>
      </c>
      <c r="G2556" t="inlineStr">
        <is>
          <t>electricity storage capacity</t>
        </is>
      </c>
      <c r="H2556" t="inlineStr">
        <is>
          <t>550.864990234 kWh nominal * (1 + 0 replacements); capacity market includes manufacture and end of life, replacing kg pack and disposal exchanges. Energy-use allocation: 550.864990234375 * 1.367427797431765e-07 / 0.4344222719799472 MJ per ton kilometer.</t>
        </is>
      </c>
      <c r="I2556">
        <v>0</v>
      </c>
    </row>
    <row r="2557"/>
    <row r="2558">
      <c r="A2558" t="inlineStr">
        <is>
          <t>Activity</t>
        </is>
      </c>
      <c r="B2558" t="inlineStr">
        <is>
          <t>hydrogen, used in heavy duty vehicle</t>
        </is>
      </c>
    </row>
    <row r="2559">
      <c r="A2559" t="inlineStr">
        <is>
          <t>location</t>
        </is>
      </c>
      <c r="B2559" t="inlineStr">
        <is>
          <t>CH</t>
        </is>
      </c>
    </row>
    <row r="2560">
      <c r="A2560" t="inlineStr">
        <is>
          <t>production amount</t>
        </is>
      </c>
      <c r="B2560">
        <v>1</v>
      </c>
    </row>
    <row r="2561">
      <c r="A2561" t="inlineStr">
        <is>
          <t>reference product</t>
        </is>
      </c>
      <c r="B2561" t="inlineStr">
        <is>
          <t>heat</t>
        </is>
      </c>
    </row>
    <row r="2562">
      <c r="A2562" t="inlineStr">
        <is>
          <t>type</t>
        </is>
      </c>
      <c r="B2562" t="inlineStr">
        <is>
          <t>process</t>
        </is>
      </c>
    </row>
    <row r="2563">
      <c r="A2563" t="inlineStr">
        <is>
          <t>unit</t>
        </is>
      </c>
      <c r="B2563" t="inlineStr">
        <is>
          <t>megajoule</t>
        </is>
      </c>
    </row>
    <row r="2564">
      <c r="A2564" t="inlineStr">
        <is>
          <t>source</t>
        </is>
      </c>
      <c r="B2564" t="inlineStr">
        <is>
          <t>Sacchi, R., Bauer, C., and Cox, B. Does size matter? The influence of size, load factor, range autonomy and application type on the Life Cycle Assessment of current and future trucks. 2021. Environmental Science and Technology.</t>
        </is>
      </c>
    </row>
    <row r="2565">
      <c r="A2565" t="inlineStr">
        <is>
          <t>description</t>
        </is>
      </c>
      <c r="B2565"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66">
      <c r="A2566" t="inlineStr">
        <is>
          <t>comment</t>
        </is>
      </c>
      <c r="B2566"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567">
      <c r="A2567" t="inlineStr">
        <is>
          <t>energy use source</t>
        </is>
      </c>
      <c r="B2567"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68">
      <c r="A2568" t="inlineStr">
        <is>
          <t>Exchanges</t>
        </is>
      </c>
    </row>
    <row r="2569">
      <c r="A2569" t="inlineStr">
        <is>
          <t>name</t>
        </is>
      </c>
      <c r="B2569" t="inlineStr">
        <is>
          <t>amount</t>
        </is>
      </c>
      <c r="C2569" t="inlineStr">
        <is>
          <t>location</t>
        </is>
      </c>
      <c r="D2569" t="inlineStr">
        <is>
          <t>unit</t>
        </is>
      </c>
      <c r="E2569" t="inlineStr">
        <is>
          <t>categories</t>
        </is>
      </c>
      <c r="F2569" t="inlineStr">
        <is>
          <t>type</t>
        </is>
      </c>
      <c r="G2569" t="inlineStr">
        <is>
          <t>reference product</t>
        </is>
      </c>
      <c r="H2569" t="inlineStr">
        <is>
          <t>comment</t>
        </is>
      </c>
      <c r="I2569" t="inlineStr">
        <is>
          <t>uncertainty type</t>
        </is>
      </c>
    </row>
    <row r="2570">
      <c r="A2570" t="inlineStr">
        <is>
          <t>hydrogen, used in heavy duty vehicle</t>
        </is>
      </c>
      <c r="B2570">
        <v>1.0</v>
      </c>
      <c r="C2570" t="inlineStr">
        <is>
          <t>CH</t>
        </is>
      </c>
      <c r="D2570" t="inlineStr">
        <is>
          <t>megajoule</t>
        </is>
      </c>
      <c r="E2570" t="inlineStr">
        <is>
          <t/>
        </is>
      </c>
      <c r="F2570" t="inlineStr">
        <is>
          <t>production</t>
        </is>
      </c>
      <c r="G2570" t="inlineStr">
        <is>
          <t>heat</t>
        </is>
      </c>
      <c r="I2570">
        <v>0</v>
      </c>
    </row>
    <row r="2571">
      <c r="A2571" t="inlineStr">
        <is>
          <t>market for hydrogen, gaseous, low pressure</t>
        </is>
      </c>
      <c r="B2571">
        <v>0.008333333333333333</v>
      </c>
      <c r="C2571" t="inlineStr">
        <is>
          <t>RER</t>
        </is>
      </c>
      <c r="D2571" t="inlineStr">
        <is>
          <t>kilogram</t>
        </is>
      </c>
      <c r="F2571" t="inlineStr">
        <is>
          <t>technosphere</t>
        </is>
      </c>
      <c r="G2571" t="inlineStr">
        <is>
          <t>hydrogen, gaseous, low pressure</t>
        </is>
      </c>
      <c r="H2571" t="inlineStr">
        <is>
          <t>Model fuel energy retained: 0.790956906425 MJ/tkm; reference LHV 120.0 MJ/kg. Premise determines regional blends.</t>
        </is>
      </c>
      <c r="I2571">
        <v>0</v>
      </c>
    </row>
    <row r="2572">
      <c r="A2572" t="inlineStr">
        <is>
          <t>market for tetrafluoroethane, R134a</t>
        </is>
      </c>
      <c r="B2572">
        <v>3.5268073730745854e-07</v>
      </c>
      <c r="C2572" t="inlineStr">
        <is>
          <t>GLO</t>
        </is>
      </c>
      <c r="D2572" t="inlineStr">
        <is>
          <t>kilogram</t>
        </is>
      </c>
      <c r="F2572" t="inlineStr">
        <is>
          <t>technosphere</t>
        </is>
      </c>
      <c r="G2572" t="inlineStr">
        <is>
          <t>tetrafluoroethane, R134a</t>
        </is>
      </c>
      <c r="I2572">
        <v>0</v>
      </c>
    </row>
    <row r="2573">
      <c r="A2573" t="inlineStr">
        <is>
          <t>treatment of brake wear emissions, lorry</t>
        </is>
      </c>
      <c r="B2573">
        <v>-9.34177721874287e-06</v>
      </c>
      <c r="C2573" t="inlineStr">
        <is>
          <t>RER</t>
        </is>
      </c>
      <c r="D2573" t="inlineStr">
        <is>
          <t>kilogram</t>
        </is>
      </c>
      <c r="F2573" t="inlineStr">
        <is>
          <t>technosphere</t>
        </is>
      </c>
      <c r="G2573" t="inlineStr">
        <is>
          <t>brake wear emissions, lorry</t>
        </is>
      </c>
      <c r="I2573">
        <v>0</v>
      </c>
    </row>
    <row r="2574">
      <c r="A2574" t="inlineStr">
        <is>
          <t>treatment of road wear emissions, lorry</t>
        </is>
      </c>
      <c r="B2574">
        <v>-1.6195647463338396e-05</v>
      </c>
      <c r="C2574" t="inlineStr">
        <is>
          <t>RER</t>
        </is>
      </c>
      <c r="D2574" t="inlineStr">
        <is>
          <t>kilogram</t>
        </is>
      </c>
      <c r="F2574" t="inlineStr">
        <is>
          <t>technosphere</t>
        </is>
      </c>
      <c r="G2574" t="inlineStr">
        <is>
          <t>road wear emissions, lorry</t>
        </is>
      </c>
      <c r="I2574">
        <v>0</v>
      </c>
    </row>
    <row r="2575">
      <c r="A2575" t="inlineStr">
        <is>
          <t>treatment of tyre wear emissions, lorry</t>
        </is>
      </c>
      <c r="B2575">
        <v>-1.3157154143296742e-05</v>
      </c>
      <c r="C2575" t="inlineStr">
        <is>
          <t>RER</t>
        </is>
      </c>
      <c r="D2575" t="inlineStr">
        <is>
          <t>kilogram</t>
        </is>
      </c>
      <c r="F2575" t="inlineStr">
        <is>
          <t>technosphere</t>
        </is>
      </c>
      <c r="G2575" t="inlineStr">
        <is>
          <t>tyre wear emissions, lorry</t>
        </is>
      </c>
      <c r="I2575">
        <v>0</v>
      </c>
    </row>
    <row r="2576">
      <c r="A2576" t="inlineStr">
        <is>
          <t>1,1,1,2-Tetrafluoroethane</t>
        </is>
      </c>
      <c r="B2576">
        <v>1.6250976573272652e-07</v>
      </c>
      <c r="D2576" t="inlineStr">
        <is>
          <t>kilogram</t>
        </is>
      </c>
      <c r="E2576" t="inlineStr">
        <is>
          <t>air</t>
        </is>
      </c>
      <c r="F2576" t="inlineStr">
        <is>
          <t>biosphere</t>
        </is>
      </c>
      <c r="I2576">
        <v>0</v>
      </c>
    </row>
    <row r="2577">
      <c r="A2577" t="inlineStr">
        <is>
          <t>fuel cell Balance of Plant production, 1 kWe, proton exchange membrane (PEM), carculator regional truck 2020</t>
        </is>
      </c>
      <c r="B2577">
        <v>1.0629661701777987e-05</v>
      </c>
      <c r="C2577" t="inlineStr">
        <is>
          <t>GLO</t>
        </is>
      </c>
      <c r="D2577" t="inlineStr">
        <is>
          <t>unit</t>
        </is>
      </c>
      <c r="F2577" t="inlineStr">
        <is>
          <t>technosphere</t>
        </is>
      </c>
      <c r="G2577" t="inlineStr">
        <is>
          <t>fuel cell Balance of Plant, 1 kWe, proton exchange membrane (PEM)</t>
        </is>
      </c>
      <c r="H2577" t="inlineStr">
        <is>
          <t> Energy-use allocation: 61.48481369018555 * 1.367427797431765e-07 / 0.7909569064254391 MJ per ton kilometer.</t>
        </is>
      </c>
      <c r="I2577">
        <v>0</v>
      </c>
    </row>
    <row r="2578">
      <c r="A2578" t="inlineStr">
        <is>
          <t>fuel cell stack production, 1 kWe, proton exchange membrane (PEM), carculator regional truck 2020</t>
        </is>
      </c>
      <c r="B2578">
        <v>5.011125976461462e-05</v>
      </c>
      <c r="C2578" t="inlineStr">
        <is>
          <t>GLO</t>
        </is>
      </c>
      <c r="D2578" t="inlineStr">
        <is>
          <t>unit</t>
        </is>
      </c>
      <c r="F2578" t="inlineStr">
        <is>
          <t>technosphere</t>
        </is>
      </c>
      <c r="G2578" t="inlineStr">
        <is>
          <t>fuel cell stack, 1 kWe, proton exchange membrane (PEM)</t>
        </is>
      </c>
      <c r="H2578" t="inlineStr">
        <is>
          <t> Energy-use allocation: 289.8569641113281 * 1.367427797431765e-07 / 0.7909569064254391 MJ per ton kilometer.</t>
        </is>
      </c>
      <c r="I2578">
        <v>0</v>
      </c>
    </row>
    <row r="2579">
      <c r="A2579" t="inlineStr">
        <is>
          <t>fuel tank, compressed hydrogen gas, 700bar, with HDPE liner</t>
        </is>
      </c>
      <c r="B2579">
        <v>6.26226915252314e-05</v>
      </c>
      <c r="C2579" t="inlineStr">
        <is>
          <t>RER</t>
        </is>
      </c>
      <c r="D2579" t="inlineStr">
        <is>
          <t>kilogram</t>
        </is>
      </c>
      <c r="F2579" t="inlineStr">
        <is>
          <t>technosphere</t>
        </is>
      </c>
      <c r="G2579" t="inlineStr">
        <is>
          <t>hydrogen tank</t>
        </is>
      </c>
      <c r="H2579" t="inlineStr">
        <is>
          <t> Energy-use allocation: 362.2264404296875 * 1.367427797431765e-07 / 0.7909569064254391 MJ per ton kilometer.</t>
        </is>
      </c>
      <c r="I2579">
        <v>0</v>
      </c>
    </row>
    <row r="2580">
      <c r="A2580" t="inlineStr">
        <is>
          <t>gearbox, for lorry</t>
        </is>
      </c>
      <c r="B2580">
        <v>3.485315698856566e-05</v>
      </c>
      <c r="C2580" t="inlineStr">
        <is>
          <t>RER</t>
        </is>
      </c>
      <c r="D2580" t="inlineStr">
        <is>
          <t>kilogram</t>
        </is>
      </c>
      <c r="F2580" t="inlineStr">
        <is>
          <t>technosphere</t>
        </is>
      </c>
      <c r="G2580" t="inlineStr">
        <is>
          <t>gearbox, for lorry</t>
        </is>
      </c>
      <c r="H2580" t="inlineStr">
        <is>
          <t> Energy-use allocation: 201.6000061035156 * 1.367427797431765e-07 / 0.7909569064254391 MJ per ton kilometer.</t>
        </is>
      </c>
      <c r="I2580">
        <v>0</v>
      </c>
    </row>
    <row r="2581">
      <c r="A2581" t="inlineStr">
        <is>
          <t>power electronics, for lorry</t>
        </is>
      </c>
      <c r="B2581">
        <v>4.581392024972185e-05</v>
      </c>
      <c r="C2581" t="inlineStr">
        <is>
          <t>RER</t>
        </is>
      </c>
      <c r="D2581" t="inlineStr">
        <is>
          <t>kilogram</t>
        </is>
      </c>
      <c r="F2581" t="inlineStr">
        <is>
          <t>technosphere</t>
        </is>
      </c>
      <c r="G2581" t="inlineStr">
        <is>
          <t>power electronics, for lorry</t>
        </is>
      </c>
      <c r="H2581" t="inlineStr">
        <is>
          <t> Energy-use allocation: 265 * 1.367427797431765e-07 / 0.7909569064254391 MJ per ton kilometer.</t>
        </is>
      </c>
      <c r="I2581">
        <v>0</v>
      </c>
    </row>
    <row r="2582">
      <c r="A2582" t="inlineStr">
        <is>
          <t>retarder, for lorry</t>
        </is>
      </c>
      <c r="B2582">
        <v>1.1617718116861581e-05</v>
      </c>
      <c r="C2582" t="inlineStr">
        <is>
          <t>RER</t>
        </is>
      </c>
      <c r="D2582" t="inlineStr">
        <is>
          <t>kilogram</t>
        </is>
      </c>
      <c r="F2582" t="inlineStr">
        <is>
          <t>technosphere</t>
        </is>
      </c>
      <c r="G2582" t="inlineStr">
        <is>
          <t>retarder, for lorry</t>
        </is>
      </c>
      <c r="H2582" t="inlineStr">
        <is>
          <t> Energy-use allocation: 67.19999694824219 * 1.367427797431765e-07 / 0.7909569064254391 MJ per ton kilometer.</t>
        </is>
      </c>
      <c r="I2582">
        <v>0</v>
      </c>
    </row>
    <row r="2583">
      <c r="A2583" t="inlineStr">
        <is>
          <t>transmission, for lorry</t>
        </is>
      </c>
      <c r="B2583">
        <v>5.0343444293739876e-05</v>
      </c>
      <c r="C2583" t="inlineStr">
        <is>
          <t>RER</t>
        </is>
      </c>
      <c r="D2583" t="inlineStr">
        <is>
          <t>kilogram</t>
        </is>
      </c>
      <c r="F2583" t="inlineStr">
        <is>
          <t>technosphere</t>
        </is>
      </c>
      <c r="G2583" t="inlineStr">
        <is>
          <t>transmission, for lorry</t>
        </is>
      </c>
      <c r="H2583" t="inlineStr">
        <is>
          <t> Energy-use allocation: 291.1999816894531 * 1.367427797431765e-07 / 0.7909569064254391 MJ per ton kilometer.</t>
        </is>
      </c>
      <c r="I2583">
        <v>0</v>
      </c>
    </row>
    <row r="2584">
      <c r="A2584" t="inlineStr">
        <is>
          <t>market for converter, for electric passenger car</t>
        </is>
      </c>
      <c r="B2584">
        <v>4.3220679480869664e-06</v>
      </c>
      <c r="C2584" t="inlineStr">
        <is>
          <t>GLO</t>
        </is>
      </c>
      <c r="D2584" t="inlineStr">
        <is>
          <t>kilogram</t>
        </is>
      </c>
      <c r="F2584" t="inlineStr">
        <is>
          <t>technosphere</t>
        </is>
      </c>
      <c r="G2584" t="inlineStr">
        <is>
          <t>converter, for electric passenger car</t>
        </is>
      </c>
      <c r="H2584" t="inlineStr">
        <is>
          <t> Energy-use allocation: 25 * 1.367427797431765e-07 / 0.7909569064254391 MJ per ton kilometer.</t>
        </is>
      </c>
      <c r="I2584">
        <v>0</v>
      </c>
    </row>
    <row r="2585">
      <c r="A2585" t="inlineStr">
        <is>
          <t>market for electric motor, electric passenger car</t>
        </is>
      </c>
      <c r="B2585">
        <v>4.3230698532424135e-05</v>
      </c>
      <c r="C2585" t="inlineStr">
        <is>
          <t>GLO</t>
        </is>
      </c>
      <c r="D2585" t="inlineStr">
        <is>
          <t>kilogram</t>
        </is>
      </c>
      <c r="F2585" t="inlineStr">
        <is>
          <t>technosphere</t>
        </is>
      </c>
      <c r="G2585" t="inlineStr">
        <is>
          <t>electric motor, electric passenger car</t>
        </is>
      </c>
      <c r="H2585" t="inlineStr">
        <is>
          <t> Energy-use allocation: 250.0579528808594 * 1.367427797431765e-07 / 0.7909569064254391 MJ per ton kilometer.</t>
        </is>
      </c>
      <c r="I2585">
        <v>0</v>
      </c>
    </row>
    <row r="2586">
      <c r="A2586" t="inlineStr">
        <is>
          <t>market for inverter, for electric passenger car</t>
        </is>
      </c>
      <c r="B2586">
        <v>3.4348338449796365e-06</v>
      </c>
      <c r="C2586" t="inlineStr">
        <is>
          <t>GLO</t>
        </is>
      </c>
      <c r="D2586" t="inlineStr">
        <is>
          <t>kilogram</t>
        </is>
      </c>
      <c r="F2586" t="inlineStr">
        <is>
          <t>technosphere</t>
        </is>
      </c>
      <c r="G2586" t="inlineStr">
        <is>
          <t>inverter, for electric passenger car</t>
        </is>
      </c>
      <c r="H2586" t="inlineStr">
        <is>
          <t> Energy-use allocation: 19.86800003051758 * 1.367427797431765e-07 / 0.7909569064254391 MJ per ton kilometer.</t>
        </is>
      </c>
      <c r="I2586">
        <v>0</v>
      </c>
    </row>
    <row r="2587">
      <c r="A2587" t="inlineStr">
        <is>
          <t>market for power distribution unit, for electric passenger car</t>
        </is>
      </c>
      <c r="B2587">
        <v>6.915308716939146e-07</v>
      </c>
      <c r="C2587" t="inlineStr">
        <is>
          <t>GLO</t>
        </is>
      </c>
      <c r="D2587" t="inlineStr">
        <is>
          <t>kilogram</t>
        </is>
      </c>
      <c r="F2587" t="inlineStr">
        <is>
          <t>technosphere</t>
        </is>
      </c>
      <c r="G2587" t="inlineStr">
        <is>
          <t>power distribution unit, for electric passenger car</t>
        </is>
      </c>
      <c r="H2587" t="inlineStr">
        <is>
          <t> Energy-use allocation: 4 * 1.367427797431765e-07 / 0.7909569064254391 MJ per ton kilometer.</t>
        </is>
      </c>
      <c r="I2587">
        <v>0</v>
      </c>
    </row>
    <row r="2588">
      <c r="A2588" t="inlineStr">
        <is>
          <t>market for battery capacity (MIX scenario)</t>
        </is>
      </c>
      <c r="B2588">
        <v>1.2847325871841106e-05</v>
      </c>
      <c r="C2588" t="inlineStr">
        <is>
          <t>GLO</t>
        </is>
      </c>
      <c r="D2588" t="inlineStr">
        <is>
          <t>kilowatt hour</t>
        </is>
      </c>
      <c r="F2588" t="inlineStr">
        <is>
          <t>technosphere</t>
        </is>
      </c>
      <c r="G2588" t="inlineStr">
        <is>
          <t>electricity storage capacity</t>
        </is>
      </c>
      <c r="H2588" t="inlineStr">
        <is>
          <t>74.3123779297 kWh nominal * (1 + 0 replacements); capacity market includes manufacture and end of life, replacing kg pack and disposal exchanges. Energy-use allocation: 74.3123779296875 * 1.367427797431765e-07 / 0.7909569064254391 MJ per ton kilometer.</t>
        </is>
      </c>
      <c r="I2588">
        <v>0</v>
      </c>
    </row>
    <row r="2589">
      <c r="A2589" t="inlineStr">
        <is>
          <t>market group for electricity, low voltage</t>
        </is>
      </c>
      <c r="B2589">
        <v>0.020421827056420448</v>
      </c>
      <c r="C2589" t="inlineStr">
        <is>
          <t>RER</t>
        </is>
      </c>
      <c r="D2589" t="inlineStr">
        <is>
          <t>kilowatt hour</t>
        </is>
      </c>
      <c r="F2589" t="inlineStr">
        <is>
          <t>technosphere</t>
        </is>
      </c>
      <c r="G2589" t="inlineStr">
        <is>
          <t>electricity, low voltage</t>
        </is>
      </c>
      <c r="H2589" t="inlineStr">
        <is>
          <t>Hydrogen tank compression, 30 to 700 bar: 2.45061924677 kWh/kg H2; model compressor assumptions and Premise delivery pressure.</t>
        </is>
      </c>
      <c r="I2589">
        <v>0</v>
      </c>
    </row>
    <row r="2590"/>
    <row r="2591">
      <c r="A2591" t="inlineStr">
        <is>
          <t>Activity</t>
        </is>
      </c>
      <c r="B2591" t="inlineStr">
        <is>
          <t>compressed gas, burned in heavy duty vehicle</t>
        </is>
      </c>
    </row>
    <row r="2592">
      <c r="A2592" t="inlineStr">
        <is>
          <t>comment</t>
        </is>
      </c>
      <c r="B259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593">
      <c r="A2593" t="inlineStr">
        <is>
          <t>description</t>
        </is>
      </c>
      <c r="B259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594">
      <c r="A2594" t="inlineStr">
        <is>
          <t>location</t>
        </is>
      </c>
      <c r="B2594" t="inlineStr">
        <is>
          <t>CH</t>
        </is>
      </c>
    </row>
    <row r="2595">
      <c r="A2595" t="inlineStr">
        <is>
          <t>production amount</t>
        </is>
      </c>
      <c r="B2595">
        <v>1</v>
      </c>
    </row>
    <row r="2596">
      <c r="A2596" t="inlineStr">
        <is>
          <t>reference product</t>
        </is>
      </c>
      <c r="B2596" t="inlineStr">
        <is>
          <t>heat</t>
        </is>
      </c>
    </row>
    <row r="2597">
      <c r="A2597" t="inlineStr">
        <is>
          <t>source</t>
        </is>
      </c>
      <c r="B2597" t="inlineStr">
        <is>
          <t>Sacchi, R., Bauer, C., and Cox, B. Does size matter? The influence of size, load factor, range autonomy and application type on the Life Cycle Assessment of current and future trucks. 2021. Environmental Science and Technology.</t>
        </is>
      </c>
    </row>
    <row r="2598">
      <c r="A2598" t="inlineStr">
        <is>
          <t>type</t>
        </is>
      </c>
      <c r="B2598" t="inlineStr">
        <is>
          <t>process</t>
        </is>
      </c>
    </row>
    <row r="2599">
      <c r="A2599" t="inlineStr">
        <is>
          <t>unit</t>
        </is>
      </c>
      <c r="B2599" t="inlineStr">
        <is>
          <t>megajoule</t>
        </is>
      </c>
    </row>
    <row r="2600">
      <c r="A2600" t="inlineStr">
        <is>
          <t>energy use source</t>
        </is>
      </c>
      <c r="B2600"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601">
      <c r="A2601" t="inlineStr">
        <is>
          <t>Exchanges</t>
        </is>
      </c>
    </row>
    <row r="2602">
      <c r="A2602" t="inlineStr">
        <is>
          <t>name</t>
        </is>
      </c>
      <c r="B2602" t="inlineStr">
        <is>
          <t>amount</t>
        </is>
      </c>
      <c r="C2602" t="inlineStr">
        <is>
          <t>location</t>
        </is>
      </c>
      <c r="D2602" t="inlineStr">
        <is>
          <t>unit</t>
        </is>
      </c>
      <c r="E2602" t="inlineStr">
        <is>
          <t>categories</t>
        </is>
      </c>
      <c r="F2602" t="inlineStr">
        <is>
          <t>type</t>
        </is>
      </c>
      <c r="G2602" t="inlineStr">
        <is>
          <t>reference product</t>
        </is>
      </c>
      <c r="H2602" t="inlineStr">
        <is>
          <t>comment</t>
        </is>
      </c>
      <c r="I2602" t="inlineStr">
        <is>
          <t>uncertainty type</t>
        </is>
      </c>
    </row>
    <row r="2603">
      <c r="A2603" t="inlineStr">
        <is>
          <t>compressed gas, burned in heavy duty vehicle</t>
        </is>
      </c>
      <c r="B2603">
        <v>1.0</v>
      </c>
      <c r="C2603" t="inlineStr">
        <is>
          <t>CH</t>
        </is>
      </c>
      <c r="D2603" t="inlineStr">
        <is>
          <t>megajoule</t>
        </is>
      </c>
      <c r="F2603" t="inlineStr">
        <is>
          <t>production</t>
        </is>
      </c>
      <c r="G2603" t="inlineStr">
        <is>
          <t>heat</t>
        </is>
      </c>
      <c r="I2603">
        <v>0</v>
      </c>
    </row>
    <row r="2604">
      <c r="A2604" t="inlineStr">
        <is>
          <t>market for natural gas, medium pressure, vehicle grade</t>
        </is>
      </c>
      <c r="B2604">
        <v>0.021505376344086023</v>
      </c>
      <c r="C2604" t="inlineStr">
        <is>
          <t>GLO</t>
        </is>
      </c>
      <c r="D2604" t="inlineStr">
        <is>
          <t>kilogram</t>
        </is>
      </c>
      <c r="F2604" t="inlineStr">
        <is>
          <t>technosphere</t>
        </is>
      </c>
      <c r="G2604" t="inlineStr">
        <is>
          <t>natural gas, medium pressure, vehicle grade</t>
        </is>
      </c>
      <c r="H2604" t="inlineStr">
        <is>
          <t>Model fuel energy retained: 1.36571228226 MJ/tkm; reference LHV 46.5 MJ/kg. Premise determines regional blends.</t>
        </is>
      </c>
      <c r="I2604">
        <v>0</v>
      </c>
    </row>
    <row r="2605">
      <c r="A2605" t="inlineStr">
        <is>
          <t>market for tetrafluoroethane, R134a</t>
        </is>
      </c>
      <c r="B2605">
        <v>2.0425624676545975e-07</v>
      </c>
      <c r="C2605" t="inlineStr">
        <is>
          <t>GLO</t>
        </is>
      </c>
      <c r="D2605" t="inlineStr">
        <is>
          <t>kilogram</t>
        </is>
      </c>
      <c r="F2605" t="inlineStr">
        <is>
          <t>technosphere</t>
        </is>
      </c>
      <c r="G2605" t="inlineStr">
        <is>
          <t>tetrafluoroethane, R134a</t>
        </is>
      </c>
      <c r="I2605">
        <v>0</v>
      </c>
    </row>
    <row r="2606">
      <c r="A2606" t="inlineStr">
        <is>
          <t>treatment of brake wear emissions, lorry</t>
        </is>
      </c>
      <c r="B2606">
        <v>-7.486271918383526e-06</v>
      </c>
      <c r="C2606" t="inlineStr">
        <is>
          <t>RER</t>
        </is>
      </c>
      <c r="D2606" t="inlineStr">
        <is>
          <t>kilogram</t>
        </is>
      </c>
      <c r="F2606" t="inlineStr">
        <is>
          <t>technosphere</t>
        </is>
      </c>
      <c r="G2606" t="inlineStr">
        <is>
          <t>brake wear emissions, lorry</t>
        </is>
      </c>
      <c r="I2606">
        <v>0</v>
      </c>
    </row>
    <row r="2607">
      <c r="A2607" t="inlineStr">
        <is>
          <t>treatment of road wear emissions, lorry</t>
        </is>
      </c>
      <c r="B2607">
        <v>-9.441824985264776e-06</v>
      </c>
      <c r="C2607" t="inlineStr">
        <is>
          <t>RER</t>
        </is>
      </c>
      <c r="D2607" t="inlineStr">
        <is>
          <t>kilogram</t>
        </is>
      </c>
      <c r="F2607" t="inlineStr">
        <is>
          <t>technosphere</t>
        </is>
      </c>
      <c r="G2607" t="inlineStr">
        <is>
          <t>road wear emissions, lorry</t>
        </is>
      </c>
      <c r="I2607">
        <v>0</v>
      </c>
    </row>
    <row r="2608">
      <c r="A2608" t="inlineStr">
        <is>
          <t>treatment of tyre wear emissions, lorry</t>
        </is>
      </c>
      <c r="B2608">
        <v>-7.66615520878379e-06</v>
      </c>
      <c r="C2608" t="inlineStr">
        <is>
          <t>RER</t>
        </is>
      </c>
      <c r="D2608" t="inlineStr">
        <is>
          <t>kilogram</t>
        </is>
      </c>
      <c r="F2608" t="inlineStr">
        <is>
          <t>technosphere</t>
        </is>
      </c>
      <c r="G2608" t="inlineStr">
        <is>
          <t>tyre wear emissions, lorry</t>
        </is>
      </c>
      <c r="I2608">
        <v>0</v>
      </c>
    </row>
    <row r="2609">
      <c r="A2609" t="inlineStr">
        <is>
          <t>NMVOC, non-methane volatile organic compounds</t>
        </is>
      </c>
      <c r="B2609">
        <v>7.002805122814972e-07</v>
      </c>
      <c r="D2609" t="inlineStr">
        <is>
          <t>kilogram</t>
        </is>
      </c>
      <c r="E2609" t="inlineStr">
        <is>
          <t>air::non-urban air or from high stacks</t>
        </is>
      </c>
      <c r="F2609" t="inlineStr">
        <is>
          <t>biosphere</t>
        </is>
      </c>
      <c r="I2609">
        <v>0</v>
      </c>
    </row>
    <row r="2610">
      <c r="A2610" t="inlineStr">
        <is>
          <t>Particulate Matter, &lt; 2.5 um</t>
        </is>
      </c>
      <c r="B2610">
        <v>1.107539405371624e-07</v>
      </c>
      <c r="D2610" t="inlineStr">
        <is>
          <t>kilogram</t>
        </is>
      </c>
      <c r="E2610" t="inlineStr">
        <is>
          <t>air::urban air close to ground</t>
        </is>
      </c>
      <c r="F2610" t="inlineStr">
        <is>
          <t>biosphere</t>
        </is>
      </c>
      <c r="I2610">
        <v>0</v>
      </c>
    </row>
    <row r="2611">
      <c r="A2611" t="inlineStr">
        <is>
          <t>Methane, fossil</t>
        </is>
      </c>
      <c r="B2611">
        <v>8.05322854210204e-06</v>
      </c>
      <c r="D2611" t="inlineStr">
        <is>
          <t>kilogram</t>
        </is>
      </c>
      <c r="E2611" t="inlineStr">
        <is>
          <t>air::non-urban air or from high stacks</t>
        </is>
      </c>
      <c r="F2611" t="inlineStr">
        <is>
          <t>biosphere</t>
        </is>
      </c>
      <c r="I2611">
        <v>0</v>
      </c>
    </row>
    <row r="2612">
      <c r="A2612" t="inlineStr">
        <is>
          <t>Nitrogen oxides</t>
        </is>
      </c>
      <c r="B2612">
        <v>2.1930022791785066e-05</v>
      </c>
      <c r="D2612" t="inlineStr">
        <is>
          <t>kilogram</t>
        </is>
      </c>
      <c r="E2612" t="inlineStr">
        <is>
          <t>air::non-urban air or from high stacks</t>
        </is>
      </c>
      <c r="F2612" t="inlineStr">
        <is>
          <t>biosphere</t>
        </is>
      </c>
      <c r="I2612">
        <v>0</v>
      </c>
    </row>
    <row r="2613">
      <c r="A2613" t="inlineStr">
        <is>
          <t>Carbon monoxide, fossil</t>
        </is>
      </c>
      <c r="B2613">
        <v>3.3035310195534865e-05</v>
      </c>
      <c r="D2613" t="inlineStr">
        <is>
          <t>kilogram</t>
        </is>
      </c>
      <c r="E2613" t="inlineStr">
        <is>
          <t>air::non-urban air or from high stacks</t>
        </is>
      </c>
      <c r="F2613" t="inlineStr">
        <is>
          <t>biosphere</t>
        </is>
      </c>
      <c r="I2613">
        <v>0</v>
      </c>
    </row>
    <row r="2614">
      <c r="A2614" t="inlineStr">
        <is>
          <t>Methane, fossil</t>
        </is>
      </c>
      <c r="B2614">
        <v>3.0166182213661613e-06</v>
      </c>
      <c r="D2614" t="inlineStr">
        <is>
          <t>kilogram</t>
        </is>
      </c>
      <c r="E2614" t="inlineStr">
        <is>
          <t>air::urban air close to ground</t>
        </is>
      </c>
      <c r="F2614" t="inlineStr">
        <is>
          <t>biosphere</t>
        </is>
      </c>
      <c r="I2614">
        <v>0</v>
      </c>
    </row>
    <row r="2615">
      <c r="A2615" t="inlineStr">
        <is>
          <t>NMVOC, non-methane volatile organic compounds</t>
        </is>
      </c>
      <c r="B2615">
        <v>2.623145506397058e-07</v>
      </c>
      <c r="D2615" t="inlineStr">
        <is>
          <t>kilogram</t>
        </is>
      </c>
      <c r="E2615" t="inlineStr">
        <is>
          <t>air::urban air close to ground</t>
        </is>
      </c>
      <c r="F2615" t="inlineStr">
        <is>
          <t>biosphere</t>
        </is>
      </c>
      <c r="I2615">
        <v>0</v>
      </c>
    </row>
    <row r="2616">
      <c r="A2616" t="inlineStr">
        <is>
          <t>Nitrogen oxides</t>
        </is>
      </c>
      <c r="B2616">
        <v>8.21465715815002e-06</v>
      </c>
      <c r="D2616" t="inlineStr">
        <is>
          <t>kilogram</t>
        </is>
      </c>
      <c r="E2616" t="inlineStr">
        <is>
          <t>air::urban air close to ground</t>
        </is>
      </c>
      <c r="F2616" t="inlineStr">
        <is>
          <t>biosphere</t>
        </is>
      </c>
      <c r="I2616">
        <v>0</v>
      </c>
    </row>
    <row r="2617">
      <c r="A2617" t="inlineStr">
        <is>
          <t>Carbon monoxide, fossil</t>
        </is>
      </c>
      <c r="B2617">
        <v>1.2374529757351063e-05</v>
      </c>
      <c r="D2617" t="inlineStr">
        <is>
          <t>kilogram</t>
        </is>
      </c>
      <c r="E2617" t="inlineStr">
        <is>
          <t>air::urban air close to ground</t>
        </is>
      </c>
      <c r="F2617" t="inlineStr">
        <is>
          <t>biosphere</t>
        </is>
      </c>
      <c r="I2617">
        <v>0</v>
      </c>
    </row>
    <row r="2618">
      <c r="A2618" t="inlineStr">
        <is>
          <t>Particulate Matter, &lt; 2.5 um</t>
        </is>
      </c>
      <c r="B2618">
        <v>2.9567109392771765e-07</v>
      </c>
      <c r="D2618" t="inlineStr">
        <is>
          <t>kilogram</t>
        </is>
      </c>
      <c r="E2618" t="inlineStr">
        <is>
          <t>air::non-urban air or from high stacks</t>
        </is>
      </c>
      <c r="F2618" t="inlineStr">
        <is>
          <t>biosphere</t>
        </is>
      </c>
      <c r="I2618">
        <v>0</v>
      </c>
    </row>
    <row r="2619">
      <c r="A2619" t="inlineStr">
        <is>
          <t>1,1,1,2-Tetrafluoroethane</t>
        </is>
      </c>
      <c r="B2619">
        <v>9.411808273034042e-08</v>
      </c>
      <c r="D2619" t="inlineStr">
        <is>
          <t>kilogram</t>
        </is>
      </c>
      <c r="E2619" t="inlineStr">
        <is>
          <t>air</t>
        </is>
      </c>
      <c r="F2619" t="inlineStr">
        <is>
          <t>biosphere</t>
        </is>
      </c>
      <c r="I2619">
        <v>0</v>
      </c>
    </row>
    <row r="2620">
      <c r="A2620" t="inlineStr">
        <is>
          <t>exhaust system, for lorry</t>
        </is>
      </c>
      <c r="B2620">
        <v>2.202763490831916e-05</v>
      </c>
      <c r="C2620" t="inlineStr">
        <is>
          <t>RER</t>
        </is>
      </c>
      <c r="D2620" t="inlineStr">
        <is>
          <t>kilogram</t>
        </is>
      </c>
      <c r="F2620" t="inlineStr">
        <is>
          <t>technosphere</t>
        </is>
      </c>
      <c r="G2620" t="inlineStr">
        <is>
          <t>exhaust system, for lorry</t>
        </is>
      </c>
      <c r="H2620" t="inlineStr">
        <is>
          <t> Energy-use allocation: 220 * 1.367427797431765e-07 / 1.3657122822630972 MJ per ton kilometer.</t>
        </is>
      </c>
      <c r="I2620">
        <v>0</v>
      </c>
    </row>
    <row r="2621">
      <c r="A2621" t="inlineStr">
        <is>
          <t>fuel tank assembly, compressed natural gas, 200 bar</t>
        </is>
      </c>
      <c r="B2621">
        <v>2.3228537259892443e-05</v>
      </c>
      <c r="C2621" t="inlineStr">
        <is>
          <t>RER</t>
        </is>
      </c>
      <c r="D2621" t="inlineStr">
        <is>
          <t>kilogram</t>
        </is>
      </c>
      <c r="F2621" t="inlineStr">
        <is>
          <t>technosphere</t>
        </is>
      </c>
      <c r="G2621" t="inlineStr">
        <is>
          <t>fuel tank, compressed natural gas, 200 bar</t>
        </is>
      </c>
      <c r="H2621" t="inlineStr">
        <is>
          <t> Energy-use allocation: 231.9939575195312 * 1.367427797431765e-07 / 1.3657122822630972 MJ per ton kilometer.</t>
        </is>
      </c>
      <c r="I2621">
        <v>0</v>
      </c>
    </row>
    <row r="2622">
      <c r="A2622" t="inlineStr">
        <is>
          <t>gearbox, for lorry</t>
        </is>
      </c>
      <c r="B2622">
        <v>2.0185324236196164e-05</v>
      </c>
      <c r="C2622" t="inlineStr">
        <is>
          <t>RER</t>
        </is>
      </c>
      <c r="D2622" t="inlineStr">
        <is>
          <t>kilogram</t>
        </is>
      </c>
      <c r="F2622" t="inlineStr">
        <is>
          <t>technosphere</t>
        </is>
      </c>
      <c r="G2622" t="inlineStr">
        <is>
          <t>gearbox, for lorry</t>
        </is>
      </c>
      <c r="H2622" t="inlineStr">
        <is>
          <t> Energy-use allocation: 201.6000061035156 * 1.367427797431765e-07 / 1.3657122822630972 MJ per ton kilometer.</t>
        </is>
      </c>
      <c r="I2622">
        <v>0</v>
      </c>
    </row>
    <row r="2623">
      <c r="A2623" t="inlineStr">
        <is>
          <t>internal combustion engine, for lorry</t>
        </is>
      </c>
      <c r="B2623">
        <v>0.00012525019983449998</v>
      </c>
      <c r="C2623" t="inlineStr">
        <is>
          <t>RER</t>
        </is>
      </c>
      <c r="D2623" t="inlineStr">
        <is>
          <t>kilogram</t>
        </is>
      </c>
      <c r="F2623" t="inlineStr">
        <is>
          <t>technosphere</t>
        </is>
      </c>
      <c r="G2623" t="inlineStr">
        <is>
          <t>internal combustion engine, for lorry</t>
        </is>
      </c>
      <c r="H2623" t="inlineStr">
        <is>
          <t> Energy-use allocation: 1250.9306640625 * 1.367427797431765e-07 / 1.3657122822630972 MJ per ton kilometer.</t>
        </is>
      </c>
      <c r="I2623">
        <v>0</v>
      </c>
    </row>
    <row r="2624">
      <c r="A2624" t="inlineStr">
        <is>
          <t>lead acid battery, for lorry</t>
        </is>
      </c>
      <c r="B2624">
        <v>3.345373564732041e-06</v>
      </c>
      <c r="C2624" t="inlineStr">
        <is>
          <t>RER</t>
        </is>
      </c>
      <c r="D2624" t="inlineStr">
        <is>
          <t>kilogram</t>
        </is>
      </c>
      <c r="F2624" t="inlineStr">
        <is>
          <t>technosphere</t>
        </is>
      </c>
      <c r="G2624" t="inlineStr">
        <is>
          <t>lead acid battery, for lorry</t>
        </is>
      </c>
      <c r="H2624" t="inlineStr">
        <is>
          <t> Energy-use allocation: 33.41176605224609 * 1.367427797431765e-07 / 1.3657122822630972 MJ per ton kilometer.</t>
        </is>
      </c>
      <c r="I2624">
        <v>0</v>
      </c>
    </row>
    <row r="2625">
      <c r="A2625" t="inlineStr">
        <is>
          <t>power electronics, for lorry</t>
        </is>
      </c>
      <c r="B2625">
        <v>2.6533287503202626e-05</v>
      </c>
      <c r="C2625" t="inlineStr">
        <is>
          <t>RER</t>
        </is>
      </c>
      <c r="D2625" t="inlineStr">
        <is>
          <t>kilogram</t>
        </is>
      </c>
      <c r="F2625" t="inlineStr">
        <is>
          <t>technosphere</t>
        </is>
      </c>
      <c r="G2625" t="inlineStr">
        <is>
          <t>power electronics, for lorry</t>
        </is>
      </c>
      <c r="H2625" t="inlineStr">
        <is>
          <t> Energy-use allocation: 265 * 1.367427797431765e-07 / 1.3657122822630972 MJ per ton kilometer.</t>
        </is>
      </c>
      <c r="I2625">
        <v>0</v>
      </c>
    </row>
    <row r="2626">
      <c r="A2626" t="inlineStr">
        <is>
          <t>retarder, for lorry</t>
        </is>
      </c>
      <c r="B2626">
        <v>6.728440902800185e-06</v>
      </c>
      <c r="C2626" t="inlineStr">
        <is>
          <t>RER</t>
        </is>
      </c>
      <c r="D2626" t="inlineStr">
        <is>
          <t>kilogram</t>
        </is>
      </c>
      <c r="F2626" t="inlineStr">
        <is>
          <t>technosphere</t>
        </is>
      </c>
      <c r="G2626" t="inlineStr">
        <is>
          <t>retarder, for lorry</t>
        </is>
      </c>
      <c r="H2626" t="inlineStr">
        <is>
          <t> Energy-use allocation: 67.19999694824219 * 1.367427797431765e-07 / 1.3657122822630972 MJ per ton kilometer.</t>
        </is>
      </c>
      <c r="I2626">
        <v>0</v>
      </c>
    </row>
    <row r="2627">
      <c r="A2627" t="inlineStr">
        <is>
          <t>transmission, for lorry</t>
        </is>
      </c>
      <c r="B2627">
        <v>2.9156576736202266e-05</v>
      </c>
      <c r="C2627" t="inlineStr">
        <is>
          <t>RER</t>
        </is>
      </c>
      <c r="D2627" t="inlineStr">
        <is>
          <t>kilogram</t>
        </is>
      </c>
      <c r="F2627" t="inlineStr">
        <is>
          <t>technosphere</t>
        </is>
      </c>
      <c r="G2627" t="inlineStr">
        <is>
          <t>transmission, for lorry</t>
        </is>
      </c>
      <c r="H2627" t="inlineStr">
        <is>
          <t> Energy-use allocation: 291.1999816894531 * 1.367427797431765e-07 / 1.3657122822630972 MJ per ton kilometer.</t>
        </is>
      </c>
      <c r="I2627">
        <v>0</v>
      </c>
    </row>
    <row r="2628">
      <c r="A2628" t="inlineStr">
        <is>
          <t>Carbon dioxide, fossil</t>
        </is>
      </c>
      <c r="B2628">
        <v>0.06</v>
      </c>
      <c r="D2628" t="inlineStr">
        <is>
          <t>kilogram</t>
        </is>
      </c>
      <c r="E2628" t="inlineStr">
        <is>
          <t>air</t>
        </is>
      </c>
      <c r="F2628" t="inlineStr">
        <is>
          <t>biosphere</t>
        </is>
      </c>
      <c r="H2628" t="inlineStr">
        <is>
          <t>Reference-fuel full-oxidation CO2; Premise reclassifies fossil/biogenic carbon with regional blends. Pollutants are separate model estimates, not an elemental closure.</t>
        </is>
      </c>
      <c r="I2628">
        <v>0</v>
      </c>
    </row>
    <row r="2629"/>
    <row r="2630" spans="1:11" ht="16" ns3:dyDescent="0.2">
      <c r="A2630" s="1" t="s">
        <v>0</v>
      </c>
      <c r="B2630" s="1" t="s">
        <v>508</v>
      </c>
    </row>
    <row r="2631" spans="1:11" ns3:dyDescent="0.2">
      <c r="A2631" t="s">
        <v>9</v>
      </c>
      <c r="B2631" t="inlineStr">
        <is>
          <t>Photovoltaic electricity production. Adapted 2026-09-28: legacy compatibility wrapper now supplies 1 kWh from the Swiss residential electricity mix in premise lci-PV-2026-electricity.xlsx (IEA PVPS Task 12, Report T12-33:2026, https://doi.org/10.69766/WJTE1771). No amount or voltage conversion. STEM sector-specific PV mappings use the new inventories directly in config.yaml.</t>
        </is>
      </c>
    </row>
    <row r="2632" spans="1:11" ns3:dyDescent="0.2">
      <c r="A2632" t="s">
        <v>1</v>
      </c>
      <c r="B2632" t="s">
        <v>104</v>
      </c>
    </row>
    <row r="2633" spans="1:11" ns3:dyDescent="0.2">
      <c r="A2633" t="s">
        <v>2</v>
      </c>
      <c r="B2633">
        <v>1</v>
      </c>
    </row>
    <row r="2634" spans="1:11" ns3:dyDescent="0.2">
      <c r="A2634" t="s">
        <v>3</v>
      </c>
      <c r="B2634" t="s">
        <v>287</v>
      </c>
    </row>
    <row r="2635" spans="1:11" ns3:dyDescent="0.2">
      <c r="A2635" t="s">
        <v>4</v>
      </c>
      <c r="B2635" t="s">
        <v>5</v>
      </c>
    </row>
    <row r="2636" spans="1:11" ns3:dyDescent="0.2">
      <c r="A2636" t="s">
        <v>6</v>
      </c>
      <c r="B2636" t="s">
        <v>126</v>
      </c>
    </row>
    <row r="2637" spans="1:11" ht="16" ns3:dyDescent="0.2">
      <c r="A2637" s="1" t="s">
        <v>10</v>
      </c>
      <c r="B2637"/>
    </row>
    <row r="2638" spans="1:11" ns3:dyDescent="0.2">
      <c r="A2638" t="s">
        <v>11</v>
      </c>
      <c r="B2638" t="s">
        <v>12</v>
      </c>
      <c r="C2638" t="s">
        <v>1</v>
      </c>
      <c r="D2638" t="s">
        <v>13</v>
      </c>
      <c r="E2638" t="s">
        <v>6</v>
      </c>
      <c r="F2638" t="s">
        <v>4</v>
      </c>
      <c r="G2638" t="s">
        <v>3</v>
      </c>
      <c r="H2638" t="s">
        <v>479</v>
      </c>
      <c r="I2638" t="s">
        <v>497</v>
      </c>
      <c r="J2638" t="s">
        <v>480</v>
      </c>
      <c r="K2638" t="s">
        <v>481</v>
      </c>
    </row>
    <row r="2639" spans="1:11" ht="16" ns3:dyDescent="0.2">
      <c r="A2639" s="64" t="str">
        <f>B2630</f>
        <v>electricity production, from photovoltaic panels</v>
      </c>
      <c r="B2639">
        <v>1</v>
      </c>
      <c r="C2639" t="s">
        <v>104</v>
      </c>
      <c r="E2639" t="str">
        <f>B2636</f>
        <v>kilowatt hour</v>
      </c>
      <c r="F2639" t="s">
        <v>15</v>
      </c>
      <c r="G2639" t="str">
        <f>B2634</f>
        <v>electricity, low voltage</v>
      </c>
      <c r="H2639">
        <v>0</v>
      </c>
    </row>
    <row r="2640" spans="1:11" ns3:dyDescent="0.2">
      <c r="A2640" t="inlineStr">
        <is>
          <t>electricity production, photovoltaic, residential</t>
        </is>
      </c>
      <c r="B2640" s="3">
        <v>1</v>
      </c>
      <c r="C2640" t="s">
        <v>104</v>
      </c>
      <c r="E2640" t="s">
        <v>126</v>
      </c>
      <c r="F2640" t="s">
        <v>18</v>
      </c>
      <c r="G2640" t="s">
        <v>287</v>
      </c>
      <c r="H2640">
        <v>0</v>
      </c>
    </row>
    <row r="2642" spans="1:11" ht="16" ns3:dyDescent="0.2">
      <c r="A2642" s="1" t="s">
        <v>0</v>
      </c>
      <c r="B2642" s="1" t="s">
        <v>501</v>
      </c>
    </row>
    <row r="2643" spans="1:11" ns3:dyDescent="0.2">
      <c r="A2643" t="s">
        <v>9</v>
      </c>
      <c r="B2643" t="s">
        <v>504</v>
      </c>
    </row>
    <row r="2644" spans="1:11" ns3:dyDescent="0.2">
      <c r="A2644" t="s">
        <v>1</v>
      </c>
      <c r="B2644" t="s">
        <v>104</v>
      </c>
    </row>
    <row r="2645" spans="1:11" ns3:dyDescent="0.2">
      <c r="A2645" t="s">
        <v>2</v>
      </c>
      <c r="B2645">
        <v>1</v>
      </c>
    </row>
    <row r="2646" spans="1:11" ns3:dyDescent="0.2">
      <c r="A2646" t="s">
        <v>3</v>
      </c>
      <c r="B2646" t="s">
        <v>146</v>
      </c>
    </row>
    <row r="2647" spans="1:11" ns3:dyDescent="0.2">
      <c r="A2647" t="s">
        <v>4</v>
      </c>
      <c r="B2647" t="s">
        <v>5</v>
      </c>
    </row>
    <row r="2648" spans="1:11" ns3:dyDescent="0.2">
      <c r="A2648" t="s">
        <v>6</v>
      </c>
      <c r="B2648" t="s">
        <v>126</v>
      </c>
    </row>
    <row r="2649" spans="1:11" ht="16" ns3:dyDescent="0.2">
      <c r="A2649" s="1" t="s">
        <v>10</v>
      </c>
      <c r="B2649"/>
    </row>
    <row r="2650" spans="1:11" ns3:dyDescent="0.2">
      <c r="A2650" t="s">
        <v>11</v>
      </c>
      <c r="B2650" t="s">
        <v>12</v>
      </c>
      <c r="C2650" t="s">
        <v>1</v>
      </c>
      <c r="D2650" t="s">
        <v>13</v>
      </c>
      <c r="E2650" t="s">
        <v>6</v>
      </c>
      <c r="F2650" t="s">
        <v>4</v>
      </c>
      <c r="G2650" t="s">
        <v>3</v>
      </c>
      <c r="H2650" t="s">
        <v>479</v>
      </c>
      <c r="I2650" t="s">
        <v>497</v>
      </c>
      <c r="J2650" t="s">
        <v>480</v>
      </c>
      <c r="K2650" t="s">
        <v>481</v>
      </c>
    </row>
    <row r="2651" spans="1:11" ht="16" ns3:dyDescent="0.2">
      <c r="A2651" s="64" t="str">
        <f>B2642</f>
        <v>electricity production, wind</v>
      </c>
      <c r="B2651">
        <v>1</v>
      </c>
      <c r="C2651" t="s">
        <v>104</v>
      </c>
      <c r="E2651" t="str">
        <f>B2648</f>
        <v>kilowatt hour</v>
      </c>
      <c r="F2651" t="s">
        <v>15</v>
      </c>
      <c r="G2651" t="str">
        <f>B2646</f>
        <v>electricity, high voltage</v>
      </c>
      <c r="H2651">
        <v>0</v>
      </c>
    </row>
    <row r="2652" spans="1:11" ns3:dyDescent="0.2">
      <c r="A2652" t="s">
        <v>502</v>
      </c>
      <c r="B2652" s="3">
        <v>1</v>
      </c>
      <c r="C2652" t="s">
        <v>104</v>
      </c>
      <c r="E2652" t="s">
        <v>126</v>
      </c>
      <c r="F2652" t="s">
        <v>18</v>
      </c>
      <c r="G2652" t="s">
        <v>146</v>
      </c>
      <c r="H2652">
        <v>0</v>
      </c>
    </row>
    <row r="2654" spans="1:11" ht="16" ns3:dyDescent="0.2">
      <c r="A2654" s="1" t="s">
        <v>0</v>
      </c>
      <c r="B2654" s="1" t="s">
        <v>503</v>
      </c>
    </row>
    <row r="2655" spans="1:11" ns3:dyDescent="0.2">
      <c r="A2655" t="s">
        <v>9</v>
      </c>
      <c r="B2655" t="s">
        <v>505</v>
      </c>
    </row>
    <row r="2656" spans="1:11" ns3:dyDescent="0.2">
      <c r="A2656" t="s">
        <v>1</v>
      </c>
      <c r="B2656" t="s">
        <v>104</v>
      </c>
    </row>
    <row r="2657" spans="1:11" ns3:dyDescent="0.2">
      <c r="A2657" t="s">
        <v>2</v>
      </c>
      <c r="B2657">
        <v>1</v>
      </c>
    </row>
    <row r="2658" spans="1:11" ns3:dyDescent="0.2">
      <c r="A2658" t="s">
        <v>3</v>
      </c>
      <c r="B2658" t="s">
        <v>287</v>
      </c>
    </row>
    <row r="2659" spans="1:11" ns3:dyDescent="0.2">
      <c r="A2659" t="s">
        <v>4</v>
      </c>
      <c r="B2659" t="s">
        <v>5</v>
      </c>
    </row>
    <row r="2660" spans="1:11" ns3:dyDescent="0.2">
      <c r="A2660" t="s">
        <v>6</v>
      </c>
      <c r="B2660" t="s">
        <v>126</v>
      </c>
    </row>
    <row r="2661" spans="1:11" ht="16" ns3:dyDescent="0.2">
      <c r="A2661" s="1" t="s">
        <v>10</v>
      </c>
      <c r="B2661"/>
    </row>
    <row r="2662" spans="1:11" ns3:dyDescent="0.2">
      <c r="A2662" t="s">
        <v>11</v>
      </c>
      <c r="B2662" t="s">
        <v>12</v>
      </c>
      <c r="C2662" t="s">
        <v>1</v>
      </c>
      <c r="D2662" t="s">
        <v>13</v>
      </c>
      <c r="E2662" t="s">
        <v>6</v>
      </c>
      <c r="F2662" t="s">
        <v>4</v>
      </c>
      <c r="G2662" t="s">
        <v>3</v>
      </c>
      <c r="H2662" t="s">
        <v>479</v>
      </c>
      <c r="I2662" t="s">
        <v>497</v>
      </c>
      <c r="J2662" t="s">
        <v>480</v>
      </c>
      <c r="K2662" t="s">
        <v>481</v>
      </c>
    </row>
    <row r="2663" spans="1:11" ht="16" ns3:dyDescent="0.2">
      <c r="A2663" s="64" t="str">
        <f>B2654</f>
        <v>electricity production, from hydrogen fuel cell</v>
      </c>
      <c r="B2663">
        <v>1</v>
      </c>
      <c r="C2663" t="s">
        <v>104</v>
      </c>
      <c r="E2663" t="str">
        <f>B2660</f>
        <v>kilowatt hour</v>
      </c>
      <c r="F2663" t="s">
        <v>15</v>
      </c>
      <c r="G2663" t="str">
        <f>B2658</f>
        <v>electricity, low voltage</v>
      </c>
      <c r="H2663">
        <v>0</v>
      </c>
    </row>
    <row r="2664" spans="1:11" ns3:dyDescent="0.2">
      <c r="A2664" t="s">
        <v>506</v>
      </c>
      <c r="B2664" s="3">
        <v>1</v>
      </c>
      <c r="C2664" t="s">
        <v>104</v>
      </c>
      <c r="E2664" t="s">
        <v>126</v>
      </c>
      <c r="F2664" t="s">
        <v>18</v>
      </c>
      <c r="G2664" t="s">
        <v>507</v>
      </c>
      <c r="H2664">
        <v>0</v>
      </c>
    </row>
    <row r="2666">
      <c r="A2666" t="inlineStr">
        <is>
          <t>Activity</t>
        </is>
      </c>
      <c r="B2666" t="inlineStr">
        <is>
          <t>electricity production, from incineration of plastic waste mixture, electricity only</t>
        </is>
      </c>
    </row>
    <row r="2667">
      <c r="A2667" t="inlineStr">
        <is>
          <t>location</t>
        </is>
      </c>
      <c r="B2667" t="inlineStr">
        <is>
          <t>CH</t>
        </is>
      </c>
    </row>
    <row r="2668">
      <c r="A2668" t="inlineStr">
        <is>
          <t>production amount</t>
        </is>
      </c>
      <c r="B2668">
        <v>1</v>
      </c>
    </row>
    <row r="2669">
      <c r="A2669" t="inlineStr">
        <is>
          <t>reference product</t>
        </is>
      </c>
      <c r="B2669" t="inlineStr">
        <is>
          <t>electricity, from incineration of plastic waste mixture, electricity only</t>
        </is>
      </c>
    </row>
    <row r="2670">
      <c r="A2670" t="inlineStr">
        <is>
          <t>type</t>
        </is>
      </c>
      <c r="B2670" t="inlineStr">
        <is>
          <t>process</t>
        </is>
      </c>
    </row>
    <row r="2671">
      <c r="A2671" t="inlineStr">
        <is>
          <t>unit</t>
        </is>
      </c>
      <c r="B2671" t="inlineStr">
        <is>
          <t>kilowatt hour</t>
        </is>
      </c>
    </row>
    <row r="2672">
      <c r="A2672" t="inlineStr">
        <is>
          <t>current efficiency</t>
        </is>
      </c>
      <c r="B2672">
        <v>0.1221</v>
      </c>
    </row>
    <row r="2673">
      <c r="A2673" t="inlineStr">
        <is>
          <t>source</t>
        </is>
      </c>
      <c r="B2673" t="inlineStr">
        <is>
          <t>ecoinvent 3.9.1 cutoff</t>
        </is>
      </c>
    </row>
    <row r="2674">
      <c r="A2674" t="inlineStr">
        <is>
          <t>comment</t>
        </is>
      </c>
      <c r="B2674" t="inlineStr">
        <is>
          <t>Electricity-only proxy derived from 'electricity production, from incineration of plastic waste mixture, energy allocation'. All energy-production burdens assigned to electricity: divide non-production exchanges by the source electricity allocation factor 0.33. No useful heat coproduct. Retain the source's declared physical electrical efficiency before applying the matching absolute STEM efficiency. CCS capture and storage, residual emissions and biomass uptake retain their source ratios. Source documentation: 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electricity production: 3.93 / (7.66 + 3.93) = 33%. Hence, to deliver 1 kWh of heat: 3.6/3.93 * 33%.</t>
        </is>
      </c>
    </row>
    <row r="2675">
      <c r="A2675" t="inlineStr">
        <is>
          <t>Exchanges</t>
        </is>
      </c>
    </row>
    <row r="2676">
      <c r="A2676" t="inlineStr">
        <is>
          <t>name</t>
        </is>
      </c>
      <c r="B2676" t="inlineStr">
        <is>
          <t>amount</t>
        </is>
      </c>
      <c r="C2676" t="inlineStr">
        <is>
          <t>location</t>
        </is>
      </c>
      <c r="D2676" t="inlineStr">
        <is>
          <t>unit</t>
        </is>
      </c>
      <c r="E2676" t="inlineStr">
        <is>
          <t>categories</t>
        </is>
      </c>
      <c r="F2676" t="inlineStr">
        <is>
          <t>type</t>
        </is>
      </c>
      <c r="G2676" t="inlineStr">
        <is>
          <t>comment</t>
        </is>
      </c>
      <c r="H2676" t="inlineStr">
        <is>
          <t>reference product</t>
        </is>
      </c>
    </row>
    <row r="2677">
      <c r="A2677" t="inlineStr">
        <is>
          <t>electricity production, from incineration of plastic waste mixture, electricity only</t>
        </is>
      </c>
      <c r="B2677">
        <v>1</v>
      </c>
      <c r="C2677" t="inlineStr">
        <is>
          <t>CH</t>
        </is>
      </c>
      <c r="D2677" t="inlineStr">
        <is>
          <t>kilowatt hour</t>
        </is>
      </c>
      <c r="F2677" t="inlineStr">
        <is>
          <t>production</t>
        </is>
      </c>
      <c r="G2677" t="inlineStr">
        <is>
          <t/>
        </is>
      </c>
      <c r="H2677" t="inlineStr">
        <is>
          <t>electricity, from incineration of plastic waste mixture, electricity only</t>
        </is>
      </c>
    </row>
    <row r="2678">
      <c r="A2678" t="inlineStr">
        <is>
          <t>market for ammonia, anhydrous, liquid</t>
        </is>
      </c>
      <c r="B2678">
        <v>0.0013854263079457212</v>
      </c>
      <c r="C2678" t="inlineStr">
        <is>
          <t>RER</t>
        </is>
      </c>
      <c r="D2678" t="inlineStr">
        <is>
          <t>kilogram</t>
        </is>
      </c>
      <c r="F2678" t="inlineStr">
        <is>
          <t>technosphere</t>
        </is>
      </c>
      <c r="G2678" t="inlineStr">
        <is>
          <t>Electricity-only proxy: source amount / 0.33; 100% burden to electricity, before STEM efficiency adjustment.</t>
        </is>
      </c>
      <c r="H2678" t="inlineStr">
        <is>
          <t>ammonia, anhydrous, liquid</t>
        </is>
      </c>
    </row>
    <row r="2679">
      <c r="A2679" t="inlineStr">
        <is>
          <t>market for cationic resin</t>
        </is>
      </c>
      <c r="B2679">
        <v>3.779778806180877e-06</v>
      </c>
      <c r="C2679" t="inlineStr">
        <is>
          <t>RER</t>
        </is>
      </c>
      <c r="D2679" t="inlineStr">
        <is>
          <t>kilogram</t>
        </is>
      </c>
      <c r="F2679" t="inlineStr">
        <is>
          <t>technosphere</t>
        </is>
      </c>
      <c r="G2679" t="inlineStr">
        <is>
          <t>Electricity-only proxy: source amount / 0.33; 100% burden to electricity, before STEM efficiency adjustment.</t>
        </is>
      </c>
      <c r="H2679" t="inlineStr">
        <is>
          <t>cationic resin</t>
        </is>
      </c>
    </row>
    <row r="2680">
      <c r="A2680" t="inlineStr">
        <is>
          <t>market for cement, unspecified</t>
        </is>
      </c>
      <c r="B2680">
        <v>0.0031613773629304257</v>
      </c>
      <c r="C2680" t="inlineStr">
        <is>
          <t>CH</t>
        </is>
      </c>
      <c r="D2680" t="inlineStr">
        <is>
          <t>kilogram</t>
        </is>
      </c>
      <c r="F2680" t="inlineStr">
        <is>
          <t>technosphere</t>
        </is>
      </c>
      <c r="G2680" t="inlineStr">
        <is>
          <t>Electricity-only proxy: source amount / 0.33; 100% burden to electricity, before STEM efficiency adjustment.</t>
        </is>
      </c>
      <c r="H2680" t="inlineStr">
        <is>
          <t>cement, unspecified</t>
        </is>
      </c>
    </row>
    <row r="2681">
      <c r="A2681" t="inlineStr">
        <is>
          <t>market for chemical, inorganic</t>
        </is>
      </c>
      <c r="B2681">
        <v>0.0002918723037100949</v>
      </c>
      <c r="C2681" t="inlineStr">
        <is>
          <t>GLO</t>
        </is>
      </c>
      <c r="D2681" t="inlineStr">
        <is>
          <t>kilogram</t>
        </is>
      </c>
      <c r="F2681" t="inlineStr">
        <is>
          <t>technosphere</t>
        </is>
      </c>
      <c r="G2681" t="inlineStr">
        <is>
          <t>Electricity-only proxy: source amount / 0.33; 100% burden to electricity, before STEM efficiency adjustment.</t>
        </is>
      </c>
      <c r="H2681" t="inlineStr">
        <is>
          <t>chemical, inorganic</t>
        </is>
      </c>
    </row>
    <row r="2682">
      <c r="A2682" t="inlineStr">
        <is>
          <t>market for chemical, organic</t>
        </is>
      </c>
      <c r="B2682">
        <v>1.6738253980704365e-05</v>
      </c>
      <c r="C2682" t="inlineStr">
        <is>
          <t>GLO</t>
        </is>
      </c>
      <c r="D2682" t="inlineStr">
        <is>
          <t>kilogram</t>
        </is>
      </c>
      <c r="F2682" t="inlineStr">
        <is>
          <t>technosphere</t>
        </is>
      </c>
      <c r="G2682" t="inlineStr">
        <is>
          <t>Electricity-only proxy: source amount / 0.33; 100% burden to electricity, before STEM efficiency adjustment.</t>
        </is>
      </c>
      <c r="H2682" t="inlineStr">
        <is>
          <t>chemical, organic</t>
        </is>
      </c>
    </row>
    <row r="2683">
      <c r="A2683" t="inlineStr">
        <is>
          <t>market for chromium trioxide, flakes</t>
        </is>
      </c>
      <c r="B2683">
        <v>1.7713389285434151e-06</v>
      </c>
      <c r="C2683" t="inlineStr">
        <is>
          <t>GLO</t>
        </is>
      </c>
      <c r="D2683" t="inlineStr">
        <is>
          <t>kilogram</t>
        </is>
      </c>
      <c r="F2683" t="inlineStr">
        <is>
          <t>technosphere</t>
        </is>
      </c>
      <c r="G2683" t="inlineStr">
        <is>
          <t>Electricity-only proxy: source amount / 0.33; 100% burden to electricity, before STEM efficiency adjustment.</t>
        </is>
      </c>
      <c r="H2683" t="inlineStr">
        <is>
          <t>chromium trioxide, flakes</t>
        </is>
      </c>
    </row>
    <row r="2684">
      <c r="A2684" t="inlineStr">
        <is>
          <t>market for heat, district or industrial, natural gas</t>
        </is>
      </c>
      <c r="B2684">
        <v>0.25906973095929087</v>
      </c>
      <c r="C2684" t="inlineStr">
        <is>
          <t>CH</t>
        </is>
      </c>
      <c r="D2684" t="inlineStr">
        <is>
          <t>megajoule</t>
        </is>
      </c>
      <c r="F2684" t="inlineStr">
        <is>
          <t>technosphere</t>
        </is>
      </c>
      <c r="G2684" t="inlineStr">
        <is>
          <t>Electricity-only proxy: source amount / 0.33; 100% burden to electricity, before STEM efficiency adjustment.</t>
        </is>
      </c>
      <c r="H2684" t="inlineStr">
        <is>
          <t>heat, district or industrial, natural gas</t>
        </is>
      </c>
    </row>
    <row r="2685">
      <c r="A2685" t="inlineStr">
        <is>
          <t>market for hydrochloric acid, without water, in 30% solution state</t>
        </is>
      </c>
      <c r="B2685">
        <v>0.00028396580123931286</v>
      </c>
      <c r="C2685" t="inlineStr">
        <is>
          <t>RER</t>
        </is>
      </c>
      <c r="D2685" t="inlineStr">
        <is>
          <t>kilogram</t>
        </is>
      </c>
      <c r="F2685" t="inlineStr">
        <is>
          <t>technosphere</t>
        </is>
      </c>
      <c r="G2685" t="inlineStr">
        <is>
          <t>Electricity-only proxy: source amount / 0.33; 100% burden to electricity, before STEM efficiency adjustment.</t>
        </is>
      </c>
      <c r="H2685" t="inlineStr">
        <is>
          <t>hydrochloric acid, without water, in 30% solution state</t>
        </is>
      </c>
    </row>
    <row r="2686">
      <c r="A2686" t="inlineStr">
        <is>
          <t>market for hydrogen peroxide, without water, in 50% solution state</t>
        </is>
      </c>
      <c r="B2686">
        <v>0.0005274954898423405</v>
      </c>
      <c r="C2686" t="inlineStr">
        <is>
          <t>RER</t>
        </is>
      </c>
      <c r="D2686" t="inlineStr">
        <is>
          <t>kilogram</t>
        </is>
      </c>
      <c r="F2686" t="inlineStr">
        <is>
          <t>technosphere</t>
        </is>
      </c>
      <c r="G2686" t="inlineStr">
        <is>
          <t>Electricity-only proxy: source amount / 0.33; 100% burden to electricity, before STEM efficiency adjustment.</t>
        </is>
      </c>
      <c r="H2686" t="inlineStr">
        <is>
          <t>hydrogen peroxide, without water, in 50% solution state</t>
        </is>
      </c>
    </row>
    <row r="2687">
      <c r="A2687" t="inlineStr">
        <is>
          <t>market for iron(III) chloride, without water, in 40% solution state</t>
        </is>
      </c>
      <c r="B2687">
        <v>4.579276806024001e-05</v>
      </c>
      <c r="C2687" t="inlineStr">
        <is>
          <t>GLO</t>
        </is>
      </c>
      <c r="D2687" t="inlineStr">
        <is>
          <t>kilogram</t>
        </is>
      </c>
      <c r="F2687" t="inlineStr">
        <is>
          <t>technosphere</t>
        </is>
      </c>
      <c r="G2687" t="inlineStr">
        <is>
          <t>Electricity-only proxy: source amount / 0.33; 100% burden to electricity, before STEM efficiency adjustment.</t>
        </is>
      </c>
      <c r="H2687" t="inlineStr">
        <is>
          <t>iron(III) chloride, without water, in 40% solution state</t>
        </is>
      </c>
    </row>
    <row r="2688">
      <c r="A2688" t="inlineStr">
        <is>
          <t>metalliferous hydroxide sludge, Recycled Content cut-off</t>
        </is>
      </c>
      <c r="B2688">
        <v>-0.004234214448192015</v>
      </c>
      <c r="C2688" t="inlineStr">
        <is>
          <t>GLO</t>
        </is>
      </c>
      <c r="D2688" t="inlineStr">
        <is>
          <t>kilogram</t>
        </is>
      </c>
      <c r="F2688" t="inlineStr">
        <is>
          <t>technosphere</t>
        </is>
      </c>
      <c r="G2688" t="inlineStr">
        <is>
          <t>Electricity-only proxy: source amount / 0.33; 100% burden to electricity, before STEM efficiency adjustment.</t>
        </is>
      </c>
      <c r="H2688" t="inlineStr">
        <is>
          <t>metalliferous hydroxide sludge</t>
        </is>
      </c>
    </row>
    <row r="2689">
      <c r="A2689" t="inlineStr">
        <is>
          <t>municipal waste incineration facility construction</t>
        </is>
      </c>
      <c r="B2689">
        <v>2.3531257353517923e-10</v>
      </c>
      <c r="C2689" t="inlineStr">
        <is>
          <t>CH</t>
        </is>
      </c>
      <c r="D2689" t="inlineStr">
        <is>
          <t>unit</t>
        </is>
      </c>
      <c r="F2689" t="inlineStr">
        <is>
          <t>technosphere</t>
        </is>
      </c>
      <c r="G2689" t="inlineStr">
        <is>
          <t>Electricity-only proxy: source amount / 0.33; 100% burden to electricity, before STEM efficiency adjustment.</t>
        </is>
      </c>
      <c r="H2689" t="inlineStr">
        <is>
          <t>municipal waste incineration facility</t>
        </is>
      </c>
    </row>
    <row r="2690">
      <c r="A2690" t="inlineStr">
        <is>
          <t>process-specific burdens, residual material landfill</t>
        </is>
      </c>
      <c r="B2690">
        <v>0.01575747117420974</v>
      </c>
      <c r="C2690" t="inlineStr">
        <is>
          <t>CH</t>
        </is>
      </c>
      <c r="D2690" t="inlineStr">
        <is>
          <t>kilogram</t>
        </is>
      </c>
      <c r="F2690" t="inlineStr">
        <is>
          <t>technosphere</t>
        </is>
      </c>
      <c r="G2690" t="inlineStr">
        <is>
          <t>Electricity-only proxy: source amount / 0.33; 100% burden to electricity, before STEM efficiency adjustment.</t>
        </is>
      </c>
      <c r="H2690" t="inlineStr">
        <is>
          <t>process-specific burdens, residual material landfill</t>
        </is>
      </c>
    </row>
    <row r="2691">
      <c r="A2691" t="inlineStr">
        <is>
          <t>process-specific burdens, slag landfill</t>
        </is>
      </c>
      <c r="B2691">
        <v>0.025009961565612988</v>
      </c>
      <c r="C2691" t="inlineStr">
        <is>
          <t>CH</t>
        </is>
      </c>
      <c r="D2691" t="inlineStr">
        <is>
          <t>kilogram</t>
        </is>
      </c>
      <c r="F2691" t="inlineStr">
        <is>
          <t>technosphere</t>
        </is>
      </c>
      <c r="G2691" t="inlineStr">
        <is>
          <t>Electricity-only proxy: source amount / 0.33; 100% burden to electricity, before STEM efficiency adjustment.</t>
        </is>
      </c>
      <c r="H2691" t="inlineStr">
        <is>
          <t>process-specific burdens, slag landfill</t>
        </is>
      </c>
    </row>
    <row r="2692">
      <c r="A2692" t="inlineStr">
        <is>
          <t>market for quicklime, milled, packed</t>
        </is>
      </c>
      <c r="B2692">
        <v>0.008804925876539336</v>
      </c>
      <c r="C2692" t="inlineStr">
        <is>
          <t>RER</t>
        </is>
      </c>
      <c r="D2692" t="inlineStr">
        <is>
          <t>kilogram</t>
        </is>
      </c>
      <c r="F2692" t="inlineStr">
        <is>
          <t>technosphere</t>
        </is>
      </c>
      <c r="G2692" t="inlineStr">
        <is>
          <t>Electricity-only proxy: source amount / 0.33; 100% burden to electricity, before STEM efficiency adjustment.</t>
        </is>
      </c>
      <c r="H2692" t="inlineStr">
        <is>
          <t>quicklime, milled, packed</t>
        </is>
      </c>
    </row>
    <row r="2693">
      <c r="A2693" t="inlineStr">
        <is>
          <t>residual material landfill construction</t>
        </is>
      </c>
      <c r="B2693">
        <v>3.2827986508745776e-11</v>
      </c>
      <c r="C2693" t="inlineStr">
        <is>
          <t>CH</t>
        </is>
      </c>
      <c r="D2693" t="inlineStr">
        <is>
          <t>unit</t>
        </is>
      </c>
      <c r="F2693" t="inlineStr">
        <is>
          <t>technosphere</t>
        </is>
      </c>
      <c r="G2693" t="inlineStr">
        <is>
          <t>Electricity-only proxy: source amount / 0.33; 100% burden to electricity, before STEM efficiency adjustment.</t>
        </is>
      </c>
      <c r="H2693" t="inlineStr">
        <is>
          <t>residual material landfill</t>
        </is>
      </c>
    </row>
    <row r="2694">
      <c r="A2694" t="inlineStr">
        <is>
          <t>slag landfill construction</t>
        </is>
      </c>
      <c r="B2694">
        <v>4.446184014432505e-11</v>
      </c>
      <c r="C2694" t="inlineStr">
        <is>
          <t>CH</t>
        </is>
      </c>
      <c r="D2694" t="inlineStr">
        <is>
          <t>unit</t>
        </is>
      </c>
      <c r="F2694" t="inlineStr">
        <is>
          <t>technosphere</t>
        </is>
      </c>
      <c r="G2694" t="inlineStr">
        <is>
          <t>Electricity-only proxy: source amount / 0.33; 100% burden to electricity, before STEM efficiency adjustment.</t>
        </is>
      </c>
      <c r="H2694" t="inlineStr">
        <is>
          <t>slag landfill</t>
        </is>
      </c>
    </row>
    <row r="2695">
      <c r="A2695" t="inlineStr">
        <is>
          <t>market for sodium hydroxide, without water, in 50% solution state</t>
        </is>
      </c>
      <c r="B2695">
        <v>0.0023473841085575333</v>
      </c>
      <c r="C2695" t="inlineStr">
        <is>
          <t>RoW</t>
        </is>
      </c>
      <c r="D2695" t="inlineStr">
        <is>
          <t>kilogram</t>
        </is>
      </c>
      <c r="F2695" t="inlineStr">
        <is>
          <t>technosphere</t>
        </is>
      </c>
      <c r="G2695" t="inlineStr">
        <is>
          <t>Electricity-only proxy: source amount / 0.33; 100% burden to electricity, before STEM efficiency adjustment.</t>
        </is>
      </c>
      <c r="H2695" t="inlineStr">
        <is>
          <t>sodium hydroxide, without water, in 50% solution state</t>
        </is>
      </c>
    </row>
    <row r="2696">
      <c r="A2696" t="inlineStr">
        <is>
          <t>market for spent activated carbon with mercury</t>
        </is>
      </c>
      <c r="B2696">
        <v>-3.9787591183622235e-06</v>
      </c>
      <c r="C2696" t="inlineStr">
        <is>
          <t>GLO</t>
        </is>
      </c>
      <c r="D2696" t="inlineStr">
        <is>
          <t>kilogram</t>
        </is>
      </c>
      <c r="F2696" t="inlineStr">
        <is>
          <t>technosphere</t>
        </is>
      </c>
      <c r="G2696" t="inlineStr">
        <is>
          <t>Electricity-only proxy: source amount / 0.33; 100% burden to electricity, before STEM efficiency adjustment.</t>
        </is>
      </c>
      <c r="H2696" t="inlineStr">
        <is>
          <t>spent activated carbon with mercury</t>
        </is>
      </c>
    </row>
    <row r="2697">
      <c r="A2697" t="inlineStr">
        <is>
          <t>market for titanium dioxide</t>
        </is>
      </c>
      <c r="B2697">
        <v>8.67973958741862e-05</v>
      </c>
      <c r="C2697" t="inlineStr">
        <is>
          <t>RER</t>
        </is>
      </c>
      <c r="D2697" t="inlineStr">
        <is>
          <t>kilogram</t>
        </is>
      </c>
      <c r="F2697" t="inlineStr">
        <is>
          <t>technosphere</t>
        </is>
      </c>
      <c r="G2697" t="inlineStr">
        <is>
          <t>Electricity-only proxy: source amount / 0.33; 100% burden to electricity, before STEM efficiency adjustment.</t>
        </is>
      </c>
      <c r="H2697" t="inlineStr">
        <is>
          <t>titanium dioxide</t>
        </is>
      </c>
    </row>
    <row r="2698">
      <c r="A2698" t="inlineStr">
        <is>
          <t>market for transport, freight, lorry, unspecified</t>
        </is>
      </c>
      <c r="B2698">
        <v>0.0014832222135069417</v>
      </c>
      <c r="C2698" t="inlineStr">
        <is>
          <t>RER</t>
        </is>
      </c>
      <c r="D2698" t="inlineStr">
        <is>
          <t>ton kilometer</t>
        </is>
      </c>
      <c r="F2698" t="inlineStr">
        <is>
          <t>technosphere</t>
        </is>
      </c>
      <c r="G2698" t="inlineStr">
        <is>
          <t>Electricity-only proxy: source amount / 0.33; 100% burden to electricity, before STEM efficiency adjustment.</t>
        </is>
      </c>
      <c r="H2698" t="inlineStr">
        <is>
          <t>transport, freight, lorry, unspecified</t>
        </is>
      </c>
    </row>
    <row r="2699">
      <c r="A2699" t="inlineStr">
        <is>
          <t>market for waste cement, hydrated</t>
        </is>
      </c>
      <c r="B2699">
        <v>-0.00790349046984077</v>
      </c>
      <c r="C2699" t="inlineStr">
        <is>
          <t>CH</t>
        </is>
      </c>
      <c r="D2699" t="inlineStr">
        <is>
          <t>kilogram</t>
        </is>
      </c>
      <c r="F2699" t="inlineStr">
        <is>
          <t>technosphere</t>
        </is>
      </c>
      <c r="G2699" t="inlineStr">
        <is>
          <t>Electricity-only proxy: source amount / 0.33; 100% burden to electricity, before STEM efficiency adjustment.</t>
        </is>
      </c>
      <c r="H2699" t="inlineStr">
        <is>
          <t>waste cement, hydrated</t>
        </is>
      </c>
    </row>
    <row r="2700">
      <c r="A2700" t="inlineStr">
        <is>
          <t>market for water, decarbonised</t>
        </is>
      </c>
      <c r="B2700">
        <v>3.460130206290689</v>
      </c>
      <c r="C2700" t="inlineStr">
        <is>
          <t>CH</t>
        </is>
      </c>
      <c r="D2700" t="inlineStr">
        <is>
          <t>kilogram</t>
        </is>
      </c>
      <c r="F2700" t="inlineStr">
        <is>
          <t>technosphere</t>
        </is>
      </c>
      <c r="G2700" t="inlineStr">
        <is>
          <t>Electricity-only proxy: source amount / 0.33; 100% burden to electricity, before STEM efficiency adjustment.</t>
        </is>
      </c>
      <c r="H2700" t="inlineStr">
        <is>
          <t>water, decarbonised</t>
        </is>
      </c>
    </row>
    <row r="2701">
      <c r="A2701" t="inlineStr">
        <is>
          <t>Aluminium III</t>
        </is>
      </c>
      <c r="B2701">
        <v>1.4322064475645146e-10</v>
      </c>
      <c r="D2701" t="inlineStr">
        <is>
          <t>kilogram</t>
        </is>
      </c>
      <c r="E2701" t="inlineStr">
        <is>
          <t>air::urban air close to ground</t>
        </is>
      </c>
      <c r="F2701" t="inlineStr">
        <is>
          <t>biosphere</t>
        </is>
      </c>
      <c r="G2701" t="inlineStr">
        <is>
          <t>Electricity-only proxy: source amount / 0.33; 100% burden to electricity, before STEM efficiency adjustment.</t>
        </is>
      </c>
    </row>
    <row r="2702">
      <c r="A2702" t="inlineStr">
        <is>
          <t>Ammonia</t>
        </is>
      </c>
      <c r="B2702">
        <v>1.6288336340105104e-06</v>
      </c>
      <c r="D2702" t="inlineStr">
        <is>
          <t>kilogram</t>
        </is>
      </c>
      <c r="E2702" t="inlineStr">
        <is>
          <t>air::urban air close to ground</t>
        </is>
      </c>
      <c r="F2702" t="inlineStr">
        <is>
          <t>biosphere</t>
        </is>
      </c>
      <c r="G2702" t="inlineStr">
        <is>
          <t>Electricity-only proxy: source amount / 0.33; 100% burden to electricity, before STEM efficiency adjustment.</t>
        </is>
      </c>
    </row>
    <row r="2703">
      <c r="A2703" t="inlineStr">
        <is>
          <t>Antimony ion</t>
        </is>
      </c>
      <c r="B2703">
        <v>3.02301356969174e-11</v>
      </c>
      <c r="D2703" t="inlineStr">
        <is>
          <t>kilogram</t>
        </is>
      </c>
      <c r="E2703" t="inlineStr">
        <is>
          <t>air::urban air close to ground</t>
        </is>
      </c>
      <c r="F2703" t="inlineStr">
        <is>
          <t>biosphere</t>
        </is>
      </c>
      <c r="G2703" t="inlineStr">
        <is>
          <t>Electricity-only proxy: source amount / 0.33; 100% burden to electricity, before STEM efficiency adjustment.</t>
        </is>
      </c>
    </row>
    <row r="2704">
      <c r="A2704" t="inlineStr">
        <is>
          <t>Arsenic ion</t>
        </is>
      </c>
      <c r="B2704">
        <v>1.3072084085026274e-08</v>
      </c>
      <c r="D2704" t="inlineStr">
        <is>
          <t>kilogram</t>
        </is>
      </c>
      <c r="E2704" t="inlineStr">
        <is>
          <t>air::urban air close to ground</t>
        </is>
      </c>
      <c r="F2704" t="inlineStr">
        <is>
          <t>biosphere</t>
        </is>
      </c>
      <c r="G2704" t="inlineStr">
        <is>
          <t>Electricity-only proxy: source amount / 0.33; 100% burden to electricity, before STEM efficiency adjustment.</t>
        </is>
      </c>
    </row>
    <row r="2705">
      <c r="A2705" t="inlineStr">
        <is>
          <t>Barium II</t>
        </is>
      </c>
      <c r="B2705">
        <v>6.429398384186994e-07</v>
      </c>
      <c r="D2705" t="inlineStr">
        <is>
          <t>kilogram</t>
        </is>
      </c>
      <c r="E2705" t="inlineStr">
        <is>
          <t>air::urban air close to ground</t>
        </is>
      </c>
      <c r="F2705" t="inlineStr">
        <is>
          <t>biosphere</t>
        </is>
      </c>
      <c r="G2705" t="inlineStr">
        <is>
          <t>Electricity-only proxy: source amount / 0.33; 100% burden to electricity, before STEM efficiency adjustment.</t>
        </is>
      </c>
    </row>
    <row r="2706">
      <c r="A2706" t="inlineStr">
        <is>
          <t>Benzene</t>
        </is>
      </c>
      <c r="B2706">
        <v>1.4134755667111145e-08</v>
      </c>
      <c r="D2706" t="inlineStr">
        <is>
          <t>kilogram</t>
        </is>
      </c>
      <c r="E2706" t="inlineStr">
        <is>
          <t>air::urban air close to ground</t>
        </is>
      </c>
      <c r="F2706" t="inlineStr">
        <is>
          <t>biosphere</t>
        </is>
      </c>
      <c r="G2706" t="inlineStr">
        <is>
          <t>Electricity-only proxy: source amount / 0.33; 100% burden to electricity, before STEM efficiency adjustment.</t>
        </is>
      </c>
    </row>
    <row r="2707">
      <c r="A2707" t="inlineStr">
        <is>
          <t>Benzene, hexachloro-</t>
        </is>
      </c>
      <c r="B2707">
        <v>2.955620048631265e-11</v>
      </c>
      <c r="D2707" t="inlineStr">
        <is>
          <t>kilogram</t>
        </is>
      </c>
      <c r="E2707" t="inlineStr">
        <is>
          <t>air::urban air close to ground</t>
        </is>
      </c>
      <c r="F2707" t="inlineStr">
        <is>
          <t>biosphere</t>
        </is>
      </c>
      <c r="G2707" t="inlineStr">
        <is>
          <t>Electricity-only proxy: source amount / 0.33; 100% burden to electricity, before STEM efficiency adjustment.</t>
        </is>
      </c>
    </row>
    <row r="2708">
      <c r="A2708" t="inlineStr">
        <is>
          <t>Pentachlorobenzene</t>
        </is>
      </c>
      <c r="B2708">
        <v>7.468068083771275e-11</v>
      </c>
      <c r="D2708" t="inlineStr">
        <is>
          <t>kilogram</t>
        </is>
      </c>
      <c r="E2708" t="inlineStr">
        <is>
          <t>air::urban air close to ground</t>
        </is>
      </c>
      <c r="F2708" t="inlineStr">
        <is>
          <t>biosphere</t>
        </is>
      </c>
      <c r="G2708" t="inlineStr">
        <is>
          <t>Electricity-only proxy: source amount / 0.33; 100% burden to electricity, before STEM efficiency adjustment.</t>
        </is>
      </c>
    </row>
    <row r="2709">
      <c r="A2709" t="inlineStr">
        <is>
          <t>Benzo(a)pyrene</t>
        </is>
      </c>
      <c r="B2709">
        <v>3.145564357988862e-13</v>
      </c>
      <c r="D2709" t="inlineStr">
        <is>
          <t>kilogram</t>
        </is>
      </c>
      <c r="E2709" t="inlineStr">
        <is>
          <t>air::urban air close to ground</t>
        </is>
      </c>
      <c r="F2709" t="inlineStr">
        <is>
          <t>biosphere</t>
        </is>
      </c>
      <c r="G2709" t="inlineStr">
        <is>
          <t>Electricity-only proxy: source amount / 0.33; 100% burden to electricity, before STEM efficiency adjustment.</t>
        </is>
      </c>
    </row>
    <row r="2710">
      <c r="A2710" t="inlineStr">
        <is>
          <t>Bromine</t>
        </is>
      </c>
      <c r="B2710">
        <v>3.0710173346929165e-08</v>
      </c>
      <c r="D2710" t="inlineStr">
        <is>
          <t>kilogram</t>
        </is>
      </c>
      <c r="E2710" t="inlineStr">
        <is>
          <t>air::urban air close to ground</t>
        </is>
      </c>
      <c r="F2710" t="inlineStr">
        <is>
          <t>biosphere</t>
        </is>
      </c>
      <c r="G2710" t="inlineStr">
        <is>
          <t>Electricity-only proxy: source amount / 0.33; 100% burden to electricity, before STEM efficiency adjustment.</t>
        </is>
      </c>
    </row>
    <row r="2711">
      <c r="A2711" t="inlineStr">
        <is>
          <t>Cadmium II</t>
        </is>
      </c>
      <c r="B2711">
        <v>3.635955761236175e-08</v>
      </c>
      <c r="D2711" t="inlineStr">
        <is>
          <t>kilogram</t>
        </is>
      </c>
      <c r="E2711" t="inlineStr">
        <is>
          <t>air::urban air close to ground</t>
        </is>
      </c>
      <c r="F2711" t="inlineStr">
        <is>
          <t>biosphere</t>
        </is>
      </c>
      <c r="G2711" t="inlineStr">
        <is>
          <t>Electricity-only proxy: source amount / 0.33; 100% burden to electricity, before STEM efficiency adjustment.</t>
        </is>
      </c>
    </row>
    <row r="2712">
      <c r="A2712" t="inlineStr">
        <is>
          <t>Carbon dioxide, fossil</t>
        </is>
      </c>
      <c r="B2712">
        <v>2.1735351792297437</v>
      </c>
      <c r="D2712" t="inlineStr">
        <is>
          <t>kilogram</t>
        </is>
      </c>
      <c r="E2712" t="inlineStr">
        <is>
          <t>air::urban air close to ground</t>
        </is>
      </c>
      <c r="F2712" t="inlineStr">
        <is>
          <t>biosphere</t>
        </is>
      </c>
      <c r="G2712" t="inlineStr">
        <is>
          <t>Electricity-only proxy: source amount / 0.33; 100% burden to electricity, before STEM efficiency adjustment.</t>
        </is>
      </c>
    </row>
    <row r="2713">
      <c r="A2713" t="inlineStr">
        <is>
          <t>Carbon monoxide, fossil</t>
        </is>
      </c>
      <c r="B2713">
        <v>2.4028237508824217e-05</v>
      </c>
      <c r="D2713" t="inlineStr">
        <is>
          <t>kilogram</t>
        </is>
      </c>
      <c r="E2713" t="inlineStr">
        <is>
          <t>air::urban air close to ground</t>
        </is>
      </c>
      <c r="F2713" t="inlineStr">
        <is>
          <t>biosphere</t>
        </is>
      </c>
      <c r="G2713" t="inlineStr">
        <is>
          <t>Electricity-only proxy: source amount / 0.33; 100% burden to electricity, before STEM efficiency adjustment.</t>
        </is>
      </c>
    </row>
    <row r="2714">
      <c r="A2714" t="inlineStr">
        <is>
          <t>Chromium III</t>
        </is>
      </c>
      <c r="B2714">
        <v>3.1341752294297585e-08</v>
      </c>
      <c r="D2714" t="inlineStr">
        <is>
          <t>kilogram</t>
        </is>
      </c>
      <c r="E2714" t="inlineStr">
        <is>
          <t>air::urban air close to ground</t>
        </is>
      </c>
      <c r="F2714" t="inlineStr">
        <is>
          <t>biosphere</t>
        </is>
      </c>
      <c r="G2714" t="inlineStr">
        <is>
          <t>Electricity-only proxy: source amount / 0.33; 100% burden to electricity, before STEM efficiency adjustment.</t>
        </is>
      </c>
    </row>
    <row r="2715">
      <c r="A2715" t="inlineStr">
        <is>
          <t>Cobalt II</t>
        </is>
      </c>
      <c r="B2715">
        <v>5.046042826888383e-08</v>
      </c>
      <c r="D2715" t="inlineStr">
        <is>
          <t>kilogram</t>
        </is>
      </c>
      <c r="E2715" t="inlineStr">
        <is>
          <t>air::urban air close to ground</t>
        </is>
      </c>
      <c r="F2715" t="inlineStr">
        <is>
          <t>biosphere</t>
        </is>
      </c>
      <c r="G2715" t="inlineStr">
        <is>
          <t>Electricity-only proxy: source amount / 0.33; 100% burden to electricity, before STEM efficiency adjustment.</t>
        </is>
      </c>
    </row>
    <row r="2716">
      <c r="A2716" t="inlineStr">
        <is>
          <t>Copper ion</t>
        </is>
      </c>
      <c r="B2716">
        <v>2.5553062985332183e-08</v>
      </c>
      <c r="D2716" t="inlineStr">
        <is>
          <t>kilogram</t>
        </is>
      </c>
      <c r="E2716" t="inlineStr">
        <is>
          <t>air::urban air close to ground</t>
        </is>
      </c>
      <c r="F2716" t="inlineStr">
        <is>
          <t>biosphere</t>
        </is>
      </c>
      <c r="G2716" t="inlineStr">
        <is>
          <t>Electricity-only proxy: source amount / 0.33; 100% burden to electricity, before STEM efficiency adjustment.</t>
        </is>
      </c>
    </row>
    <row r="2717">
      <c r="A2717" t="inlineStr">
        <is>
          <t>Cyanide</t>
        </is>
      </c>
      <c r="B2717">
        <v>1.843438701074594e-05</v>
      </c>
      <c r="D2717" t="inlineStr">
        <is>
          <t>kilogram</t>
        </is>
      </c>
      <c r="E2717" t="inlineStr">
        <is>
          <t>air::urban air close to ground</t>
        </is>
      </c>
      <c r="F2717" t="inlineStr">
        <is>
          <t>biosphere</t>
        </is>
      </c>
      <c r="G2717" t="inlineStr">
        <is>
          <t>Electricity-only proxy: source amount / 0.33; 100% burden to electricity, before STEM efficiency adjustment.</t>
        </is>
      </c>
    </row>
    <row r="2718">
      <c r="A2718" t="inlineStr">
        <is>
          <t>Dinitrogen monoxide</t>
        </is>
      </c>
      <c r="B2718">
        <v>8.580249431327945e-05</v>
      </c>
      <c r="D2718" t="inlineStr">
        <is>
          <t>kilogram</t>
        </is>
      </c>
      <c r="E2718" t="inlineStr">
        <is>
          <t>air::urban air close to ground</t>
        </is>
      </c>
      <c r="F2718" t="inlineStr">
        <is>
          <t>biosphere</t>
        </is>
      </c>
      <c r="G2718" t="inlineStr">
        <is>
          <t>Electricity-only proxy: source amount / 0.33; 100% burden to electricity, before STEM efficiency adjustment.</t>
        </is>
      </c>
    </row>
    <row r="2719">
      <c r="A2719" t="inlineStr">
        <is>
          <t>Dioxins, measured as 2,3,7,8-tetrachlorodibenzo-p-dioxin</t>
        </is>
      </c>
      <c r="B2719">
        <v>2.826857008392815e-14</v>
      </c>
      <c r="D2719" t="inlineStr">
        <is>
          <t>kilogram</t>
        </is>
      </c>
      <c r="E2719" t="inlineStr">
        <is>
          <t>air::urban air close to ground</t>
        </is>
      </c>
      <c r="F2719" t="inlineStr">
        <is>
          <t>biosphere</t>
        </is>
      </c>
      <c r="G2719" t="inlineStr">
        <is>
          <t>Electricity-only proxy: source amount / 0.33; 100% burden to electricity, before STEM efficiency adjustment.</t>
        </is>
      </c>
    </row>
    <row r="2720">
      <c r="A2720" t="inlineStr">
        <is>
          <t>Heat, waste</t>
        </is>
      </c>
      <c r="B2720">
        <v>23.318534787042122</v>
      </c>
      <c r="D2720" t="inlineStr">
        <is>
          <t>megajoule</t>
        </is>
      </c>
      <c r="E2720" t="inlineStr">
        <is>
          <t>air::urban air close to ground</t>
        </is>
      </c>
      <c r="F2720" t="inlineStr">
        <is>
          <t>biosphere</t>
        </is>
      </c>
      <c r="G2720" t="inlineStr">
        <is>
          <t>Electricity-only proxy: source amount / 0.33; 100% burden to electricity, before STEM efficiency adjustment.</t>
        </is>
      </c>
    </row>
    <row r="2721">
      <c r="A2721" t="inlineStr">
        <is>
          <t>Hydrochloric acid</t>
        </is>
      </c>
      <c r="B2721">
        <v>9.738175543179857e-06</v>
      </c>
      <c r="D2721" t="inlineStr">
        <is>
          <t>kilogram</t>
        </is>
      </c>
      <c r="E2721" t="inlineStr">
        <is>
          <t>air::urban air close to ground</t>
        </is>
      </c>
      <c r="F2721" t="inlineStr">
        <is>
          <t>biosphere</t>
        </is>
      </c>
      <c r="G2721" t="inlineStr">
        <is>
          <t>Electricity-only proxy: source amount / 0.33; 100% burden to electricity, before STEM efficiency adjustment.</t>
        </is>
      </c>
    </row>
    <row r="2722">
      <c r="A2722" t="inlineStr">
        <is>
          <t>Hydrogen fluoride</t>
        </is>
      </c>
      <c r="B2722">
        <v>8.71070672209585e-08</v>
      </c>
      <c r="D2722" t="inlineStr">
        <is>
          <t>kilogram</t>
        </is>
      </c>
      <c r="E2722" t="inlineStr">
        <is>
          <t>air::urban air close to ground</t>
        </is>
      </c>
      <c r="F2722" t="inlineStr">
        <is>
          <t>biosphere</t>
        </is>
      </c>
      <c r="G2722" t="inlineStr">
        <is>
          <t>Electricity-only proxy: source amount / 0.33; 100% burden to electricity, before STEM efficiency adjustment.</t>
        </is>
      </c>
    </row>
    <row r="2723">
      <c r="A2723" t="inlineStr">
        <is>
          <t>Iron ion</t>
        </is>
      </c>
      <c r="B2723">
        <v>5.864459957643736e-09</v>
      </c>
      <c r="D2723" t="inlineStr">
        <is>
          <t>kilogram</t>
        </is>
      </c>
      <c r="E2723" t="inlineStr">
        <is>
          <t>air::urban air close to ground</t>
        </is>
      </c>
      <c r="F2723" t="inlineStr">
        <is>
          <t>biosphere</t>
        </is>
      </c>
      <c r="G2723" t="inlineStr">
        <is>
          <t>Electricity-only proxy: source amount / 0.33; 100% burden to electricity, before STEM efficiency adjustment.</t>
        </is>
      </c>
    </row>
    <row r="2724">
      <c r="A2724" t="inlineStr">
        <is>
          <t>Lead II</t>
        </is>
      </c>
      <c r="B2724">
        <v>3.3794650560828297e-08</v>
      </c>
      <c r="D2724" t="inlineStr">
        <is>
          <t>kilogram</t>
        </is>
      </c>
      <c r="E2724" t="inlineStr">
        <is>
          <t>air::urban air close to ground</t>
        </is>
      </c>
      <c r="F2724" t="inlineStr">
        <is>
          <t>biosphere</t>
        </is>
      </c>
      <c r="G2724" t="inlineStr">
        <is>
          <t>Electricity-only proxy: source amount / 0.33; 100% burden to electricity, before STEM efficiency adjustment.</t>
        </is>
      </c>
    </row>
    <row r="2725">
      <c r="A2725" t="inlineStr">
        <is>
          <t>Manganese II</t>
        </is>
      </c>
      <c r="B2725">
        <v>1.3405286689152087e-08</v>
      </c>
      <c r="D2725" t="inlineStr">
        <is>
          <t>kilogram</t>
        </is>
      </c>
      <c r="E2725" t="inlineStr">
        <is>
          <t>air::urban air close to ground</t>
        </is>
      </c>
      <c r="F2725" t="inlineStr">
        <is>
          <t>biosphere</t>
        </is>
      </c>
      <c r="G2725" t="inlineStr">
        <is>
          <t>Electricity-only proxy: source amount / 0.33; 100% burden to electricity, before STEM efficiency adjustment.</t>
        </is>
      </c>
    </row>
    <row r="2726">
      <c r="A2726" t="inlineStr">
        <is>
          <t>Mercury II</t>
        </is>
      </c>
      <c r="B2726">
        <v>2.1146129108165344e-08</v>
      </c>
      <c r="D2726" t="inlineStr">
        <is>
          <t>kilogram</t>
        </is>
      </c>
      <c r="E2726" t="inlineStr">
        <is>
          <t>air::urban air close to ground</t>
        </is>
      </c>
      <c r="F2726" t="inlineStr">
        <is>
          <t>biosphere</t>
        </is>
      </c>
      <c r="G2726" t="inlineStr">
        <is>
          <t>Electricity-only proxy: source amount / 0.33; 100% burden to electricity, before STEM efficiency adjustment.</t>
        </is>
      </c>
    </row>
    <row r="2727">
      <c r="A2727" t="inlineStr">
        <is>
          <t>Methane, fossil</t>
        </is>
      </c>
      <c r="B2727">
        <v>2.1202604125813786e-07</v>
      </c>
      <c r="D2727" t="inlineStr">
        <is>
          <t>kilogram</t>
        </is>
      </c>
      <c r="E2727" t="inlineStr">
        <is>
          <t>air::urban air close to ground</t>
        </is>
      </c>
      <c r="F2727" t="inlineStr">
        <is>
          <t>biosphere</t>
        </is>
      </c>
      <c r="G2727" t="inlineStr">
        <is>
          <t>Electricity-only proxy: source amount / 0.33; 100% burden to electricity, before STEM efficiency adjustment.</t>
        </is>
      </c>
    </row>
    <row r="2728">
      <c r="A2728" t="inlineStr">
        <is>
          <t>NMVOC, non-methane volatile organic compounds</t>
        </is>
      </c>
      <c r="B2728">
        <v>6.432881010275315e-07</v>
      </c>
      <c r="D2728" t="inlineStr">
        <is>
          <t>kilogram</t>
        </is>
      </c>
      <c r="E2728" t="inlineStr">
        <is>
          <t>air::urban air close to ground</t>
        </is>
      </c>
      <c r="F2728" t="inlineStr">
        <is>
          <t>biosphere</t>
        </is>
      </c>
      <c r="G2728" t="inlineStr">
        <is>
          <t>Electricity-only proxy: source amount / 0.33; 100% burden to electricity, before STEM efficiency adjustment.</t>
        </is>
      </c>
    </row>
    <row r="2729">
      <c r="A2729" t="inlineStr">
        <is>
          <t>Nickel II</t>
        </is>
      </c>
      <c r="B2729">
        <v>2.272837085261589e-08</v>
      </c>
      <c r="D2729" t="inlineStr">
        <is>
          <t>kilogram</t>
        </is>
      </c>
      <c r="E2729" t="inlineStr">
        <is>
          <t>air::urban air close to ground</t>
        </is>
      </c>
      <c r="F2729" t="inlineStr">
        <is>
          <t>biosphere</t>
        </is>
      </c>
      <c r="G2729" t="inlineStr">
        <is>
          <t>Electricity-only proxy: source amount / 0.33; 100% burden to electricity, before STEM efficiency adjustment.</t>
        </is>
      </c>
    </row>
    <row r="2730">
      <c r="A2730" t="inlineStr">
        <is>
          <t>Nitrogen oxides</t>
        </is>
      </c>
      <c r="B2730">
        <v>0.0005158051611891128</v>
      </c>
      <c r="D2730" t="inlineStr">
        <is>
          <t>kilogram</t>
        </is>
      </c>
      <c r="E2730" t="inlineStr">
        <is>
          <t>air::urban air close to ground</t>
        </is>
      </c>
      <c r="F2730" t="inlineStr">
        <is>
          <t>biosphere</t>
        </is>
      </c>
      <c r="G2730" t="inlineStr">
        <is>
          <t>Electricity-only proxy: source amount / 0.33; 100% burden to electricity, before STEM efficiency adjustment.</t>
        </is>
      </c>
    </row>
    <row r="2731">
      <c r="A2731" t="inlineStr">
        <is>
          <t>Particulate Matter, &lt; 2.5 um</t>
        </is>
      </c>
      <c r="B2731">
        <v>1.6876617773943054e-06</v>
      </c>
      <c r="D2731" t="inlineStr">
        <is>
          <t>kilogram</t>
        </is>
      </c>
      <c r="E2731" t="inlineStr">
        <is>
          <t>air::urban air close to ground</t>
        </is>
      </c>
      <c r="F2731" t="inlineStr">
        <is>
          <t>biosphere</t>
        </is>
      </c>
      <c r="G2731" t="inlineStr">
        <is>
          <t>Electricity-only proxy: source amount / 0.33; 100% burden to electricity, before STEM efficiency adjustment.</t>
        </is>
      </c>
    </row>
    <row r="2732">
      <c r="A2732" t="inlineStr">
        <is>
          <t>Particulate Matter, &gt; 2.5 um and &lt; 10um</t>
        </is>
      </c>
      <c r="B2732">
        <v>8.48047690014903e-09</v>
      </c>
      <c r="D2732" t="inlineStr">
        <is>
          <t>kilogram</t>
        </is>
      </c>
      <c r="E2732" t="inlineStr">
        <is>
          <t>air::urban air close to ground</t>
        </is>
      </c>
      <c r="F2732" t="inlineStr">
        <is>
          <t>biosphere</t>
        </is>
      </c>
      <c r="G2732" t="inlineStr">
        <is>
          <t>Electricity-only proxy: source amount / 0.33; 100% burden to electricity, before STEM efficiency adjustment.</t>
        </is>
      </c>
    </row>
    <row r="2733">
      <c r="A2733" t="inlineStr">
        <is>
          <t>Phenol, pentachloro-</t>
        </is>
      </c>
      <c r="B2733">
        <v>6.155682798650874e-12</v>
      </c>
      <c r="D2733" t="inlineStr">
        <is>
          <t>kilogram</t>
        </is>
      </c>
      <c r="E2733" t="inlineStr">
        <is>
          <t>air::urban air close to ground</t>
        </is>
      </c>
      <c r="F2733" t="inlineStr">
        <is>
          <t>biosphere</t>
        </is>
      </c>
      <c r="G2733" t="inlineStr">
        <is>
          <t>Electricity-only proxy: source amount / 0.33; 100% burden to electricity, before STEM efficiency adjustment.</t>
        </is>
      </c>
    </row>
    <row r="2734">
      <c r="A2734" t="inlineStr">
        <is>
          <t>Selenium IV</t>
        </is>
      </c>
      <c r="B2734">
        <v>2.200360812612754e-08</v>
      </c>
      <c r="D2734" t="inlineStr">
        <is>
          <t>kilogram</t>
        </is>
      </c>
      <c r="E2734" t="inlineStr">
        <is>
          <t>air::urban air close to ground</t>
        </is>
      </c>
      <c r="F2734" t="inlineStr">
        <is>
          <t>biosphere</t>
        </is>
      </c>
      <c r="G2734" t="inlineStr">
        <is>
          <t>Electricity-only proxy: source amount / 0.33; 100% burden to electricity, before STEM efficiency adjustment.</t>
        </is>
      </c>
    </row>
    <row r="2735">
      <c r="A2735" t="inlineStr">
        <is>
          <t>Sodium</t>
        </is>
      </c>
      <c r="B2735">
        <v>1.0567417052317828e-05</v>
      </c>
      <c r="D2735" t="inlineStr">
        <is>
          <t>kilogram</t>
        </is>
      </c>
      <c r="E2735" t="inlineStr">
        <is>
          <t>air::urban air close to ground</t>
        </is>
      </c>
      <c r="F2735" t="inlineStr">
        <is>
          <t>biosphere</t>
        </is>
      </c>
      <c r="G2735" t="inlineStr">
        <is>
          <t>Electricity-only proxy: source amount / 0.33; 100% burden to electricity, before STEM efficiency adjustment.</t>
        </is>
      </c>
    </row>
    <row r="2736">
      <c r="A2736" t="inlineStr">
        <is>
          <t>Strontium</t>
        </is>
      </c>
      <c r="B2736">
        <v>7.773033179072867e-09</v>
      </c>
      <c r="D2736" t="inlineStr">
        <is>
          <t>kilogram</t>
        </is>
      </c>
      <c r="E2736" t="inlineStr">
        <is>
          <t>air::urban air close to ground</t>
        </is>
      </c>
      <c r="F2736" t="inlineStr">
        <is>
          <t>biosphere</t>
        </is>
      </c>
      <c r="G2736" t="inlineStr">
        <is>
          <t>Electricity-only proxy: source amount / 0.33; 100% burden to electricity, before STEM efficiency adjustment.</t>
        </is>
      </c>
    </row>
    <row r="2737">
      <c r="A2737" t="inlineStr">
        <is>
          <t>Sulfur dioxide</t>
        </is>
      </c>
      <c r="B2737">
        <v>1.4081104400345126e-05</v>
      </c>
      <c r="D2737" t="inlineStr">
        <is>
          <t>kilogram</t>
        </is>
      </c>
      <c r="E2737" t="inlineStr">
        <is>
          <t>air::urban air close to ground</t>
        </is>
      </c>
      <c r="F2737" t="inlineStr">
        <is>
          <t>biosphere</t>
        </is>
      </c>
      <c r="G2737" t="inlineStr">
        <is>
          <t>Electricity-only proxy: source amount / 0.33; 100% burden to electricity, before STEM efficiency adjustment.</t>
        </is>
      </c>
    </row>
    <row r="2738">
      <c r="A2738" t="inlineStr">
        <is>
          <t>Thallium I</t>
        </is>
      </c>
      <c r="B2738">
        <v>3.5132167228802255e-10</v>
      </c>
      <c r="D2738" t="inlineStr">
        <is>
          <t>kilogram</t>
        </is>
      </c>
      <c r="E2738" t="inlineStr">
        <is>
          <t>air::urban air close to ground</t>
        </is>
      </c>
      <c r="F2738" t="inlineStr">
        <is>
          <t>biosphere</t>
        </is>
      </c>
      <c r="G2738" t="inlineStr">
        <is>
          <t>Electricity-only proxy: source amount / 0.33; 100% burden to electricity, before STEM efficiency adjustment.</t>
        </is>
      </c>
    </row>
    <row r="2739">
      <c r="A2739" t="inlineStr">
        <is>
          <t>Tin ion</t>
        </is>
      </c>
      <c r="B2739">
        <v>1.503459094830967e-11</v>
      </c>
      <c r="D2739" t="inlineStr">
        <is>
          <t>kilogram</t>
        </is>
      </c>
      <c r="E2739" t="inlineStr">
        <is>
          <t>air::urban air close to ground</t>
        </is>
      </c>
      <c r="F2739" t="inlineStr">
        <is>
          <t>biosphere</t>
        </is>
      </c>
      <c r="G2739" t="inlineStr">
        <is>
          <t>Electricity-only proxy: source amount / 0.33; 100% burden to electricity, before STEM efficiency adjustment.</t>
        </is>
      </c>
    </row>
    <row r="2740">
      <c r="A2740" t="inlineStr">
        <is>
          <t>Titanium ion</t>
        </is>
      </c>
      <c r="B2740">
        <v>7.286877402149186e-07</v>
      </c>
      <c r="D2740" t="inlineStr">
        <is>
          <t>kilogram</t>
        </is>
      </c>
      <c r="E2740" t="inlineStr">
        <is>
          <t>air::urban air close to ground</t>
        </is>
      </c>
      <c r="F2740" t="inlineStr">
        <is>
          <t>biosphere</t>
        </is>
      </c>
      <c r="G2740" t="inlineStr">
        <is>
          <t>Electricity-only proxy: source amount / 0.33; 100% burden to electricity, before STEM efficiency adjustment.</t>
        </is>
      </c>
    </row>
    <row r="2741">
      <c r="A2741" t="inlineStr">
        <is>
          <t>Toluene</t>
        </is>
      </c>
      <c r="B2741">
        <v>2.827045258451643e-08</v>
      </c>
      <c r="D2741" t="inlineStr">
        <is>
          <t>kilogram</t>
        </is>
      </c>
      <c r="E2741" t="inlineStr">
        <is>
          <t>air::urban air close to ground</t>
        </is>
      </c>
      <c r="F2741" t="inlineStr">
        <is>
          <t>biosphere</t>
        </is>
      </c>
      <c r="G2741" t="inlineStr">
        <is>
          <t>Electricity-only proxy: source amount / 0.33; 100% burden to electricity, before STEM efficiency adjustment.</t>
        </is>
      </c>
    </row>
    <row r="2742">
      <c r="A2742" t="inlineStr">
        <is>
          <t>Vanadium V</t>
        </is>
      </c>
      <c r="B2742">
        <v>5.367668052396266e-06</v>
      </c>
      <c r="D2742" t="inlineStr">
        <is>
          <t>kilogram</t>
        </is>
      </c>
      <c r="E2742" t="inlineStr">
        <is>
          <t>air::urban air close to ground</t>
        </is>
      </c>
      <c r="F2742" t="inlineStr">
        <is>
          <t>biosphere</t>
        </is>
      </c>
      <c r="G2742" t="inlineStr">
        <is>
          <t>Electricity-only proxy: source amount / 0.33; 100% burden to electricity, before STEM efficiency adjustment.</t>
        </is>
      </c>
    </row>
    <row r="2743">
      <c r="A2743" t="inlineStr">
        <is>
          <t>Water</t>
        </is>
      </c>
      <c r="B2743">
        <v>0.003213892540591419</v>
      </c>
      <c r="D2743" t="inlineStr">
        <is>
          <t>cubic meter</t>
        </is>
      </c>
      <c r="E2743" t="inlineStr">
        <is>
          <t>air::urban air close to ground</t>
        </is>
      </c>
      <c r="F2743" t="inlineStr">
        <is>
          <t>biosphere</t>
        </is>
      </c>
      <c r="G2743" t="inlineStr">
        <is>
          <t>Electricity-only proxy: source amount / 0.33; 100% burden to electricity, before STEM efficiency adjustment.</t>
        </is>
      </c>
    </row>
    <row r="2744">
      <c r="A2744" t="inlineStr">
        <is>
          <t>Zinc II</t>
        </is>
      </c>
      <c r="B2744">
        <v>3.291269903521844e-07</v>
      </c>
      <c r="D2744" t="inlineStr">
        <is>
          <t>kilogram</t>
        </is>
      </c>
      <c r="E2744" t="inlineStr">
        <is>
          <t>air::urban air close to ground</t>
        </is>
      </c>
      <c r="F2744" t="inlineStr">
        <is>
          <t>biosphere</t>
        </is>
      </c>
      <c r="G2744" t="inlineStr">
        <is>
          <t>Electricity-only proxy: source amount / 0.33; 100% burden to electricity, before STEM efficiency adjustment.</t>
        </is>
      </c>
    </row>
    <row r="2745">
      <c r="A2745" t="inlineStr">
        <is>
          <t>Aluminium III</t>
        </is>
      </c>
      <c r="B2745">
        <v>0.0001637210761628363</v>
      </c>
      <c r="D2745" t="inlineStr">
        <is>
          <t>kilogram</t>
        </is>
      </c>
      <c r="E2745" t="inlineStr">
        <is>
          <t>water::ground-, long-term</t>
        </is>
      </c>
      <c r="F2745" t="inlineStr">
        <is>
          <t>biosphere</t>
        </is>
      </c>
      <c r="G2745" t="inlineStr">
        <is>
          <t>Electricity-only proxy: source amount / 0.33; 100% burden to electricity, before STEM efficiency adjustment.</t>
        </is>
      </c>
    </row>
    <row r="2746">
      <c r="A2746" t="inlineStr">
        <is>
          <t>Aluminium III</t>
        </is>
      </c>
      <c r="B2746">
        <v>5.998117499411718e-08</v>
      </c>
      <c r="D2746" t="inlineStr">
        <is>
          <t>kilogram</t>
        </is>
      </c>
      <c r="E2746" t="inlineStr">
        <is>
          <t>water::surface water</t>
        </is>
      </c>
      <c r="F2746" t="inlineStr">
        <is>
          <t>biosphere</t>
        </is>
      </c>
      <c r="G2746" t="inlineStr">
        <is>
          <t>Electricity-only proxy: source amount / 0.33; 100% burden to electricity, before STEM efficiency adjustment.</t>
        </is>
      </c>
    </row>
    <row r="2747">
      <c r="A2747" t="inlineStr">
        <is>
          <t>Antimony ion</t>
        </is>
      </c>
      <c r="B2747">
        <v>1.5313201035375322e-05</v>
      </c>
      <c r="D2747" t="inlineStr">
        <is>
          <t>kilogram</t>
        </is>
      </c>
      <c r="E2747" t="inlineStr">
        <is>
          <t>water::ground-, long-term</t>
        </is>
      </c>
      <c r="F2747" t="inlineStr">
        <is>
          <t>biosphere</t>
        </is>
      </c>
      <c r="G2747" t="inlineStr">
        <is>
          <t>Electricity-only proxy: source amount / 0.33; 100% burden to electricity, before STEM efficiency adjustment.</t>
        </is>
      </c>
    </row>
    <row r="2748">
      <c r="A2748" t="inlineStr">
        <is>
          <t>Antimony ion</t>
        </is>
      </c>
      <c r="B2748">
        <v>7.416769942740607e-06</v>
      </c>
      <c r="D2748" t="inlineStr">
        <is>
          <t>kilogram</t>
        </is>
      </c>
      <c r="E2748" t="inlineStr">
        <is>
          <t>water::surface water</t>
        </is>
      </c>
      <c r="F2748" t="inlineStr">
        <is>
          <t>biosphere</t>
        </is>
      </c>
      <c r="G2748" t="inlineStr">
        <is>
          <t>Electricity-only proxy: source amount / 0.33; 100% burden to electricity, before STEM efficiency adjustment.</t>
        </is>
      </c>
    </row>
    <row r="2749">
      <c r="A2749" t="inlineStr">
        <is>
          <t>Arsenic ion</t>
        </is>
      </c>
      <c r="B2749">
        <v>1.017397442936701e-06</v>
      </c>
      <c r="D2749" t="inlineStr">
        <is>
          <t>kilogram</t>
        </is>
      </c>
      <c r="E2749" t="inlineStr">
        <is>
          <t>water::ground-, long-term</t>
        </is>
      </c>
      <c r="F2749" t="inlineStr">
        <is>
          <t>biosphere</t>
        </is>
      </c>
      <c r="G2749" t="inlineStr">
        <is>
          <t>Electricity-only proxy: source amount / 0.33; 100% burden to electricity, before STEM efficiency adjustment.</t>
        </is>
      </c>
    </row>
    <row r="2750">
      <c r="A2750" t="inlineStr">
        <is>
          <t>Arsenic ion</t>
        </is>
      </c>
      <c r="B2750">
        <v>6.52521766413052e-07</v>
      </c>
      <c r="D2750" t="inlineStr">
        <is>
          <t>kilogram</t>
        </is>
      </c>
      <c r="E2750" t="inlineStr">
        <is>
          <t>water::surface water</t>
        </is>
      </c>
      <c r="F2750" t="inlineStr">
        <is>
          <t>biosphere</t>
        </is>
      </c>
      <c r="G2750" t="inlineStr">
        <is>
          <t>Electricity-only proxy: source amount / 0.33; 100% burden to electricity, before STEM efficiency adjustment.</t>
        </is>
      </c>
    </row>
    <row r="2751">
      <c r="A2751" t="inlineStr">
        <is>
          <t>BOD5, Biological Oxygen Demand</t>
        </is>
      </c>
      <c r="B2751">
        <v>0.001445572201741313</v>
      </c>
      <c r="D2751" t="inlineStr">
        <is>
          <t>kilogram</t>
        </is>
      </c>
      <c r="E2751" t="inlineStr">
        <is>
          <t>water::ground-, long-term</t>
        </is>
      </c>
      <c r="F2751" t="inlineStr">
        <is>
          <t>biosphere</t>
        </is>
      </c>
      <c r="G2751" t="inlineStr">
        <is>
          <t>Electricity-only proxy: source amount / 0.33; 100% burden to electricity, before STEM efficiency adjustment.</t>
        </is>
      </c>
    </row>
    <row r="2752">
      <c r="A2752" t="inlineStr">
        <is>
          <t>BOD5, Biological Oxygen Demand</t>
        </is>
      </c>
      <c r="B2752">
        <v>0.00044366773864616823</v>
      </c>
      <c r="D2752" t="inlineStr">
        <is>
          <t>kilogram</t>
        </is>
      </c>
      <c r="E2752" t="inlineStr">
        <is>
          <t>water::surface water</t>
        </is>
      </c>
      <c r="F2752" t="inlineStr">
        <is>
          <t>biosphere</t>
        </is>
      </c>
      <c r="G2752" t="inlineStr">
        <is>
          <t>Electricity-only proxy: source amount / 0.33; 100% burden to electricity, before STEM efficiency adjustment.</t>
        </is>
      </c>
    </row>
    <row r="2753">
      <c r="A2753" t="inlineStr">
        <is>
          <t>Barium II</t>
        </is>
      </c>
      <c r="B2753">
        <v>0.00011967056239705073</v>
      </c>
      <c r="D2753" t="inlineStr">
        <is>
          <t>kilogram</t>
        </is>
      </c>
      <c r="E2753" t="inlineStr">
        <is>
          <t>water::ground-, long-term</t>
        </is>
      </c>
      <c r="F2753" t="inlineStr">
        <is>
          <t>biosphere</t>
        </is>
      </c>
      <c r="G2753" t="inlineStr">
        <is>
          <t>Electricity-only proxy: source amount / 0.33; 100% burden to electricity, before STEM efficiency adjustment.</t>
        </is>
      </c>
    </row>
    <row r="2754">
      <c r="A2754" t="inlineStr">
        <is>
          <t>Barium II</t>
        </is>
      </c>
      <c r="B2754">
        <v>6.950192171935054e-08</v>
      </c>
      <c r="D2754" t="inlineStr">
        <is>
          <t>kilogram</t>
        </is>
      </c>
      <c r="E2754" t="inlineStr">
        <is>
          <t>water::surface water</t>
        </is>
      </c>
      <c r="F2754" t="inlineStr">
        <is>
          <t>biosphere</t>
        </is>
      </c>
      <c r="G2754" t="inlineStr">
        <is>
          <t>Electricity-only proxy: source amount / 0.33; 100% burden to electricity, before STEM efficiency adjustment.</t>
        </is>
      </c>
    </row>
    <row r="2755">
      <c r="A2755" t="inlineStr">
        <is>
          <t>Beryllium II</t>
        </is>
      </c>
      <c r="B2755">
        <v>4.121358537924543e-07</v>
      </c>
      <c r="D2755" t="inlineStr">
        <is>
          <t>kilogram</t>
        </is>
      </c>
      <c r="E2755" t="inlineStr">
        <is>
          <t>water::ground-, long-term</t>
        </is>
      </c>
      <c r="F2755" t="inlineStr">
        <is>
          <t>biosphere</t>
        </is>
      </c>
      <c r="G2755" t="inlineStr">
        <is>
          <t>Electricity-only proxy: source amount / 0.33; 100% burden to electricity, before STEM efficiency adjustment.</t>
        </is>
      </c>
    </row>
    <row r="2756">
      <c r="A2756" t="inlineStr">
        <is>
          <t>Beryllium II</t>
        </is>
      </c>
      <c r="B2756">
        <v>2.7330143540669856e-10</v>
      </c>
      <c r="D2756" t="inlineStr">
        <is>
          <t>kilogram</t>
        </is>
      </c>
      <c r="E2756" t="inlineStr">
        <is>
          <t>water::surface water</t>
        </is>
      </c>
      <c r="F2756" t="inlineStr">
        <is>
          <t>biosphere</t>
        </is>
      </c>
      <c r="G2756" t="inlineStr">
        <is>
          <t>Electricity-only proxy: source amount / 0.33; 100% burden to electricity, before STEM efficiency adjustment.</t>
        </is>
      </c>
    </row>
    <row r="2757">
      <c r="A2757" t="inlineStr">
        <is>
          <t>Bromine</t>
        </is>
      </c>
      <c r="B2757">
        <v>3.1871676209898813e-06</v>
      </c>
      <c r="D2757" t="inlineStr">
        <is>
          <t>kilogram</t>
        </is>
      </c>
      <c r="E2757" t="inlineStr">
        <is>
          <t>water::ground-, long-term</t>
        </is>
      </c>
      <c r="F2757" t="inlineStr">
        <is>
          <t>biosphere</t>
        </is>
      </c>
      <c r="G2757" t="inlineStr">
        <is>
          <t>Electricity-only proxy: source amount / 0.33; 100% burden to electricity, before STEM efficiency adjustment.</t>
        </is>
      </c>
    </row>
    <row r="2758">
      <c r="A2758" t="inlineStr">
        <is>
          <t>Bromine</t>
        </is>
      </c>
      <c r="B2758">
        <v>5.704918032786885e-05</v>
      </c>
      <c r="D2758" t="inlineStr">
        <is>
          <t>kilogram</t>
        </is>
      </c>
      <c r="E2758" t="inlineStr">
        <is>
          <t>water::surface water</t>
        </is>
      </c>
      <c r="F2758" t="inlineStr">
        <is>
          <t>biosphere</t>
        </is>
      </c>
      <c r="G2758" t="inlineStr">
        <is>
          <t>Electricity-only proxy: source amount / 0.33; 100% burden to electricity, before STEM efficiency adjustment.</t>
        </is>
      </c>
    </row>
    <row r="2759">
      <c r="A2759" t="inlineStr">
        <is>
          <t>COD, Chemical Oxygen Demand</t>
        </is>
      </c>
      <c r="B2759">
        <v>0.004419358381049494</v>
      </c>
      <c r="D2759" t="inlineStr">
        <is>
          <t>kilogram</t>
        </is>
      </c>
      <c r="E2759" t="inlineStr">
        <is>
          <t>water::ground-, long-term</t>
        </is>
      </c>
      <c r="F2759" t="inlineStr">
        <is>
          <t>biosphere</t>
        </is>
      </c>
      <c r="G2759" t="inlineStr">
        <is>
          <t>Electricity-only proxy: source amount / 0.33; 100% burden to electricity, before STEM efficiency adjustment.</t>
        </is>
      </c>
    </row>
    <row r="2760">
      <c r="A2760" t="inlineStr">
        <is>
          <t>COD, Chemical Oxygen Demand</t>
        </is>
      </c>
      <c r="B2760">
        <v>0.0004533720291787591</v>
      </c>
      <c r="D2760" t="inlineStr">
        <is>
          <t>kilogram</t>
        </is>
      </c>
      <c r="E2760" t="inlineStr">
        <is>
          <t>water::surface water</t>
        </is>
      </c>
      <c r="F2760" t="inlineStr">
        <is>
          <t>biosphere</t>
        </is>
      </c>
      <c r="G2760" t="inlineStr">
        <is>
          <t>Electricity-only proxy: source amount / 0.33; 100% burden to electricity, before STEM efficiency adjustment.</t>
        </is>
      </c>
    </row>
    <row r="2761">
      <c r="A2761" t="inlineStr">
        <is>
          <t>Cadmium II</t>
        </is>
      </c>
      <c r="B2761">
        <v>1.1437132324103849e-05</v>
      </c>
      <c r="D2761" t="inlineStr">
        <is>
          <t>kilogram</t>
        </is>
      </c>
      <c r="E2761" t="inlineStr">
        <is>
          <t>water::ground-, long-term</t>
        </is>
      </c>
      <c r="F2761" t="inlineStr">
        <is>
          <t>biosphere</t>
        </is>
      </c>
      <c r="G2761" t="inlineStr">
        <is>
          <t>Electricity-only proxy: source amount / 0.33; 100% burden to electricity, before STEM efficiency adjustment.</t>
        </is>
      </c>
    </row>
    <row r="2762">
      <c r="A2762" t="inlineStr">
        <is>
          <t>Cadmium II</t>
        </is>
      </c>
      <c r="B2762">
        <v>1.2678641462075455e-08</v>
      </c>
      <c r="D2762" t="inlineStr">
        <is>
          <t>kilogram</t>
        </is>
      </c>
      <c r="E2762" t="inlineStr">
        <is>
          <t>water::surface water</t>
        </is>
      </c>
      <c r="F2762" t="inlineStr">
        <is>
          <t>biosphere</t>
        </is>
      </c>
      <c r="G2762" t="inlineStr">
        <is>
          <t>Electricity-only proxy: source amount / 0.33; 100% burden to electricity, before STEM efficiency adjustment.</t>
        </is>
      </c>
    </row>
    <row r="2763">
      <c r="A2763" t="inlineStr">
        <is>
          <t>Calcium II</t>
        </is>
      </c>
      <c r="B2763">
        <v>0.00013483410463565769</v>
      </c>
      <c r="D2763" t="inlineStr">
        <is>
          <t>kilogram</t>
        </is>
      </c>
      <c r="E2763" t="inlineStr">
        <is>
          <t>water::ground-, long-term</t>
        </is>
      </c>
      <c r="F2763" t="inlineStr">
        <is>
          <t>biosphere</t>
        </is>
      </c>
      <c r="G2763" t="inlineStr">
        <is>
          <t>Electricity-only proxy: source amount / 0.33; 100% burden to electricity, before STEM efficiency adjustment.</t>
        </is>
      </c>
    </row>
    <row r="2764">
      <c r="A2764" t="inlineStr">
        <is>
          <t>Calcium II</t>
        </is>
      </c>
      <c r="B2764">
        <v>2.2509059534081104e-07</v>
      </c>
      <c r="D2764" t="inlineStr">
        <is>
          <t>kilogram</t>
        </is>
      </c>
      <c r="E2764" t="inlineStr">
        <is>
          <t>water::surface water</t>
        </is>
      </c>
      <c r="F2764" t="inlineStr">
        <is>
          <t>biosphere</t>
        </is>
      </c>
      <c r="G2764" t="inlineStr">
        <is>
          <t>Electricity-only proxy: source amount / 0.33; 100% burden to electricity, before STEM efficiency adjustment.</t>
        </is>
      </c>
    </row>
    <row r="2765">
      <c r="A2765" t="inlineStr">
        <is>
          <t>Chloride</t>
        </is>
      </c>
      <c r="B2765">
        <v>0.0021496274217585693</v>
      </c>
      <c r="D2765" t="inlineStr">
        <is>
          <t>kilogram</t>
        </is>
      </c>
      <c r="E2765" t="inlineStr">
        <is>
          <t>water::ground-, long-term</t>
        </is>
      </c>
      <c r="F2765" t="inlineStr">
        <is>
          <t>biosphere</t>
        </is>
      </c>
      <c r="G2765" t="inlineStr">
        <is>
          <t>Electricity-only proxy: source amount / 0.33; 100% burden to electricity, before STEM efficiency adjustment.</t>
        </is>
      </c>
    </row>
    <row r="2766">
      <c r="A2766" t="inlineStr">
        <is>
          <t>Chloride</t>
        </is>
      </c>
      <c r="B2766">
        <v>0.01449525452976704</v>
      </c>
      <c r="D2766" t="inlineStr">
        <is>
          <t>kilogram</t>
        </is>
      </c>
      <c r="E2766" t="inlineStr">
        <is>
          <t>water::surface water</t>
        </is>
      </c>
      <c r="F2766" t="inlineStr">
        <is>
          <t>biosphere</t>
        </is>
      </c>
      <c r="G2766" t="inlineStr">
        <is>
          <t>Electricity-only proxy: source amount / 0.33; 100% burden to electricity, before STEM efficiency adjustment.</t>
        </is>
      </c>
    </row>
    <row r="2767">
      <c r="A2767" t="inlineStr">
        <is>
          <t>Chromium III</t>
        </is>
      </c>
      <c r="B2767">
        <v>4.659659581143619e-09</v>
      </c>
      <c r="D2767" t="inlineStr">
        <is>
          <t>kilogram</t>
        </is>
      </c>
      <c r="E2767" t="inlineStr">
        <is>
          <t>water::surface water</t>
        </is>
      </c>
      <c r="F2767" t="inlineStr">
        <is>
          <t>biosphere</t>
        </is>
      </c>
      <c r="G2767" t="inlineStr">
        <is>
          <t>Electricity-only proxy: source amount / 0.33; 100% burden to electricity, before STEM efficiency adjustment.</t>
        </is>
      </c>
    </row>
    <row r="2768">
      <c r="A2768" t="inlineStr">
        <is>
          <t>Chromium VI</t>
        </is>
      </c>
      <c r="B2768">
        <v>1.8976547180170994e-06</v>
      </c>
      <c r="D2768" t="inlineStr">
        <is>
          <t>kilogram</t>
        </is>
      </c>
      <c r="E2768" t="inlineStr">
        <is>
          <t>water::ground-, long-term</t>
        </is>
      </c>
      <c r="F2768" t="inlineStr">
        <is>
          <t>biosphere</t>
        </is>
      </c>
      <c r="G2768" t="inlineStr">
        <is>
          <t>Electricity-only proxy: source amount / 0.33; 100% burden to electricity, before STEM efficiency adjustment.</t>
        </is>
      </c>
    </row>
    <row r="2769">
      <c r="A2769" t="inlineStr">
        <is>
          <t>Chromium VI</t>
        </is>
      </c>
      <c r="B2769">
        <v>5.461604831751509e-07</v>
      </c>
      <c r="D2769" t="inlineStr">
        <is>
          <t>kilogram</t>
        </is>
      </c>
      <c r="E2769" t="inlineStr">
        <is>
          <t>water::surface water</t>
        </is>
      </c>
      <c r="F2769" t="inlineStr">
        <is>
          <t>biosphere</t>
        </is>
      </c>
      <c r="G2769" t="inlineStr">
        <is>
          <t>Electricity-only proxy: source amount / 0.33; 100% burden to electricity, before STEM efficiency adjustment.</t>
        </is>
      </c>
    </row>
    <row r="2770">
      <c r="A2770" t="inlineStr">
        <is>
          <t>Cobalt II</t>
        </is>
      </c>
      <c r="B2770">
        <v>2.4272021335006662e-05</v>
      </c>
      <c r="D2770" t="inlineStr">
        <is>
          <t>kilogram</t>
        </is>
      </c>
      <c r="E2770" t="inlineStr">
        <is>
          <t>water::ground-, long-term</t>
        </is>
      </c>
      <c r="F2770" t="inlineStr">
        <is>
          <t>biosphere</t>
        </is>
      </c>
      <c r="G2770" t="inlineStr">
        <is>
          <t>Electricity-only proxy: source amount / 0.33; 100% burden to electricity, before STEM efficiency adjustment.</t>
        </is>
      </c>
    </row>
    <row r="2771">
      <c r="A2771" t="inlineStr">
        <is>
          <t>Cobalt II</t>
        </is>
      </c>
      <c r="B2771">
        <v>4.569958428112008e-09</v>
      </c>
      <c r="D2771" t="inlineStr">
        <is>
          <t>kilogram</t>
        </is>
      </c>
      <c r="E2771" t="inlineStr">
        <is>
          <t>water::surface water</t>
        </is>
      </c>
      <c r="F2771" t="inlineStr">
        <is>
          <t>biosphere</t>
        </is>
      </c>
      <c r="G2771" t="inlineStr">
        <is>
          <t>Electricity-only proxy: source amount / 0.33; 100% burden to electricity, before STEM efficiency adjustment.</t>
        </is>
      </c>
    </row>
    <row r="2772">
      <c r="A2772" t="inlineStr">
        <is>
          <t>Copper ion</t>
        </is>
      </c>
      <c r="B2772">
        <v>0.00026284414463879517</v>
      </c>
      <c r="D2772" t="inlineStr">
        <is>
          <t>kilogram</t>
        </is>
      </c>
      <c r="E2772" t="inlineStr">
        <is>
          <t>water::ground-, long-term</t>
        </is>
      </c>
      <c r="F2772" t="inlineStr">
        <is>
          <t>biosphere</t>
        </is>
      </c>
      <c r="G2772" t="inlineStr">
        <is>
          <t>Electricity-only proxy: source amount / 0.33; 100% burden to electricity, before STEM efficiency adjustment.</t>
        </is>
      </c>
    </row>
    <row r="2773">
      <c r="A2773" t="inlineStr">
        <is>
          <t>Copper ion</t>
        </is>
      </c>
      <c r="B2773">
        <v>2.4138363793238683e-08</v>
      </c>
      <c r="D2773" t="inlineStr">
        <is>
          <t>kilogram</t>
        </is>
      </c>
      <c r="E2773" t="inlineStr">
        <is>
          <t>water::surface water</t>
        </is>
      </c>
      <c r="F2773" t="inlineStr">
        <is>
          <t>biosphere</t>
        </is>
      </c>
      <c r="G2773" t="inlineStr">
        <is>
          <t>Electricity-only proxy: source amount / 0.33; 100% burden to electricity, before STEM efficiency adjustment.</t>
        </is>
      </c>
    </row>
    <row r="2774">
      <c r="A2774" t="inlineStr">
        <is>
          <t>DOC, Dissolved Organic Carbon</t>
        </is>
      </c>
      <c r="B2774">
        <v>0.001748748921484038</v>
      </c>
      <c r="D2774" t="inlineStr">
        <is>
          <t>kilogram</t>
        </is>
      </c>
      <c r="E2774" t="inlineStr">
        <is>
          <t>water::ground-, long-term</t>
        </is>
      </c>
      <c r="F2774" t="inlineStr">
        <is>
          <t>biosphere</t>
        </is>
      </c>
      <c r="G2774" t="inlineStr">
        <is>
          <t>Electricity-only proxy: source amount / 0.33; 100% burden to electricity, before STEM efficiency adjustment.</t>
        </is>
      </c>
    </row>
    <row r="2775">
      <c r="A2775" t="inlineStr">
        <is>
          <t>DOC, Dissolved Organic Carbon</t>
        </is>
      </c>
      <c r="B2775">
        <v>0.0001977472742960232</v>
      </c>
      <c r="D2775" t="inlineStr">
        <is>
          <t>kilogram</t>
        </is>
      </c>
      <c r="E2775" t="inlineStr">
        <is>
          <t>water::surface water</t>
        </is>
      </c>
      <c r="F2775" t="inlineStr">
        <is>
          <t>biosphere</t>
        </is>
      </c>
      <c r="G2775" t="inlineStr">
        <is>
          <t>Electricity-only proxy: source amount / 0.33; 100% burden to electricity, before STEM efficiency adjustment.</t>
        </is>
      </c>
    </row>
    <row r="2776">
      <c r="A2776" t="inlineStr">
        <is>
          <t>Fluoride</t>
        </is>
      </c>
      <c r="B2776">
        <v>8.613852066828771e-06</v>
      </c>
      <c r="D2776" t="inlineStr">
        <is>
          <t>kilogram</t>
        </is>
      </c>
      <c r="E2776" t="inlineStr">
        <is>
          <t>water::ground-, long-term</t>
        </is>
      </c>
      <c r="F2776" t="inlineStr">
        <is>
          <t>biosphere</t>
        </is>
      </c>
      <c r="G2776" t="inlineStr">
        <is>
          <t>Electricity-only proxy: source amount / 0.33; 100% burden to electricity, before STEM efficiency adjustment.</t>
        </is>
      </c>
    </row>
    <row r="2777">
      <c r="A2777" t="inlineStr">
        <is>
          <t>Fluoride</t>
        </is>
      </c>
      <c r="B2777">
        <v>3.7577535492979834e-06</v>
      </c>
      <c r="D2777" t="inlineStr">
        <is>
          <t>kilogram</t>
        </is>
      </c>
      <c r="E2777" t="inlineStr">
        <is>
          <t>water::surface water</t>
        </is>
      </c>
      <c r="F2777" t="inlineStr">
        <is>
          <t>biosphere</t>
        </is>
      </c>
      <c r="G2777" t="inlineStr">
        <is>
          <t>Electricity-only proxy: source amount / 0.33; 100% burden to electricity, before STEM efficiency adjustment.</t>
        </is>
      </c>
    </row>
    <row r="2778">
      <c r="A2778" t="inlineStr">
        <is>
          <t>Heat, waste</t>
        </is>
      </c>
      <c r="B2778">
        <v>5.918393599497999</v>
      </c>
      <c r="D2778" t="inlineStr">
        <is>
          <t>megajoule</t>
        </is>
      </c>
      <c r="E2778" t="inlineStr">
        <is>
          <t>water::surface water</t>
        </is>
      </c>
      <c r="F2778" t="inlineStr">
        <is>
          <t>biosphere</t>
        </is>
      </c>
      <c r="G2778" t="inlineStr">
        <is>
          <t>Electricity-only proxy: source amount / 0.33; 100% burden to electricity, before STEM efficiency adjustment.</t>
        </is>
      </c>
    </row>
    <row r="2779">
      <c r="A2779" t="inlineStr">
        <is>
          <t>Iron ion</t>
        </is>
      </c>
      <c r="B2779">
        <v>0.0016747666483645774</v>
      </c>
      <c r="D2779" t="inlineStr">
        <is>
          <t>kilogram</t>
        </is>
      </c>
      <c r="E2779" t="inlineStr">
        <is>
          <t>water::ground-, long-term</t>
        </is>
      </c>
      <c r="F2779" t="inlineStr">
        <is>
          <t>biosphere</t>
        </is>
      </c>
      <c r="G2779" t="inlineStr">
        <is>
          <t>Electricity-only proxy: source amount / 0.33; 100% burden to electricity, before STEM efficiency adjustment.</t>
        </is>
      </c>
    </row>
    <row r="2780">
      <c r="A2780" t="inlineStr">
        <is>
          <t>Iron ion</t>
        </is>
      </c>
      <c r="B2780">
        <v>6.3137187230371e-08</v>
      </c>
      <c r="D2780" t="inlineStr">
        <is>
          <t>kilogram</t>
        </is>
      </c>
      <c r="E2780" t="inlineStr">
        <is>
          <t>water::surface water</t>
        </is>
      </c>
      <c r="F2780" t="inlineStr">
        <is>
          <t>biosphere</t>
        </is>
      </c>
      <c r="G2780" t="inlineStr">
        <is>
          <t>Electricity-only proxy: source amount / 0.33; 100% burden to electricity, before STEM efficiency adjustment.</t>
        </is>
      </c>
    </row>
    <row r="2781">
      <c r="A2781" t="inlineStr">
        <is>
          <t>Lead II</t>
        </is>
      </c>
      <c r="B2781">
        <v>0.00028882265275707896</v>
      </c>
      <c r="D2781" t="inlineStr">
        <is>
          <t>kilogram</t>
        </is>
      </c>
      <c r="E2781" t="inlineStr">
        <is>
          <t>water::ground-, long-term</t>
        </is>
      </c>
      <c r="F2781" t="inlineStr">
        <is>
          <t>biosphere</t>
        </is>
      </c>
      <c r="G2781" t="inlineStr">
        <is>
          <t>Electricity-only proxy: source amount / 0.33; 100% burden to electricity, before STEM efficiency adjustment.</t>
        </is>
      </c>
    </row>
    <row r="2782">
      <c r="A2782" t="inlineStr">
        <is>
          <t>Lead II</t>
        </is>
      </c>
      <c r="B2782">
        <v>2.7933484979214055e-08</v>
      </c>
      <c r="D2782" t="inlineStr">
        <is>
          <t>kilogram</t>
        </is>
      </c>
      <c r="E2782" t="inlineStr">
        <is>
          <t>water::surface water</t>
        </is>
      </c>
      <c r="F2782" t="inlineStr">
        <is>
          <t>biosphere</t>
        </is>
      </c>
      <c r="G2782" t="inlineStr">
        <is>
          <t>Electricity-only proxy: source amount / 0.33; 100% burden to electricity, before STEM efficiency adjustment.</t>
        </is>
      </c>
    </row>
    <row r="2783">
      <c r="A2783" t="inlineStr">
        <is>
          <t>Manganese II</t>
        </is>
      </c>
      <c r="B2783">
        <v>5.5653306141658164e-05</v>
      </c>
      <c r="D2783" t="inlineStr">
        <is>
          <t>kilogram</t>
        </is>
      </c>
      <c r="E2783" t="inlineStr">
        <is>
          <t>water::ground-, long-term</t>
        </is>
      </c>
      <c r="F2783" t="inlineStr">
        <is>
          <t>biosphere</t>
        </is>
      </c>
      <c r="G2783" t="inlineStr">
        <is>
          <t>Electricity-only proxy: source amount / 0.33; 100% burden to electricity, before STEM efficiency adjustment.</t>
        </is>
      </c>
    </row>
    <row r="2784">
      <c r="A2784" t="inlineStr">
        <is>
          <t>Manganese II</t>
        </is>
      </c>
      <c r="B2784">
        <v>8.580061181269118e-09</v>
      </c>
      <c r="D2784" t="inlineStr">
        <is>
          <t>kilogram</t>
        </is>
      </c>
      <c r="E2784" t="inlineStr">
        <is>
          <t>water::surface water</t>
        </is>
      </c>
      <c r="F2784" t="inlineStr">
        <is>
          <t>biosphere</t>
        </is>
      </c>
      <c r="G2784" t="inlineStr">
        <is>
          <t>Electricity-only proxy: source amount / 0.33; 100% burden to electricity, before STEM efficiency adjustment.</t>
        </is>
      </c>
    </row>
    <row r="2785">
      <c r="A2785" t="inlineStr">
        <is>
          <t>Mercury II</t>
        </is>
      </c>
      <c r="B2785">
        <v>1.5662404894501529e-07</v>
      </c>
      <c r="D2785" t="inlineStr">
        <is>
          <t>kilogram</t>
        </is>
      </c>
      <c r="E2785" t="inlineStr">
        <is>
          <t>water::ground-, long-term</t>
        </is>
      </c>
      <c r="F2785" t="inlineStr">
        <is>
          <t>biosphere</t>
        </is>
      </c>
      <c r="G2785" t="inlineStr">
        <is>
          <t>Electricity-only proxy: source amount / 0.33; 100% burden to electricity, before STEM efficiency adjustment.</t>
        </is>
      </c>
    </row>
    <row r="2786">
      <c r="A2786" t="inlineStr">
        <is>
          <t>Mercury II</t>
        </is>
      </c>
      <c r="B2786">
        <v>3.968405365126676e-09</v>
      </c>
      <c r="D2786" t="inlineStr">
        <is>
          <t>kilogram</t>
        </is>
      </c>
      <c r="E2786" t="inlineStr">
        <is>
          <t>water::surface water</t>
        </is>
      </c>
      <c r="F2786" t="inlineStr">
        <is>
          <t>biosphere</t>
        </is>
      </c>
      <c r="G2786" t="inlineStr">
        <is>
          <t>Electricity-only proxy: source amount / 0.33; 100% burden to electricity, before STEM efficiency adjustment.</t>
        </is>
      </c>
    </row>
    <row r="2787">
      <c r="A2787" t="inlineStr">
        <is>
          <t>Nickel II</t>
        </is>
      </c>
      <c r="B2787">
        <v>1.7698329280727897e-05</v>
      </c>
      <c r="D2787" t="inlineStr">
        <is>
          <t>kilogram</t>
        </is>
      </c>
      <c r="E2787" t="inlineStr">
        <is>
          <t>water::ground-, long-term</t>
        </is>
      </c>
      <c r="F2787" t="inlineStr">
        <is>
          <t>biosphere</t>
        </is>
      </c>
      <c r="G2787" t="inlineStr">
        <is>
          <t>Electricity-only proxy: source amount / 0.33; 100% burden to electricity, before STEM efficiency adjustment.</t>
        </is>
      </c>
    </row>
    <row r="2788">
      <c r="A2788" t="inlineStr">
        <is>
          <t>Nickel II</t>
        </is>
      </c>
      <c r="B2788">
        <v>1.1991528747352733e-08</v>
      </c>
      <c r="D2788" t="inlineStr">
        <is>
          <t>kilogram</t>
        </is>
      </c>
      <c r="E2788" t="inlineStr">
        <is>
          <t>water::surface water</t>
        </is>
      </c>
      <c r="F2788" t="inlineStr">
        <is>
          <t>biosphere</t>
        </is>
      </c>
      <c r="G2788" t="inlineStr">
        <is>
          <t>Electricity-only proxy: source amount / 0.33; 100% burden to electricity, before STEM efficiency adjustment.</t>
        </is>
      </c>
    </row>
    <row r="2789">
      <c r="A2789" t="inlineStr">
        <is>
          <t>Nitrate</t>
        </is>
      </c>
      <c r="B2789">
        <v>0.00020634088948152794</v>
      </c>
      <c r="D2789" t="inlineStr">
        <is>
          <t>kilogram</t>
        </is>
      </c>
      <c r="E2789" t="inlineStr">
        <is>
          <t>water::ground-, long-term</t>
        </is>
      </c>
      <c r="F2789" t="inlineStr">
        <is>
          <t>biosphere</t>
        </is>
      </c>
      <c r="G2789" t="inlineStr">
        <is>
          <t>Electricity-only proxy: source amount / 0.33; 100% burden to electricity, before STEM efficiency adjustment.</t>
        </is>
      </c>
    </row>
    <row r="2790">
      <c r="A2790" t="inlineStr">
        <is>
          <t>Nitrate</t>
        </is>
      </c>
      <c r="B2790">
        <v>7.391167934739979e-05</v>
      </c>
      <c r="D2790" t="inlineStr">
        <is>
          <t>kilogram</t>
        </is>
      </c>
      <c r="E2790" t="inlineStr">
        <is>
          <t>water::surface water</t>
        </is>
      </c>
      <c r="F2790" t="inlineStr">
        <is>
          <t>biosphere</t>
        </is>
      </c>
      <c r="G2790" t="inlineStr">
        <is>
          <t>Electricity-only proxy: source amount / 0.33; 100% burden to electricity, before STEM efficiency adjustment.</t>
        </is>
      </c>
    </row>
    <row r="2791">
      <c r="A2791" t="inlineStr">
        <is>
          <t>Selenium IV</t>
        </is>
      </c>
      <c r="B2791">
        <v>1.41545219232881e-06</v>
      </c>
      <c r="D2791" t="inlineStr">
        <is>
          <t>kilogram</t>
        </is>
      </c>
      <c r="E2791" t="inlineStr">
        <is>
          <t>water::ground-, long-term</t>
        </is>
      </c>
      <c r="F2791" t="inlineStr">
        <is>
          <t>biosphere</t>
        </is>
      </c>
      <c r="G2791" t="inlineStr">
        <is>
          <t>Electricity-only proxy: source amount / 0.33; 100% burden to electricity, before STEM efficiency adjustment.</t>
        </is>
      </c>
    </row>
    <row r="2792">
      <c r="A2792" t="inlineStr">
        <is>
          <t>Selenium IV</t>
        </is>
      </c>
      <c r="B2792">
        <v>3.674829398384187e-07</v>
      </c>
      <c r="D2792" t="inlineStr">
        <is>
          <t>kilogram</t>
        </is>
      </c>
      <c r="E2792" t="inlineStr">
        <is>
          <t>water::surface water</t>
        </is>
      </c>
      <c r="F2792" t="inlineStr">
        <is>
          <t>biosphere</t>
        </is>
      </c>
      <c r="G2792" t="inlineStr">
        <is>
          <t>Electricity-only proxy: source amount / 0.33; 100% burden to electricity, before STEM efficiency adjustment.</t>
        </is>
      </c>
    </row>
    <row r="2793">
      <c r="A2793" t="inlineStr">
        <is>
          <t>Silicon</t>
        </is>
      </c>
      <c r="B2793">
        <v>0.00032489136402855123</v>
      </c>
      <c r="D2793" t="inlineStr">
        <is>
          <t>kilogram</t>
        </is>
      </c>
      <c r="E2793" t="inlineStr">
        <is>
          <t>water::ground-, long-term</t>
        </is>
      </c>
      <c r="F2793" t="inlineStr">
        <is>
          <t>biosphere</t>
        </is>
      </c>
      <c r="G2793" t="inlineStr">
        <is>
          <t>Electricity-only proxy: source amount / 0.33; 100% burden to electricity, before STEM efficiency adjustment.</t>
        </is>
      </c>
    </row>
    <row r="2794">
      <c r="A2794" t="inlineStr">
        <is>
          <t>Silicon</t>
        </is>
      </c>
      <c r="B2794">
        <v>7.323115538473606e-07</v>
      </c>
      <c r="D2794" t="inlineStr">
        <is>
          <t>kilogram</t>
        </is>
      </c>
      <c r="E2794" t="inlineStr">
        <is>
          <t>water::surface water</t>
        </is>
      </c>
      <c r="F2794" t="inlineStr">
        <is>
          <t>biosphere</t>
        </is>
      </c>
      <c r="G2794" t="inlineStr">
        <is>
          <t>Electricity-only proxy: source amount / 0.33; 100% burden to electricity, before STEM efficiency adjustment.</t>
        </is>
      </c>
    </row>
    <row r="2795">
      <c r="A2795" t="inlineStr">
        <is>
          <t>Sodium I</t>
        </is>
      </c>
      <c r="B2795">
        <v>0.0008424190132559416</v>
      </c>
      <c r="D2795" t="inlineStr">
        <is>
          <t>kilogram</t>
        </is>
      </c>
      <c r="E2795" t="inlineStr">
        <is>
          <t>water::ground-, long-term</t>
        </is>
      </c>
      <c r="F2795" t="inlineStr">
        <is>
          <t>biosphere</t>
        </is>
      </c>
      <c r="G2795" t="inlineStr">
        <is>
          <t>Electricity-only proxy: source amount / 0.33; 100% burden to electricity, before STEM efficiency adjustment.</t>
        </is>
      </c>
    </row>
    <row r="2796">
      <c r="A2796" t="inlineStr">
        <is>
          <t>Sodium I</t>
        </is>
      </c>
      <c r="B2796">
        <v>0.0004236002823750882</v>
      </c>
      <c r="D2796" t="inlineStr">
        <is>
          <t>kilogram</t>
        </is>
      </c>
      <c r="E2796" t="inlineStr">
        <is>
          <t>water::surface water</t>
        </is>
      </c>
      <c r="F2796" t="inlineStr">
        <is>
          <t>biosphere</t>
        </is>
      </c>
      <c r="G2796" t="inlineStr">
        <is>
          <t>Electricity-only proxy: source amount / 0.33; 100% burden to electricity, before STEM efficiency adjustment.</t>
        </is>
      </c>
    </row>
    <row r="2797">
      <c r="A2797" t="inlineStr">
        <is>
          <t>Strontium</t>
        </is>
      </c>
      <c r="B2797">
        <v>7.764656051455015e-05</v>
      </c>
      <c r="D2797" t="inlineStr">
        <is>
          <t>kilogram</t>
        </is>
      </c>
      <c r="E2797" t="inlineStr">
        <is>
          <t>water::ground-, long-term</t>
        </is>
      </c>
      <c r="F2797" t="inlineStr">
        <is>
          <t>biosphere</t>
        </is>
      </c>
      <c r="G2797" t="inlineStr">
        <is>
          <t>Electricity-only proxy: source amount / 0.33; 100% burden to electricity, before STEM efficiency adjustment.</t>
        </is>
      </c>
    </row>
    <row r="2798">
      <c r="A2798" t="inlineStr">
        <is>
          <t>Strontium</t>
        </is>
      </c>
      <c r="B2798">
        <v>5.0817162130363165e-08</v>
      </c>
      <c r="D2798" t="inlineStr">
        <is>
          <t>kilogram</t>
        </is>
      </c>
      <c r="E2798" t="inlineStr">
        <is>
          <t>water::surface water</t>
        </is>
      </c>
      <c r="F2798" t="inlineStr">
        <is>
          <t>biosphere</t>
        </is>
      </c>
      <c r="G2798" t="inlineStr">
        <is>
          <t>Electricity-only proxy: source amount / 0.33; 100% burden to electricity, before STEM efficiency adjustment.</t>
        </is>
      </c>
    </row>
    <row r="2799">
      <c r="A2799" t="inlineStr">
        <is>
          <t>Sulfate</t>
        </is>
      </c>
      <c r="B2799">
        <v>0.003165801239312887</v>
      </c>
      <c r="D2799" t="inlineStr">
        <is>
          <t>kilogram</t>
        </is>
      </c>
      <c r="E2799" t="inlineStr">
        <is>
          <t>water::ground-, long-term</t>
        </is>
      </c>
      <c r="F2799" t="inlineStr">
        <is>
          <t>biosphere</t>
        </is>
      </c>
      <c r="G2799" t="inlineStr">
        <is>
          <t>Electricity-only proxy: source amount / 0.33; 100% burden to electricity, before STEM efficiency adjustment.</t>
        </is>
      </c>
    </row>
    <row r="2800">
      <c r="A2800" t="inlineStr">
        <is>
          <t>Sulfate</t>
        </is>
      </c>
      <c r="B2800">
        <v>0.0005410777315867911</v>
      </c>
      <c r="D2800" t="inlineStr">
        <is>
          <t>kilogram</t>
        </is>
      </c>
      <c r="E2800" t="inlineStr">
        <is>
          <t>water::surface water</t>
        </is>
      </c>
      <c r="F2800" t="inlineStr">
        <is>
          <t>biosphere</t>
        </is>
      </c>
      <c r="G2800" t="inlineStr">
        <is>
          <t>Electricity-only proxy: source amount / 0.33; 100% burden to electricity, before STEM efficiency adjustment.</t>
        </is>
      </c>
    </row>
    <row r="2801">
      <c r="A2801" t="inlineStr">
        <is>
          <t>TOC, Total Organic Carbon</t>
        </is>
      </c>
      <c r="B2801">
        <v>0.001748748921484038</v>
      </c>
      <c r="D2801" t="inlineStr">
        <is>
          <t>kilogram</t>
        </is>
      </c>
      <c r="E2801" t="inlineStr">
        <is>
          <t>water::ground-, long-term</t>
        </is>
      </c>
      <c r="F2801" t="inlineStr">
        <is>
          <t>biosphere</t>
        </is>
      </c>
      <c r="G2801" t="inlineStr">
        <is>
          <t>Electricity-only proxy: source amount / 0.33; 100% burden to electricity, before STEM efficiency adjustment.</t>
        </is>
      </c>
    </row>
    <row r="2802">
      <c r="A2802" t="inlineStr">
        <is>
          <t>TOC, Total Organic Carbon</t>
        </is>
      </c>
      <c r="B2802">
        <v>0.0001977472742960232</v>
      </c>
      <c r="D2802" t="inlineStr">
        <is>
          <t>kilogram</t>
        </is>
      </c>
      <c r="E2802" t="inlineStr">
        <is>
          <t>water::surface water</t>
        </is>
      </c>
      <c r="F2802" t="inlineStr">
        <is>
          <t>biosphere</t>
        </is>
      </c>
      <c r="G2802" t="inlineStr">
        <is>
          <t>Electricity-only proxy: source amount / 0.33; 100% burden to electricity, before STEM efficiency adjustment.</t>
        </is>
      </c>
    </row>
    <row r="2803">
      <c r="A2803" t="inlineStr">
        <is>
          <t>Thallium I</t>
        </is>
      </c>
      <c r="B2803">
        <v>2.6936700917719033e-07</v>
      </c>
      <c r="D2803" t="inlineStr">
        <is>
          <t>kilogram</t>
        </is>
      </c>
      <c r="E2803" t="inlineStr">
        <is>
          <t>water::ground-, long-term</t>
        </is>
      </c>
      <c r="F2803" t="inlineStr">
        <is>
          <t>biosphere</t>
        </is>
      </c>
      <c r="G2803" t="inlineStr">
        <is>
          <t>Electricity-only proxy: source amount / 0.33; 100% burden to electricity, before STEM efficiency adjustment.</t>
        </is>
      </c>
    </row>
    <row r="2804">
      <c r="A2804" t="inlineStr">
        <is>
          <t>Thallium I</t>
        </is>
      </c>
      <c r="B2804">
        <v>2.496289905090595e-10</v>
      </c>
      <c r="D2804" t="inlineStr">
        <is>
          <t>kilogram</t>
        </is>
      </c>
      <c r="E2804" t="inlineStr">
        <is>
          <t>water::surface water</t>
        </is>
      </c>
      <c r="F2804" t="inlineStr">
        <is>
          <t>biosphere</t>
        </is>
      </c>
      <c r="G2804" t="inlineStr">
        <is>
          <t>Electricity-only proxy: source amount / 0.33; 100% burden to electricity, before STEM efficiency adjustment.</t>
        </is>
      </c>
    </row>
    <row r="2805">
      <c r="A2805" t="inlineStr">
        <is>
          <t>Tin ion</t>
        </is>
      </c>
      <c r="B2805">
        <v>1.527555102360969e-05</v>
      </c>
      <c r="D2805" t="inlineStr">
        <is>
          <t>kilogram</t>
        </is>
      </c>
      <c r="E2805" t="inlineStr">
        <is>
          <t>water::ground-, long-term</t>
        </is>
      </c>
      <c r="F2805" t="inlineStr">
        <is>
          <t>biosphere</t>
        </is>
      </c>
      <c r="G2805" t="inlineStr">
        <is>
          <t>Electricity-only proxy: source amount / 0.33; 100% burden to electricity, before STEM efficiency adjustment.</t>
        </is>
      </c>
    </row>
    <row r="2806">
      <c r="A2806" t="inlineStr">
        <is>
          <t>Tin ion</t>
        </is>
      </c>
      <c r="B2806">
        <v>2.0805396501686405e-08</v>
      </c>
      <c r="D2806" t="inlineStr">
        <is>
          <t>kilogram</t>
        </is>
      </c>
      <c r="E2806" t="inlineStr">
        <is>
          <t>water::surface water</t>
        </is>
      </c>
      <c r="F2806" t="inlineStr">
        <is>
          <t>biosphere</t>
        </is>
      </c>
      <c r="G2806" t="inlineStr">
        <is>
          <t>Electricity-only proxy: source amount / 0.33; 100% burden to electricity, before STEM efficiency adjustment.</t>
        </is>
      </c>
    </row>
    <row r="2807">
      <c r="A2807" t="inlineStr">
        <is>
          <t>Titanium ion</t>
        </is>
      </c>
      <c r="B2807">
        <v>0.00026284414463879517</v>
      </c>
      <c r="D2807" t="inlineStr">
        <is>
          <t>kilogram</t>
        </is>
      </c>
      <c r="E2807" t="inlineStr">
        <is>
          <t>water::ground-, long-term</t>
        </is>
      </c>
      <c r="F2807" t="inlineStr">
        <is>
          <t>biosphere</t>
        </is>
      </c>
      <c r="G2807" t="inlineStr">
        <is>
          <t>Electricity-only proxy: source amount / 0.33; 100% burden to electricity, before STEM efficiency adjustment.</t>
        </is>
      </c>
    </row>
    <row r="2808">
      <c r="A2808" t="inlineStr">
        <is>
          <t>Titanium ion</t>
        </is>
      </c>
      <c r="B2808">
        <v>1.7880931837791197e-07</v>
      </c>
      <c r="D2808" t="inlineStr">
        <is>
          <t>kilogram</t>
        </is>
      </c>
      <c r="E2808" t="inlineStr">
        <is>
          <t>water::surface water</t>
        </is>
      </c>
      <c r="F2808" t="inlineStr">
        <is>
          <t>biosphere</t>
        </is>
      </c>
      <c r="G2808" t="inlineStr">
        <is>
          <t>Electricity-only proxy: source amount / 0.33; 100% burden to electricity, before STEM efficiency adjustment.</t>
        </is>
      </c>
    </row>
    <row r="2809">
      <c r="A2809" t="inlineStr">
        <is>
          <t>Vanadium V</t>
        </is>
      </c>
      <c r="B2809">
        <v>7.464961957800611e-05</v>
      </c>
      <c r="D2809" t="inlineStr">
        <is>
          <t>kilogram</t>
        </is>
      </c>
      <c r="E2809" t="inlineStr">
        <is>
          <t>water::ground-, long-term</t>
        </is>
      </c>
      <c r="F2809" t="inlineStr">
        <is>
          <t>biosphere</t>
        </is>
      </c>
      <c r="G2809" t="inlineStr">
        <is>
          <t>Electricity-only proxy: source amount / 0.33; 100% burden to electricity, before STEM efficiency adjustment.</t>
        </is>
      </c>
    </row>
    <row r="2810">
      <c r="A2810" t="inlineStr">
        <is>
          <t>Vanadium V</t>
        </is>
      </c>
      <c r="B2810">
        <v>2.944325045101576e-07</v>
      </c>
      <c r="D2810" t="inlineStr">
        <is>
          <t>kilogram</t>
        </is>
      </c>
      <c r="E2810" t="inlineStr">
        <is>
          <t>water::surface water</t>
        </is>
      </c>
      <c r="F2810" t="inlineStr">
        <is>
          <t>biosphere</t>
        </is>
      </c>
      <c r="G2810" t="inlineStr">
        <is>
          <t>Electricity-only proxy: source amount / 0.33; 100% burden to electricity, before STEM efficiency adjustment.</t>
        </is>
      </c>
    </row>
    <row r="2811">
      <c r="A2811" t="inlineStr">
        <is>
          <t>Water</t>
        </is>
      </c>
      <c r="B2811">
        <v>0.0011855885167464113</v>
      </c>
      <c r="D2811" t="inlineStr">
        <is>
          <t>cubic meter</t>
        </is>
      </c>
      <c r="E2811" t="inlineStr">
        <is>
          <t>water::surface water</t>
        </is>
      </c>
      <c r="F2811" t="inlineStr">
        <is>
          <t>biosphere</t>
        </is>
      </c>
      <c r="G2811" t="inlineStr">
        <is>
          <t>Electricity-only proxy: source amount / 0.33; 100% burden to electricity, before STEM efficiency adjustment.</t>
        </is>
      </c>
    </row>
    <row r="2812">
      <c r="A2812" t="inlineStr">
        <is>
          <t>Zinc II</t>
        </is>
      </c>
      <c r="B2812">
        <v>0.00022048788140246293</v>
      </c>
      <c r="D2812" t="inlineStr">
        <is>
          <t>kilogram</t>
        </is>
      </c>
      <c r="E2812" t="inlineStr">
        <is>
          <t>water::ground-, long-term</t>
        </is>
      </c>
      <c r="F2812" t="inlineStr">
        <is>
          <t>biosphere</t>
        </is>
      </c>
      <c r="G2812" t="inlineStr">
        <is>
          <t>Electricity-only proxy: source amount / 0.33; 100% burden to electricity, before STEM efficiency adjustment.</t>
        </is>
      </c>
    </row>
    <row r="2813">
      <c r="A2813" t="inlineStr">
        <is>
          <t>Zinc II</t>
        </is>
      </c>
      <c r="B2813">
        <v>2.999764687426465e-08</v>
      </c>
      <c r="D2813" t="inlineStr">
        <is>
          <t>kilogram</t>
        </is>
      </c>
      <c r="E2813" t="inlineStr">
        <is>
          <t>water::surface water</t>
        </is>
      </c>
      <c r="F2813" t="inlineStr">
        <is>
          <t>biosphere</t>
        </is>
      </c>
      <c r="G2813" t="inlineStr">
        <is>
          <t>Electricity-only proxy: source amount / 0.33; 100% burden to electricity, before STEM efficiency adjustment.</t>
        </is>
      </c>
    </row>
    <row r="2814">
      <c r="A2814" t="inlineStr">
        <is>
          <t>Oxygen</t>
        </is>
      </c>
      <c r="B2814">
        <v>2.333453604204251</v>
      </c>
      <c r="D2814" t="inlineStr">
        <is>
          <t>kilogram</t>
        </is>
      </c>
      <c r="E2814" t="inlineStr">
        <is>
          <t>natural resource::in air</t>
        </is>
      </c>
      <c r="F2814" t="inlineStr">
        <is>
          <t>biosphere</t>
        </is>
      </c>
      <c r="G2814" t="inlineStr">
        <is>
          <t>Electricity-only proxy: source amount / 0.33; 100% burden to electricity, before STEM efficiency adjustment.</t>
        </is>
      </c>
    </row>
    <row r="2815">
      <c r="A2815" t="inlineStr">
        <is>
          <t>Oil, crude</t>
        </is>
      </c>
      <c r="B2815">
        <v>0.6493506493506493</v>
      </c>
      <c r="D2815" t="inlineStr">
        <is>
          <t>kilogram</t>
        </is>
      </c>
      <c r="E2815" t="inlineStr">
        <is>
          <t>natural resource::in ground</t>
        </is>
      </c>
      <c r="F2815" t="inlineStr">
        <is>
          <t>biosphere</t>
        </is>
      </c>
      <c r="G2815" t="inlineStr">
        <is>
          <t>Plastic waste energy input. 9.3 MJ waste/MJ Electricity-only proxy: source amount / 0.33; 100% burden to electricity, before STEM efficiency adjustment.</t>
        </is>
      </c>
    </row>
    <row r="2816"/>
    <row r="2817"/>
    <row r="2818">
      <c r="A2818" t="inlineStr">
        <is>
          <t>Activity</t>
        </is>
      </c>
      <c r="B2818" t="inlineStr">
        <is>
          <t>electricity production, from incineration of plastic waste mixture, electricity only, post, pipeline 200km, storage 1000m</t>
        </is>
      </c>
    </row>
    <row r="2819">
      <c r="A2819" t="inlineStr">
        <is>
          <t>location</t>
        </is>
      </c>
      <c r="B2819" t="inlineStr">
        <is>
          <t>CH</t>
        </is>
      </c>
    </row>
    <row r="2820">
      <c r="A2820" t="inlineStr">
        <is>
          <t>production amount</t>
        </is>
      </c>
      <c r="B2820">
        <v>1</v>
      </c>
    </row>
    <row r="2821">
      <c r="A2821" t="inlineStr">
        <is>
          <t>comment</t>
        </is>
      </c>
      <c r="B2821" t="inlineStr">
        <is>
          <t>Electricity-only proxy derived from 'electricity production, at co-generation plastic waste-fired power plant, post, pipeline 200km, storage 1000m'. All energy-production burdens assigned to electricity: divide non-production exchanges by the source electricity allocation factor 0.33. No useful heat coproduct. Retain the source's declared physical electrical efficiency before applying the matching absolute STEM efficiency. CCS capture and storage, residual emissions and biomass uptake retain their source ratios. Source documentation: Grossly adapted from Volkart et al. 2013 to ecoinvent CHP datasets. 90% CO2 capture efficiency. Added 10% energy penalty based on Volkart et al. 2013.</t>
        </is>
      </c>
    </row>
    <row r="2822">
      <c r="A2822" t="inlineStr">
        <is>
          <t>reference product</t>
        </is>
      </c>
      <c r="B2822" t="inlineStr">
        <is>
          <t>electricity, from incineration of plastic waste mixture, electricity only, with CCS</t>
        </is>
      </c>
    </row>
    <row r="2823">
      <c r="A2823" t="inlineStr">
        <is>
          <t>type</t>
        </is>
      </c>
      <c r="B2823" t="inlineStr">
        <is>
          <t>process</t>
        </is>
      </c>
    </row>
    <row r="2824">
      <c r="A2824" t="inlineStr">
        <is>
          <t>current efficiency</t>
        </is>
      </c>
      <c r="B2824">
        <v>0.10989</v>
      </c>
    </row>
    <row r="2825">
      <c r="A2825" t="inlineStr">
        <is>
          <t>unit</t>
        </is>
      </c>
      <c r="B2825" t="inlineStr">
        <is>
          <t>kilowatt hour</t>
        </is>
      </c>
    </row>
    <row r="2826">
      <c r="A2826" t="inlineStr">
        <is>
          <t>Exchanges</t>
        </is>
      </c>
    </row>
    <row r="2827">
      <c r="A2827" t="inlineStr">
        <is>
          <t>name</t>
        </is>
      </c>
      <c r="B2827" t="inlineStr">
        <is>
          <t>amount</t>
        </is>
      </c>
      <c r="C2827" t="inlineStr">
        <is>
          <t>location</t>
        </is>
      </c>
      <c r="D2827" t="inlineStr">
        <is>
          <t>unit</t>
        </is>
      </c>
      <c r="E2827" t="inlineStr">
        <is>
          <t>categories</t>
        </is>
      </c>
      <c r="F2827" t="inlineStr">
        <is>
          <t>type</t>
        </is>
      </c>
      <c r="G2827" t="inlineStr">
        <is>
          <t>comment</t>
        </is>
      </c>
      <c r="H2827" t="inlineStr">
        <is>
          <t>reference product</t>
        </is>
      </c>
    </row>
    <row r="2828">
      <c r="A2828" t="inlineStr">
        <is>
          <t>electricity production, from incineration of plastic waste mixture, electricity only, post, pipeline 200km, storage 1000m</t>
        </is>
      </c>
      <c r="B2828">
        <v>1</v>
      </c>
      <c r="C2828" t="inlineStr">
        <is>
          <t>CH</t>
        </is>
      </c>
      <c r="D2828" t="inlineStr">
        <is>
          <t>kilowatt hour</t>
        </is>
      </c>
      <c r="F2828" t="inlineStr">
        <is>
          <t>production</t>
        </is>
      </c>
      <c r="G2828" t="inlineStr">
        <is>
          <t/>
        </is>
      </c>
      <c r="H2828" t="inlineStr">
        <is>
          <t>electricity, from incineration of plastic waste mixture, electricity only, with CCS</t>
        </is>
      </c>
    </row>
    <row r="2829">
      <c r="A2829" t="inlineStr">
        <is>
          <t>market for ammonia, anhydrous, liquid</t>
        </is>
      </c>
      <c r="B2829">
        <v>0.0015239689387402933</v>
      </c>
      <c r="C2829" t="inlineStr">
        <is>
          <t>RER</t>
        </is>
      </c>
      <c r="D2829" t="inlineStr">
        <is>
          <t>kilogram</t>
        </is>
      </c>
      <c r="F2829" t="inlineStr">
        <is>
          <t>technosphere</t>
        </is>
      </c>
      <c r="G2829" t="inlineStr">
        <is>
          <t>Electricity-only proxy: source amount / 0.33; 100% burden to electricity, before STEM efficiency adjustment.</t>
        </is>
      </c>
      <c r="H2829" t="inlineStr">
        <is>
          <t>ammonia, anhydrous, liquid</t>
        </is>
      </c>
    </row>
    <row r="2830">
      <c r="A2830" t="inlineStr">
        <is>
          <t>market for cationic resin</t>
        </is>
      </c>
      <c r="B2830">
        <v>4.157756686798965e-06</v>
      </c>
      <c r="C2830" t="inlineStr">
        <is>
          <t>RER</t>
        </is>
      </c>
      <c r="D2830" t="inlineStr">
        <is>
          <t>kilogram</t>
        </is>
      </c>
      <c r="F2830" t="inlineStr">
        <is>
          <t>technosphere</t>
        </is>
      </c>
      <c r="G2830" t="inlineStr">
        <is>
          <t>Electricity-only proxy: source amount / 0.33; 100% burden to electricity, before STEM efficiency adjustment.</t>
        </is>
      </c>
      <c r="H2830" t="inlineStr">
        <is>
          <t>cationic resin</t>
        </is>
      </c>
    </row>
    <row r="2831">
      <c r="A2831" t="inlineStr">
        <is>
          <t>market for cement, unspecified</t>
        </is>
      </c>
      <c r="B2831">
        <v>0.0034775150992234685</v>
      </c>
      <c r="C2831" t="inlineStr">
        <is>
          <t>CH</t>
        </is>
      </c>
      <c r="D2831" t="inlineStr">
        <is>
          <t>kilogram</t>
        </is>
      </c>
      <c r="F2831" t="inlineStr">
        <is>
          <t>technosphere</t>
        </is>
      </c>
      <c r="G2831" t="inlineStr">
        <is>
          <t>Electricity-only proxy: source amount / 0.33; 100% burden to electricity, before STEM efficiency adjustment.</t>
        </is>
      </c>
      <c r="H2831" t="inlineStr">
        <is>
          <t>cement, unspecified</t>
        </is>
      </c>
    </row>
    <row r="2832">
      <c r="A2832" t="inlineStr">
        <is>
          <t>market for chemical, inorganic</t>
        </is>
      </c>
      <c r="B2832">
        <v>0.00032105953408110443</v>
      </c>
      <c r="C2832" t="inlineStr">
        <is>
          <t>GLO</t>
        </is>
      </c>
      <c r="D2832" t="inlineStr">
        <is>
          <t>kilogram</t>
        </is>
      </c>
      <c r="F2832" t="inlineStr">
        <is>
          <t>technosphere</t>
        </is>
      </c>
      <c r="G2832" t="inlineStr">
        <is>
          <t>Electricity-only proxy: source amount / 0.33; 100% burden to electricity, before STEM efficiency adjustment.</t>
        </is>
      </c>
      <c r="H2832" t="inlineStr">
        <is>
          <t>chemical, inorganic</t>
        </is>
      </c>
    </row>
    <row r="2833">
      <c r="A2833" t="inlineStr">
        <is>
          <t>market for chemical, organic</t>
        </is>
      </c>
      <c r="B2833">
        <v>1.8412079378774806e-05</v>
      </c>
      <c r="C2833" t="inlineStr">
        <is>
          <t>GLO</t>
        </is>
      </c>
      <c r="D2833" t="inlineStr">
        <is>
          <t>kilogram</t>
        </is>
      </c>
      <c r="F2833" t="inlineStr">
        <is>
          <t>technosphere</t>
        </is>
      </c>
      <c r="G2833" t="inlineStr">
        <is>
          <t>Electricity-only proxy: source amount / 0.33; 100% burden to electricity, before STEM efficiency adjustment.</t>
        </is>
      </c>
      <c r="H2833" t="inlineStr">
        <is>
          <t>chemical, organic</t>
        </is>
      </c>
    </row>
    <row r="2834">
      <c r="A2834" t="inlineStr">
        <is>
          <t>market for chromium trioxide, flakes</t>
        </is>
      </c>
      <c r="B2834">
        <v>1.948472821397757e-06</v>
      </c>
      <c r="C2834" t="inlineStr">
        <is>
          <t>GLO</t>
        </is>
      </c>
      <c r="D2834" t="inlineStr">
        <is>
          <t>kilogram</t>
        </is>
      </c>
      <c r="F2834" t="inlineStr">
        <is>
          <t>technosphere</t>
        </is>
      </c>
      <c r="G2834" t="inlineStr">
        <is>
          <t>Electricity-only proxy: source amount / 0.33; 100% burden to electricity, before STEM efficiency adjustment.</t>
        </is>
      </c>
      <c r="H2834" t="inlineStr">
        <is>
          <t>chromium trioxide, flakes</t>
        </is>
      </c>
    </row>
    <row r="2835">
      <c r="A2835" t="inlineStr">
        <is>
          <t>market for heat, district or industrial, natural gas</t>
        </is>
      </c>
      <c r="B2835">
        <v>0.28497670405522</v>
      </c>
      <c r="C2835" t="inlineStr">
        <is>
          <t>CH</t>
        </is>
      </c>
      <c r="D2835" t="inlineStr">
        <is>
          <t>megajoule</t>
        </is>
      </c>
      <c r="F2835" t="inlineStr">
        <is>
          <t>technosphere</t>
        </is>
      </c>
      <c r="G2835" t="inlineStr">
        <is>
          <t>Electricity-only proxy: source amount / 0.33; 100% burden to electricity, before STEM efficiency adjustment.</t>
        </is>
      </c>
      <c r="H2835" t="inlineStr">
        <is>
          <t>heat, district or industrial, natural gas</t>
        </is>
      </c>
    </row>
    <row r="2836">
      <c r="A2836" t="inlineStr">
        <is>
          <t>market for hydrochloric acid, without water, in 30% solution state</t>
        </is>
      </c>
      <c r="B2836">
        <v>0.0003123623813632442</v>
      </c>
      <c r="C2836" t="inlineStr">
        <is>
          <t>RER</t>
        </is>
      </c>
      <c r="D2836" t="inlineStr">
        <is>
          <t>kilogram</t>
        </is>
      </c>
      <c r="F2836" t="inlineStr">
        <is>
          <t>technosphere</t>
        </is>
      </c>
      <c r="G2836" t="inlineStr">
        <is>
          <t>Electricity-only proxy: source amount / 0.33; 100% burden to electricity, before STEM efficiency adjustment.</t>
        </is>
      </c>
      <c r="H2836" t="inlineStr">
        <is>
          <t>hydrochloric acid, without water, in 30% solution state</t>
        </is>
      </c>
    </row>
    <row r="2837">
      <c r="A2837" t="inlineStr">
        <is>
          <t>market for hydrogen peroxide, without water, in 50% solution state</t>
        </is>
      </c>
      <c r="B2837">
        <v>0.0005802450388265746</v>
      </c>
      <c r="C2837" t="inlineStr">
        <is>
          <t>RER</t>
        </is>
      </c>
      <c r="D2837" t="inlineStr">
        <is>
          <t>kilogram</t>
        </is>
      </c>
      <c r="F2837" t="inlineStr">
        <is>
          <t>technosphere</t>
        </is>
      </c>
      <c r="G2837" t="inlineStr">
        <is>
          <t>Electricity-only proxy: source amount / 0.33; 100% burden to electricity, before STEM efficiency adjustment.</t>
        </is>
      </c>
      <c r="H2837" t="inlineStr">
        <is>
          <t>hydrogen peroxide, without water, in 50% solution state</t>
        </is>
      </c>
    </row>
    <row r="2838">
      <c r="A2838" t="inlineStr">
        <is>
          <t>market for iron(III) chloride, without water, in 40% solution state</t>
        </is>
      </c>
      <c r="B2838">
        <v>5.037204486626402e-05</v>
      </c>
      <c r="C2838" t="inlineStr">
        <is>
          <t>GLO</t>
        </is>
      </c>
      <c r="D2838" t="inlineStr">
        <is>
          <t>kilogram</t>
        </is>
      </c>
      <c r="F2838" t="inlineStr">
        <is>
          <t>technosphere</t>
        </is>
      </c>
      <c r="G2838" t="inlineStr">
        <is>
          <t>Electricity-only proxy: source amount / 0.33; 100% burden to electricity, before STEM efficiency adjustment.</t>
        </is>
      </c>
      <c r="H2838" t="inlineStr">
        <is>
          <t>iron(III) chloride, without water, in 40% solution state</t>
        </is>
      </c>
    </row>
    <row r="2839">
      <c r="A2839" t="inlineStr">
        <is>
          <t>metalliferous hydroxide sludge, Recycled Content cut-off</t>
        </is>
      </c>
      <c r="B2839">
        <v>-0.0046576358930112164</v>
      </c>
      <c r="C2839" t="inlineStr">
        <is>
          <t>GLO</t>
        </is>
      </c>
      <c r="D2839" t="inlineStr">
        <is>
          <t>kilogram</t>
        </is>
      </c>
      <c r="F2839" t="inlineStr">
        <is>
          <t>technosphere</t>
        </is>
      </c>
      <c r="G2839" t="inlineStr">
        <is>
          <t>Electricity-only proxy: source amount / 0.33; 100% burden to electricity, before STEM efficiency adjustment.</t>
        </is>
      </c>
      <c r="H2839" t="inlineStr">
        <is>
          <t>metalliferous hydroxide sludge</t>
        </is>
      </c>
    </row>
    <row r="2840">
      <c r="A2840" t="inlineStr">
        <is>
          <t>municipal waste incineration facility construction</t>
        </is>
      </c>
      <c r="B2840">
        <v>2.5884383088869716e-10</v>
      </c>
      <c r="C2840" t="inlineStr">
        <is>
          <t>CH</t>
        </is>
      </c>
      <c r="D2840" t="inlineStr">
        <is>
          <t>unit</t>
        </is>
      </c>
      <c r="F2840" t="inlineStr">
        <is>
          <t>technosphere</t>
        </is>
      </c>
      <c r="G2840" t="inlineStr">
        <is>
          <t>Electricity-only proxy: source amount / 0.33; 100% burden to electricity, before STEM efficiency adjustment.</t>
        </is>
      </c>
      <c r="H2840" t="inlineStr">
        <is>
          <t>municipal waste incineration facility</t>
        </is>
      </c>
    </row>
    <row r="2841">
      <c r="A2841" t="inlineStr">
        <is>
          <t>process-specific burdens, residual material landfill</t>
        </is>
      </c>
      <c r="B2841">
        <v>0.017333218291630714</v>
      </c>
      <c r="C2841" t="inlineStr">
        <is>
          <t>CH</t>
        </is>
      </c>
      <c r="D2841" t="inlineStr">
        <is>
          <t>kilogram</t>
        </is>
      </c>
      <c r="F2841" t="inlineStr">
        <is>
          <t>technosphere</t>
        </is>
      </c>
      <c r="G2841" t="inlineStr">
        <is>
          <t>Electricity-only proxy: source amount / 0.33; 100% burden to electricity, before STEM efficiency adjustment.</t>
        </is>
      </c>
      <c r="H2841" t="inlineStr">
        <is>
          <t>process-specific burdens, residual material landfill</t>
        </is>
      </c>
    </row>
    <row r="2842">
      <c r="A2842" t="inlineStr">
        <is>
          <t>process-specific burdens, slag landfill</t>
        </is>
      </c>
      <c r="B2842">
        <v>0.027510957722174285</v>
      </c>
      <c r="C2842" t="inlineStr">
        <is>
          <t>CH</t>
        </is>
      </c>
      <c r="D2842" t="inlineStr">
        <is>
          <t>kilogram</t>
        </is>
      </c>
      <c r="F2842" t="inlineStr">
        <is>
          <t>technosphere</t>
        </is>
      </c>
      <c r="G2842" t="inlineStr">
        <is>
          <t>Electricity-only proxy: source amount / 0.33; 100% burden to electricity, before STEM efficiency adjustment.</t>
        </is>
      </c>
      <c r="H2842" t="inlineStr">
        <is>
          <t>process-specific burdens, slag landfill</t>
        </is>
      </c>
    </row>
    <row r="2843">
      <c r="A2843" t="inlineStr">
        <is>
          <t>market for quicklime, milled, packed</t>
        </is>
      </c>
      <c r="B2843">
        <v>0.00968541846419327</v>
      </c>
      <c r="C2843" t="inlineStr">
        <is>
          <t>RER</t>
        </is>
      </c>
      <c r="D2843" t="inlineStr">
        <is>
          <t>kilogram</t>
        </is>
      </c>
      <c r="F2843" t="inlineStr">
        <is>
          <t>technosphere</t>
        </is>
      </c>
      <c r="G2843" t="inlineStr">
        <is>
          <t>Electricity-only proxy: source amount / 0.33; 100% burden to electricity, before STEM efficiency adjustment.</t>
        </is>
      </c>
      <c r="H2843" t="inlineStr">
        <is>
          <t>quicklime, milled, packed</t>
        </is>
      </c>
    </row>
    <row r="2844">
      <c r="A2844" t="inlineStr">
        <is>
          <t>residual material landfill construction</t>
        </is>
      </c>
      <c r="B2844">
        <v>3.611078515962036e-11</v>
      </c>
      <c r="C2844" t="inlineStr">
        <is>
          <t>CH</t>
        </is>
      </c>
      <c r="D2844" t="inlineStr">
        <is>
          <t>unit</t>
        </is>
      </c>
      <c r="F2844" t="inlineStr">
        <is>
          <t>technosphere</t>
        </is>
      </c>
      <c r="G2844" t="inlineStr">
        <is>
          <t>Electricity-only proxy: source amount / 0.33; 100% burden to electricity, before STEM efficiency adjustment.</t>
        </is>
      </c>
      <c r="H2844" t="inlineStr">
        <is>
          <t>residual material landfill</t>
        </is>
      </c>
    </row>
    <row r="2845">
      <c r="A2845" t="inlineStr">
        <is>
          <t>slag landfill construction</t>
        </is>
      </c>
      <c r="B2845">
        <v>4.890802415875755e-11</v>
      </c>
      <c r="C2845" t="inlineStr">
        <is>
          <t>CH</t>
        </is>
      </c>
      <c r="D2845" t="inlineStr">
        <is>
          <t>unit</t>
        </is>
      </c>
      <c r="F2845" t="inlineStr">
        <is>
          <t>technosphere</t>
        </is>
      </c>
      <c r="G2845" t="inlineStr">
        <is>
          <t>Electricity-only proxy: source amount / 0.33; 100% burden to electricity, before STEM efficiency adjustment.</t>
        </is>
      </c>
      <c r="H2845" t="inlineStr">
        <is>
          <t>slag landfill</t>
        </is>
      </c>
    </row>
    <row r="2846">
      <c r="A2846" t="inlineStr">
        <is>
          <t>market for sodium hydroxide, without water, in 50% solution state</t>
        </is>
      </c>
      <c r="B2846">
        <v>0.002582122519413287</v>
      </c>
      <c r="C2846" t="inlineStr">
        <is>
          <t>RoW</t>
        </is>
      </c>
      <c r="D2846" t="inlineStr">
        <is>
          <t>kilogram</t>
        </is>
      </c>
      <c r="F2846" t="inlineStr">
        <is>
          <t>technosphere</t>
        </is>
      </c>
      <c r="G2846" t="inlineStr">
        <is>
          <t>Electricity-only proxy: source amount / 0.33; 100% burden to electricity, before STEM efficiency adjustment.</t>
        </is>
      </c>
      <c r="H2846" t="inlineStr">
        <is>
          <t>sodium hydroxide, without water, in 50% solution state</t>
        </is>
      </c>
    </row>
    <row r="2847">
      <c r="A2847" t="inlineStr">
        <is>
          <t>market for spent activated carbon with mercury</t>
        </is>
      </c>
      <c r="B2847">
        <v>-4.376635030198446e-06</v>
      </c>
      <c r="C2847" t="inlineStr">
        <is>
          <t>GLO</t>
        </is>
      </c>
      <c r="D2847" t="inlineStr">
        <is>
          <t>kilogram</t>
        </is>
      </c>
      <c r="F2847" t="inlineStr">
        <is>
          <t>technosphere</t>
        </is>
      </c>
      <c r="G2847" t="inlineStr">
        <is>
          <t>Electricity-only proxy: source amount / 0.33; 100% burden to electricity, before STEM efficiency adjustment.</t>
        </is>
      </c>
      <c r="H2847" t="inlineStr">
        <is>
          <t>spent activated carbon with mercury</t>
        </is>
      </c>
    </row>
    <row r="2848">
      <c r="A2848" t="inlineStr">
        <is>
          <t>market for titanium dioxide</t>
        </is>
      </c>
      <c r="B2848">
        <v>9.547713546160483e-05</v>
      </c>
      <c r="C2848" t="inlineStr">
        <is>
          <t>RER</t>
        </is>
      </c>
      <c r="D2848" t="inlineStr">
        <is>
          <t>kilogram</t>
        </is>
      </c>
      <c r="F2848" t="inlineStr">
        <is>
          <t>technosphere</t>
        </is>
      </c>
      <c r="G2848" t="inlineStr">
        <is>
          <t>Electricity-only proxy: source amount / 0.33; 100% burden to electricity, before STEM efficiency adjustment.</t>
        </is>
      </c>
      <c r="H2848" t="inlineStr">
        <is>
          <t>titanium dioxide</t>
        </is>
      </c>
    </row>
    <row r="2849">
      <c r="A2849" t="inlineStr">
        <is>
          <t>market for transport, freight, lorry, unspecified</t>
        </is>
      </c>
      <c r="B2849">
        <v>0.001631544434857636</v>
      </c>
      <c r="C2849" t="inlineStr">
        <is>
          <t>RER</t>
        </is>
      </c>
      <c r="D2849" t="inlineStr">
        <is>
          <t>ton kilometer</t>
        </is>
      </c>
      <c r="F2849" t="inlineStr">
        <is>
          <t>technosphere</t>
        </is>
      </c>
      <c r="G2849" t="inlineStr">
        <is>
          <t>Electricity-only proxy: source amount / 0.33; 100% burden to electricity, before STEM efficiency adjustment.</t>
        </is>
      </c>
      <c r="H2849" t="inlineStr">
        <is>
          <t>transport, freight, lorry, unspecified</t>
        </is>
      </c>
    </row>
    <row r="2850">
      <c r="A2850" t="inlineStr">
        <is>
          <t>market for waste cement, hydrated</t>
        </is>
      </c>
      <c r="B2850">
        <v>-0.008693839516824849</v>
      </c>
      <c r="C2850" t="inlineStr">
        <is>
          <t>CH</t>
        </is>
      </c>
      <c r="D2850" t="inlineStr">
        <is>
          <t>kilogram</t>
        </is>
      </c>
      <c r="F2850" t="inlineStr">
        <is>
          <t>technosphere</t>
        </is>
      </c>
      <c r="G2850" t="inlineStr">
        <is>
          <t>Electricity-only proxy: source amount / 0.33; 100% burden to electricity, before STEM efficiency adjustment.</t>
        </is>
      </c>
      <c r="H2850" t="inlineStr">
        <is>
          <t>waste cement, hydrated</t>
        </is>
      </c>
    </row>
    <row r="2851">
      <c r="A2851" t="inlineStr">
        <is>
          <t>market for water, decarbonised</t>
        </is>
      </c>
      <c r="B2851">
        <v>3.806143226919758</v>
      </c>
      <c r="C2851" t="inlineStr">
        <is>
          <t>CH</t>
        </is>
      </c>
      <c r="D2851" t="inlineStr">
        <is>
          <t>kilogram</t>
        </is>
      </c>
      <c r="F2851" t="inlineStr">
        <is>
          <t>technosphere</t>
        </is>
      </c>
      <c r="G2851" t="inlineStr">
        <is>
          <t>Electricity-only proxy: source amount / 0.33; 100% burden to electricity, before STEM efficiency adjustment.</t>
        </is>
      </c>
      <c r="H2851" t="inlineStr">
        <is>
          <t>water, decarbonised</t>
        </is>
      </c>
    </row>
    <row r="2852">
      <c r="A2852" t="inlineStr">
        <is>
          <t>Aluminium III</t>
        </is>
      </c>
      <c r="B2852">
        <v>1.5754270923209663e-10</v>
      </c>
      <c r="D2852" t="inlineStr">
        <is>
          <t>kilogram</t>
        </is>
      </c>
      <c r="E2852" t="inlineStr">
        <is>
          <t>air::urban air close to ground</t>
        </is>
      </c>
      <c r="F2852" t="inlineStr">
        <is>
          <t>biosphere</t>
        </is>
      </c>
      <c r="G2852" t="inlineStr">
        <is>
          <t>Electricity-only proxy: source amount / 0.33; 100% burden to electricity, before STEM efficiency adjustment.</t>
        </is>
      </c>
    </row>
    <row r="2853">
      <c r="A2853" t="inlineStr">
        <is>
          <t>Ammonia</t>
        </is>
      </c>
      <c r="B2853">
        <v>1.7917169974115615e-06</v>
      </c>
      <c r="D2853" t="inlineStr">
        <is>
          <t>kilogram</t>
        </is>
      </c>
      <c r="E2853" t="inlineStr">
        <is>
          <t>air::urban air close to ground</t>
        </is>
      </c>
      <c r="F2853" t="inlineStr">
        <is>
          <t>biosphere</t>
        </is>
      </c>
      <c r="G2853" t="inlineStr">
        <is>
          <t>Electricity-only proxy: source amount / 0.33; 100% burden to electricity, before STEM efficiency adjustment.</t>
        </is>
      </c>
    </row>
    <row r="2854">
      <c r="A2854" t="inlineStr">
        <is>
          <t>Antimony ion</t>
        </is>
      </c>
      <c r="B2854">
        <v>3.325314926660915e-11</v>
      </c>
      <c r="D2854" t="inlineStr">
        <is>
          <t>kilogram</t>
        </is>
      </c>
      <c r="E2854" t="inlineStr">
        <is>
          <t>air::urban air close to ground</t>
        </is>
      </c>
      <c r="F2854" t="inlineStr">
        <is>
          <t>biosphere</t>
        </is>
      </c>
      <c r="G2854" t="inlineStr">
        <is>
          <t>Electricity-only proxy: source amount / 0.33; 100% burden to electricity, before STEM efficiency adjustment.</t>
        </is>
      </c>
    </row>
    <row r="2855">
      <c r="A2855" t="inlineStr">
        <is>
          <t>Arsenic ion</t>
        </is>
      </c>
      <c r="B2855">
        <v>1.4379292493528903e-08</v>
      </c>
      <c r="D2855" t="inlineStr">
        <is>
          <t>kilogram</t>
        </is>
      </c>
      <c r="E2855" t="inlineStr">
        <is>
          <t>air::urban air close to ground</t>
        </is>
      </c>
      <c r="F2855" t="inlineStr">
        <is>
          <t>biosphere</t>
        </is>
      </c>
      <c r="G2855" t="inlineStr">
        <is>
          <t>Electricity-only proxy: source amount / 0.33; 100% burden to electricity, before STEM efficiency adjustment.</t>
        </is>
      </c>
    </row>
    <row r="2856">
      <c r="A2856" t="inlineStr">
        <is>
          <t>Barium II</t>
        </is>
      </c>
      <c r="B2856">
        <v>7.072338222605694e-07</v>
      </c>
      <c r="D2856" t="inlineStr">
        <is>
          <t>kilogram</t>
        </is>
      </c>
      <c r="E2856" t="inlineStr">
        <is>
          <t>air::urban air close to ground</t>
        </is>
      </c>
      <c r="F2856" t="inlineStr">
        <is>
          <t>biosphere</t>
        </is>
      </c>
      <c r="G2856" t="inlineStr">
        <is>
          <t>Electricity-only proxy: source amount / 0.33; 100% burden to electricity, before STEM efficiency adjustment.</t>
        </is>
      </c>
    </row>
    <row r="2857">
      <c r="A2857" t="inlineStr">
        <is>
          <t>Benzene</t>
        </is>
      </c>
      <c r="B2857">
        <v>1.554823123382226e-08</v>
      </c>
      <c r="D2857" t="inlineStr">
        <is>
          <t>kilogram</t>
        </is>
      </c>
      <c r="E2857" t="inlineStr">
        <is>
          <t>air::urban air close to ground</t>
        </is>
      </c>
      <c r="F2857" t="inlineStr">
        <is>
          <t>biosphere</t>
        </is>
      </c>
      <c r="G2857" t="inlineStr">
        <is>
          <t>Electricity-only proxy: source amount / 0.33; 100% burden to electricity, before STEM efficiency adjustment.</t>
        </is>
      </c>
    </row>
    <row r="2858">
      <c r="A2858" t="inlineStr">
        <is>
          <t>Benzene, hexachloro-</t>
        </is>
      </c>
      <c r="B2858">
        <v>3.2511820534943916e-11</v>
      </c>
      <c r="D2858" t="inlineStr">
        <is>
          <t>kilogram</t>
        </is>
      </c>
      <c r="E2858" t="inlineStr">
        <is>
          <t>air::urban air close to ground</t>
        </is>
      </c>
      <c r="F2858" t="inlineStr">
        <is>
          <t>biosphere</t>
        </is>
      </c>
      <c r="G2858" t="inlineStr">
        <is>
          <t>Electricity-only proxy: source amount / 0.33; 100% burden to electricity, before STEM efficiency adjustment.</t>
        </is>
      </c>
    </row>
    <row r="2859">
      <c r="A2859" t="inlineStr">
        <is>
          <t>Pentachlorobenzene</t>
        </is>
      </c>
      <c r="B2859">
        <v>8.214874892148405e-11</v>
      </c>
      <c r="D2859" t="inlineStr">
        <is>
          <t>kilogram</t>
        </is>
      </c>
      <c r="E2859" t="inlineStr">
        <is>
          <t>air::urban air close to ground</t>
        </is>
      </c>
      <c r="F2859" t="inlineStr">
        <is>
          <t>biosphere</t>
        </is>
      </c>
      <c r="G2859" t="inlineStr">
        <is>
          <t>Electricity-only proxy: source amount / 0.33; 100% burden to electricity, before STEM efficiency adjustment.</t>
        </is>
      </c>
    </row>
    <row r="2860">
      <c r="A2860" t="inlineStr">
        <is>
          <t>Benzo(a)pyrene</t>
        </is>
      </c>
      <c r="B2860">
        <v>3.4601207937877477e-13</v>
      </c>
      <c r="D2860" t="inlineStr">
        <is>
          <t>kilogram</t>
        </is>
      </c>
      <c r="E2860" t="inlineStr">
        <is>
          <t>air::urban air close to ground</t>
        </is>
      </c>
      <c r="F2860" t="inlineStr">
        <is>
          <t>biosphere</t>
        </is>
      </c>
      <c r="G2860" t="inlineStr">
        <is>
          <t>Electricity-only proxy: source amount / 0.33; 100% burden to electricity, before STEM efficiency adjustment.</t>
        </is>
      </c>
    </row>
    <row r="2861">
      <c r="A2861" t="inlineStr">
        <is>
          <t>Bromine</t>
        </is>
      </c>
      <c r="B2861">
        <v>3.378119068162209e-08</v>
      </c>
      <c r="D2861" t="inlineStr">
        <is>
          <t>kilogram</t>
        </is>
      </c>
      <c r="E2861" t="inlineStr">
        <is>
          <t>air::urban air close to ground</t>
        </is>
      </c>
      <c r="F2861" t="inlineStr">
        <is>
          <t>biosphere</t>
        </is>
      </c>
      <c r="G2861" t="inlineStr">
        <is>
          <t>Electricity-only proxy: source amount / 0.33; 100% burden to electricity, before STEM efficiency adjustment.</t>
        </is>
      </c>
    </row>
    <row r="2862">
      <c r="A2862" t="inlineStr">
        <is>
          <t>Cadmium II</t>
        </is>
      </c>
      <c r="B2862">
        <v>3.9995513373597933e-08</v>
      </c>
      <c r="D2862" t="inlineStr">
        <is>
          <t>kilogram</t>
        </is>
      </c>
      <c r="E2862" t="inlineStr">
        <is>
          <t>air::urban air close to ground</t>
        </is>
      </c>
      <c r="F2862" t="inlineStr">
        <is>
          <t>biosphere</t>
        </is>
      </c>
      <c r="G2862" t="inlineStr">
        <is>
          <t>Electricity-only proxy: source amount / 0.33; 100% burden to electricity, before STEM efficiency adjustment.</t>
        </is>
      </c>
    </row>
    <row r="2863">
      <c r="A2863" t="inlineStr">
        <is>
          <t>Carbon monoxide, fossil</t>
        </is>
      </c>
      <c r="B2863">
        <v>2.6431061259706643e-05</v>
      </c>
      <c r="D2863" t="inlineStr">
        <is>
          <t>kilogram</t>
        </is>
      </c>
      <c r="E2863" t="inlineStr">
        <is>
          <t>air::urban air close to ground</t>
        </is>
      </c>
      <c r="F2863" t="inlineStr">
        <is>
          <t>biosphere</t>
        </is>
      </c>
      <c r="G2863" t="inlineStr">
        <is>
          <t>Electricity-only proxy: source amount / 0.33; 100% burden to electricity, before STEM efficiency adjustment.</t>
        </is>
      </c>
    </row>
    <row r="2864">
      <c r="A2864" t="inlineStr">
        <is>
          <t>Chromium III</t>
        </is>
      </c>
      <c r="B2864">
        <v>3.4475927523727344e-08</v>
      </c>
      <c r="D2864" t="inlineStr">
        <is>
          <t>kilogram</t>
        </is>
      </c>
      <c r="E2864" t="inlineStr">
        <is>
          <t>air::urban air close to ground</t>
        </is>
      </c>
      <c r="F2864" t="inlineStr">
        <is>
          <t>biosphere</t>
        </is>
      </c>
      <c r="G2864" t="inlineStr">
        <is>
          <t>Electricity-only proxy: source amount / 0.33; 100% burden to electricity, before STEM efficiency adjustment.</t>
        </is>
      </c>
    </row>
    <row r="2865">
      <c r="A2865" t="inlineStr">
        <is>
          <t>Cobalt II</t>
        </is>
      </c>
      <c r="B2865">
        <v>5.550647109577222e-08</v>
      </c>
      <c r="D2865" t="inlineStr">
        <is>
          <t>kilogram</t>
        </is>
      </c>
      <c r="E2865" t="inlineStr">
        <is>
          <t>air::urban air close to ground</t>
        </is>
      </c>
      <c r="F2865" t="inlineStr">
        <is>
          <t>biosphere</t>
        </is>
      </c>
      <c r="G2865" t="inlineStr">
        <is>
          <t>Electricity-only proxy: source amount / 0.33; 100% burden to electricity, before STEM efficiency adjustment.</t>
        </is>
      </c>
    </row>
    <row r="2866">
      <c r="A2866" t="inlineStr">
        <is>
          <t>Copper ion</t>
        </is>
      </c>
      <c r="B2866">
        <v>2.8108369283865402e-08</v>
      </c>
      <c r="D2866" t="inlineStr">
        <is>
          <t>kilogram</t>
        </is>
      </c>
      <c r="E2866" t="inlineStr">
        <is>
          <t>air::urban air close to ground</t>
        </is>
      </c>
      <c r="F2866" t="inlineStr">
        <is>
          <t>biosphere</t>
        </is>
      </c>
      <c r="G2866" t="inlineStr">
        <is>
          <t>Electricity-only proxy: source amount / 0.33; 100% burden to electricity, before STEM efficiency adjustment.</t>
        </is>
      </c>
    </row>
    <row r="2867">
      <c r="A2867" t="inlineStr">
        <is>
          <t>Cyanide</t>
        </is>
      </c>
      <c r="B2867">
        <v>2.0277825711820535e-05</v>
      </c>
      <c r="D2867" t="inlineStr">
        <is>
          <t>kilogram</t>
        </is>
      </c>
      <c r="E2867" t="inlineStr">
        <is>
          <t>air::urban air close to ground</t>
        </is>
      </c>
      <c r="F2867" t="inlineStr">
        <is>
          <t>biosphere</t>
        </is>
      </c>
      <c r="G2867" t="inlineStr">
        <is>
          <t>Electricity-only proxy: source amount / 0.33; 100% burden to electricity, before STEM efficiency adjustment.</t>
        </is>
      </c>
    </row>
    <row r="2868">
      <c r="A2868" t="inlineStr">
        <is>
          <t>Dinitrogen monoxide</t>
        </is>
      </c>
      <c r="B2868">
        <v>9.438274374460741e-05</v>
      </c>
      <c r="D2868" t="inlineStr">
        <is>
          <t>kilogram</t>
        </is>
      </c>
      <c r="E2868" t="inlineStr">
        <is>
          <t>air::urban air close to ground</t>
        </is>
      </c>
      <c r="F2868" t="inlineStr">
        <is>
          <t>biosphere</t>
        </is>
      </c>
      <c r="G2868" t="inlineStr">
        <is>
          <t>Electricity-only proxy: source amount / 0.33; 100% burden to electricity, before STEM efficiency adjustment.</t>
        </is>
      </c>
    </row>
    <row r="2869">
      <c r="A2869" t="inlineStr">
        <is>
          <t>Dioxins, measured as 2,3,7,8-tetrachlorodibenzo-p-dioxin</t>
        </is>
      </c>
      <c r="B2869">
        <v>3.109542709232097e-14</v>
      </c>
      <c r="D2869" t="inlineStr">
        <is>
          <t>kilogram</t>
        </is>
      </c>
      <c r="E2869" t="inlineStr">
        <is>
          <t>air::urban air close to ground</t>
        </is>
      </c>
      <c r="F2869" t="inlineStr">
        <is>
          <t>biosphere</t>
        </is>
      </c>
      <c r="G2869" t="inlineStr">
        <is>
          <t>Electricity-only proxy: source amount / 0.33; 100% burden to electricity, before STEM efficiency adjustment.</t>
        </is>
      </c>
    </row>
    <row r="2870">
      <c r="A2870" t="inlineStr">
        <is>
          <t>Heat, waste</t>
        </is>
      </c>
      <c r="B2870">
        <v>25.650388265746333</v>
      </c>
      <c r="D2870" t="inlineStr">
        <is>
          <t>megajoule</t>
        </is>
      </c>
      <c r="E2870" t="inlineStr">
        <is>
          <t>air::urban air close to ground</t>
        </is>
      </c>
      <c r="F2870" t="inlineStr">
        <is>
          <t>biosphere</t>
        </is>
      </c>
      <c r="G2870" t="inlineStr">
        <is>
          <t>Electricity-only proxy: source amount / 0.33; 100% burden to electricity, before STEM efficiency adjustment.</t>
        </is>
      </c>
    </row>
    <row r="2871">
      <c r="A2871" t="inlineStr">
        <is>
          <t>Hydrochloric acid</t>
        </is>
      </c>
      <c r="B2871">
        <v>1.0711993097497844e-05</v>
      </c>
      <c r="D2871" t="inlineStr">
        <is>
          <t>kilogram</t>
        </is>
      </c>
      <c r="E2871" t="inlineStr">
        <is>
          <t>air::urban air close to ground</t>
        </is>
      </c>
      <c r="F2871" t="inlineStr">
        <is>
          <t>biosphere</t>
        </is>
      </c>
      <c r="G2871" t="inlineStr">
        <is>
          <t>Electricity-only proxy: source amount / 0.33; 100% burden to electricity, before STEM efficiency adjustment.</t>
        </is>
      </c>
    </row>
    <row r="2872">
      <c r="A2872" t="inlineStr">
        <is>
          <t>Hydrogen fluoride</t>
        </is>
      </c>
      <c r="B2872">
        <v>9.581777394305435e-08</v>
      </c>
      <c r="D2872" t="inlineStr">
        <is>
          <t>kilogram</t>
        </is>
      </c>
      <c r="E2872" t="inlineStr">
        <is>
          <t>air::urban air close to ground</t>
        </is>
      </c>
      <c r="F2872" t="inlineStr">
        <is>
          <t>biosphere</t>
        </is>
      </c>
      <c r="G2872" t="inlineStr">
        <is>
          <t>Electricity-only proxy: source amount / 0.33; 100% burden to electricity, before STEM efficiency adjustment.</t>
        </is>
      </c>
    </row>
    <row r="2873">
      <c r="A2873" t="inlineStr">
        <is>
          <t>Iron ion</t>
        </is>
      </c>
      <c r="B2873">
        <v>6.450905953408111e-09</v>
      </c>
      <c r="D2873" t="inlineStr">
        <is>
          <t>kilogram</t>
        </is>
      </c>
      <c r="E2873" t="inlineStr">
        <is>
          <t>air::urban air close to ground</t>
        </is>
      </c>
      <c r="F2873" t="inlineStr">
        <is>
          <t>biosphere</t>
        </is>
      </c>
      <c r="G2873" t="inlineStr">
        <is>
          <t>Electricity-only proxy: source amount / 0.33; 100% burden to electricity, before STEM efficiency adjustment.</t>
        </is>
      </c>
    </row>
    <row r="2874">
      <c r="A2874" t="inlineStr">
        <is>
          <t>Lead II</t>
        </is>
      </c>
      <c r="B2874">
        <v>3.7174115616911135e-08</v>
      </c>
      <c r="D2874" t="inlineStr">
        <is>
          <t>kilogram</t>
        </is>
      </c>
      <c r="E2874" t="inlineStr">
        <is>
          <t>air::urban air close to ground</t>
        </is>
      </c>
      <c r="F2874" t="inlineStr">
        <is>
          <t>biosphere</t>
        </is>
      </c>
      <c r="G2874" t="inlineStr">
        <is>
          <t>Electricity-only proxy: source amount / 0.33; 100% burden to electricity, before STEM efficiency adjustment.</t>
        </is>
      </c>
    </row>
    <row r="2875">
      <c r="A2875" t="inlineStr">
        <is>
          <t>Manganese II</t>
        </is>
      </c>
      <c r="B2875">
        <v>1.4745815358067297e-08</v>
      </c>
      <c r="D2875" t="inlineStr">
        <is>
          <t>kilogram</t>
        </is>
      </c>
      <c r="E2875" t="inlineStr">
        <is>
          <t>air::urban air close to ground</t>
        </is>
      </c>
      <c r="F2875" t="inlineStr">
        <is>
          <t>biosphere</t>
        </is>
      </c>
      <c r="G2875" t="inlineStr">
        <is>
          <t>Electricity-only proxy: source amount / 0.33; 100% burden to electricity, before STEM efficiency adjustment.</t>
        </is>
      </c>
    </row>
    <row r="2876">
      <c r="A2876" t="inlineStr">
        <is>
          <t>Mercury II</t>
        </is>
      </c>
      <c r="B2876">
        <v>2.326074201898188e-08</v>
      </c>
      <c r="D2876" t="inlineStr">
        <is>
          <t>kilogram</t>
        </is>
      </c>
      <c r="E2876" t="inlineStr">
        <is>
          <t>air::urban air close to ground</t>
        </is>
      </c>
      <c r="F2876" t="inlineStr">
        <is>
          <t>biosphere</t>
        </is>
      </c>
      <c r="G2876" t="inlineStr">
        <is>
          <t>Electricity-only proxy: source amount / 0.33; 100% burden to electricity, before STEM efficiency adjustment.</t>
        </is>
      </c>
    </row>
    <row r="2877">
      <c r="A2877" t="inlineStr">
        <is>
          <t>Methane, fossil</t>
        </is>
      </c>
      <c r="B2877">
        <v>2.3322864538395168e-07</v>
      </c>
      <c r="D2877" t="inlineStr">
        <is>
          <t>kilogram</t>
        </is>
      </c>
      <c r="E2877" t="inlineStr">
        <is>
          <t>air::urban air close to ground</t>
        </is>
      </c>
      <c r="F2877" t="inlineStr">
        <is>
          <t>biosphere</t>
        </is>
      </c>
      <c r="G2877" t="inlineStr">
        <is>
          <t>Electricity-only proxy: source amount / 0.33; 100% burden to electricity, before STEM efficiency adjustment.</t>
        </is>
      </c>
    </row>
    <row r="2878">
      <c r="A2878" t="inlineStr">
        <is>
          <t>NMVOC, non-methane volatile organic compounds</t>
        </is>
      </c>
      <c r="B2878">
        <v>7.076169111302847e-07</v>
      </c>
      <c r="D2878" t="inlineStr">
        <is>
          <t>kilogram</t>
        </is>
      </c>
      <c r="E2878" t="inlineStr">
        <is>
          <t>air::urban air close to ground</t>
        </is>
      </c>
      <c r="F2878" t="inlineStr">
        <is>
          <t>biosphere</t>
        </is>
      </c>
      <c r="G2878" t="inlineStr">
        <is>
          <t>Electricity-only proxy: source amount / 0.33; 100% burden to electricity, before STEM efficiency adjustment.</t>
        </is>
      </c>
    </row>
    <row r="2879">
      <c r="A2879" t="inlineStr">
        <is>
          <t>Nickel II</t>
        </is>
      </c>
      <c r="B2879">
        <v>2.5001207937877482e-08</v>
      </c>
      <c r="D2879" t="inlineStr">
        <is>
          <t>kilogram</t>
        </is>
      </c>
      <c r="E2879" t="inlineStr">
        <is>
          <t>air::urban air close to ground</t>
        </is>
      </c>
      <c r="F2879" t="inlineStr">
        <is>
          <t>biosphere</t>
        </is>
      </c>
      <c r="G2879" t="inlineStr">
        <is>
          <t>Electricity-only proxy: source amount / 0.33; 100% burden to electricity, before STEM efficiency adjustment.</t>
        </is>
      </c>
    </row>
    <row r="2880">
      <c r="A2880" t="inlineStr">
        <is>
          <t>Nitrogen oxides</t>
        </is>
      </c>
      <c r="B2880">
        <v>0.0005673856773080241</v>
      </c>
      <c r="D2880" t="inlineStr">
        <is>
          <t>kilogram</t>
        </is>
      </c>
      <c r="E2880" t="inlineStr">
        <is>
          <t>air::urban air close to ground</t>
        </is>
      </c>
      <c r="F2880" t="inlineStr">
        <is>
          <t>biosphere</t>
        </is>
      </c>
      <c r="G2880" t="inlineStr">
        <is>
          <t>Electricity-only proxy: source amount / 0.33; 100% burden to electricity, before STEM efficiency adjustment.</t>
        </is>
      </c>
    </row>
    <row r="2881">
      <c r="A2881" t="inlineStr">
        <is>
          <t>Particulate Matter, &lt; 2.5 um</t>
        </is>
      </c>
      <c r="B2881">
        <v>1.8564279551337361e-06</v>
      </c>
      <c r="D2881" t="inlineStr">
        <is>
          <t>kilogram</t>
        </is>
      </c>
      <c r="E2881" t="inlineStr">
        <is>
          <t>air::urban air close to ground</t>
        </is>
      </c>
      <c r="F2881" t="inlineStr">
        <is>
          <t>biosphere</t>
        </is>
      </c>
      <c r="G2881" t="inlineStr">
        <is>
          <t>Electricity-only proxy: source amount / 0.33; 100% burden to electricity, before STEM efficiency adjustment.</t>
        </is>
      </c>
    </row>
    <row r="2882">
      <c r="A2882" t="inlineStr">
        <is>
          <t>Particulate Matter, &gt; 2.5 um and &lt; 10um</t>
        </is>
      </c>
      <c r="B2882">
        <v>9.328524590163935e-09</v>
      </c>
      <c r="D2882" t="inlineStr">
        <is>
          <t>kilogram</t>
        </is>
      </c>
      <c r="E2882" t="inlineStr">
        <is>
          <t>air::urban air close to ground</t>
        </is>
      </c>
      <c r="F2882" t="inlineStr">
        <is>
          <t>biosphere</t>
        </is>
      </c>
      <c r="G2882" t="inlineStr">
        <is>
          <t>Electricity-only proxy: source amount / 0.33; 100% burden to electricity, before STEM efficiency adjustment.</t>
        </is>
      </c>
    </row>
    <row r="2883">
      <c r="A2883" t="inlineStr">
        <is>
          <t>Phenol, pentachloro-</t>
        </is>
      </c>
      <c r="B2883">
        <v>6.771251078515962e-12</v>
      </c>
      <c r="D2883" t="inlineStr">
        <is>
          <t>kilogram</t>
        </is>
      </c>
      <c r="E2883" t="inlineStr">
        <is>
          <t>air::urban air close to ground</t>
        </is>
      </c>
      <c r="F2883" t="inlineStr">
        <is>
          <t>biosphere</t>
        </is>
      </c>
      <c r="G2883" t="inlineStr">
        <is>
          <t>Electricity-only proxy: source amount / 0.33; 100% burden to electricity, before STEM efficiency adjustment.</t>
        </is>
      </c>
    </row>
    <row r="2884">
      <c r="A2884" t="inlineStr">
        <is>
          <t>Selenium IV</t>
        </is>
      </c>
      <c r="B2884">
        <v>2.4203968938740294e-08</v>
      </c>
      <c r="D2884" t="inlineStr">
        <is>
          <t>kilogram</t>
        </is>
      </c>
      <c r="E2884" t="inlineStr">
        <is>
          <t>air::urban air close to ground</t>
        </is>
      </c>
      <c r="F2884" t="inlineStr">
        <is>
          <t>biosphere</t>
        </is>
      </c>
      <c r="G2884" t="inlineStr">
        <is>
          <t>Electricity-only proxy: source amount / 0.33; 100% burden to electricity, before STEM efficiency adjustment.</t>
        </is>
      </c>
    </row>
    <row r="2885">
      <c r="A2885" t="inlineStr">
        <is>
          <t>Sodium</t>
        </is>
      </c>
      <c r="B2885">
        <v>1.162415875754961e-05</v>
      </c>
      <c r="D2885" t="inlineStr">
        <is>
          <t>kilogram</t>
        </is>
      </c>
      <c r="E2885" t="inlineStr">
        <is>
          <t>air::urban air close to ground</t>
        </is>
      </c>
      <c r="F2885" t="inlineStr">
        <is>
          <t>biosphere</t>
        </is>
      </c>
      <c r="G2885" t="inlineStr">
        <is>
          <t>Electricity-only proxy: source amount / 0.33; 100% burden to electricity, before STEM efficiency adjustment.</t>
        </is>
      </c>
    </row>
    <row r="2886">
      <c r="A2886" t="inlineStr">
        <is>
          <t>Strontium</t>
        </is>
      </c>
      <c r="B2886">
        <v>8.550336496980154e-09</v>
      </c>
      <c r="D2886" t="inlineStr">
        <is>
          <t>kilogram</t>
        </is>
      </c>
      <c r="E2886" t="inlineStr">
        <is>
          <t>air::urban air close to ground</t>
        </is>
      </c>
      <c r="F2886" t="inlineStr">
        <is>
          <t>biosphere</t>
        </is>
      </c>
      <c r="G2886" t="inlineStr">
        <is>
          <t>Electricity-only proxy: source amount / 0.33; 100% burden to electricity, before STEM efficiency adjustment.</t>
        </is>
      </c>
    </row>
    <row r="2887">
      <c r="A2887" t="inlineStr">
        <is>
          <t>Sulfur dioxide</t>
        </is>
      </c>
      <c r="B2887">
        <v>1.5489214840379638e-05</v>
      </c>
      <c r="D2887" t="inlineStr">
        <is>
          <t>kilogram</t>
        </is>
      </c>
      <c r="E2887" t="inlineStr">
        <is>
          <t>air::urban air close to ground</t>
        </is>
      </c>
      <c r="F2887" t="inlineStr">
        <is>
          <t>biosphere</t>
        </is>
      </c>
      <c r="G2887" t="inlineStr">
        <is>
          <t>Electricity-only proxy: source amount / 0.33; 100% burden to electricity, before STEM efficiency adjustment.</t>
        </is>
      </c>
    </row>
    <row r="2888">
      <c r="A2888" t="inlineStr">
        <is>
          <t>Thallium I</t>
        </is>
      </c>
      <c r="B2888">
        <v>3.864538395168248e-10</v>
      </c>
      <c r="D2888" t="inlineStr">
        <is>
          <t>kilogram</t>
        </is>
      </c>
      <c r="E2888" t="inlineStr">
        <is>
          <t>air::urban air close to ground</t>
        </is>
      </c>
      <c r="F2888" t="inlineStr">
        <is>
          <t>biosphere</t>
        </is>
      </c>
      <c r="G2888" t="inlineStr">
        <is>
          <t>Electricity-only proxy: source amount / 0.33; 100% burden to electricity, before STEM efficiency adjustment.</t>
        </is>
      </c>
    </row>
    <row r="2889">
      <c r="A2889" t="inlineStr">
        <is>
          <t>Tin ion</t>
        </is>
      </c>
      <c r="B2889">
        <v>1.653805004314064e-11</v>
      </c>
      <c r="D2889" t="inlineStr">
        <is>
          <t>kilogram</t>
        </is>
      </c>
      <c r="E2889" t="inlineStr">
        <is>
          <t>air::urban air close to ground</t>
        </is>
      </c>
      <c r="F2889" t="inlineStr">
        <is>
          <t>biosphere</t>
        </is>
      </c>
      <c r="G2889" t="inlineStr">
        <is>
          <t>Electricity-only proxy: source amount / 0.33; 100% burden to electricity, before STEM efficiency adjustment.</t>
        </is>
      </c>
    </row>
    <row r="2890">
      <c r="A2890" t="inlineStr">
        <is>
          <t>Titanium ion</t>
        </is>
      </c>
      <c r="B2890">
        <v>8.015565142364107e-07</v>
      </c>
      <c r="D2890" t="inlineStr">
        <is>
          <t>kilogram</t>
        </is>
      </c>
      <c r="E2890" t="inlineStr">
        <is>
          <t>air::urban air close to ground</t>
        </is>
      </c>
      <c r="F2890" t="inlineStr">
        <is>
          <t>biosphere</t>
        </is>
      </c>
      <c r="G2890" t="inlineStr">
        <is>
          <t>Electricity-only proxy: source amount / 0.33; 100% burden to electricity, before STEM efficiency adjustment.</t>
        </is>
      </c>
    </row>
    <row r="2891">
      <c r="A2891" t="inlineStr">
        <is>
          <t>Toluene</t>
        </is>
      </c>
      <c r="B2891">
        <v>3.1097497842968076e-08</v>
      </c>
      <c r="D2891" t="inlineStr">
        <is>
          <t>kilogram</t>
        </is>
      </c>
      <c r="E2891" t="inlineStr">
        <is>
          <t>air::urban air close to ground</t>
        </is>
      </c>
      <c r="F2891" t="inlineStr">
        <is>
          <t>biosphere</t>
        </is>
      </c>
      <c r="G2891" t="inlineStr">
        <is>
          <t>Electricity-only proxy: source amount / 0.33; 100% burden to electricity, before STEM efficiency adjustment.</t>
        </is>
      </c>
    </row>
    <row r="2892">
      <c r="A2892" t="inlineStr">
        <is>
          <t>Vanadium V</t>
        </is>
      </c>
      <c r="B2892">
        <v>5.9044348576358925e-06</v>
      </c>
      <c r="D2892" t="inlineStr">
        <is>
          <t>kilogram</t>
        </is>
      </c>
      <c r="E2892" t="inlineStr">
        <is>
          <t>air::urban air close to ground</t>
        </is>
      </c>
      <c r="F2892" t="inlineStr">
        <is>
          <t>biosphere</t>
        </is>
      </c>
      <c r="G2892" t="inlineStr">
        <is>
          <t>Electricity-only proxy: source amount / 0.33; 100% burden to electricity, before STEM efficiency adjustment.</t>
        </is>
      </c>
    </row>
    <row r="2893">
      <c r="A2893" t="inlineStr">
        <is>
          <t>Water</t>
        </is>
      </c>
      <c r="B2893">
        <v>0.0035352817946505614</v>
      </c>
      <c r="D2893" t="inlineStr">
        <is>
          <t>cubic meter</t>
        </is>
      </c>
      <c r="E2893" t="inlineStr">
        <is>
          <t>air::urban air close to ground</t>
        </is>
      </c>
      <c r="F2893" t="inlineStr">
        <is>
          <t>biosphere</t>
        </is>
      </c>
      <c r="G2893" t="inlineStr">
        <is>
          <t>Electricity-only proxy: source amount / 0.33; 100% burden to electricity, before STEM efficiency adjustment.</t>
        </is>
      </c>
    </row>
    <row r="2894">
      <c r="A2894" t="inlineStr">
        <is>
          <t>Zinc II</t>
        </is>
      </c>
      <c r="B2894">
        <v>3.620396893874029e-07</v>
      </c>
      <c r="D2894" t="inlineStr">
        <is>
          <t>kilogram</t>
        </is>
      </c>
      <c r="E2894" t="inlineStr">
        <is>
          <t>air::urban air close to ground</t>
        </is>
      </c>
      <c r="F2894" t="inlineStr">
        <is>
          <t>biosphere</t>
        </is>
      </c>
      <c r="G2894" t="inlineStr">
        <is>
          <t>Electricity-only proxy: source amount / 0.33; 100% burden to electricity, before STEM efficiency adjustment.</t>
        </is>
      </c>
    </row>
    <row r="2895">
      <c r="A2895" t="inlineStr">
        <is>
          <t>Aluminium III</t>
        </is>
      </c>
      <c r="B2895">
        <v>0.00018009318377911995</v>
      </c>
      <c r="D2895" t="inlineStr">
        <is>
          <t>kilogram</t>
        </is>
      </c>
      <c r="E2895" t="inlineStr">
        <is>
          <t>water::ground-, long-term</t>
        </is>
      </c>
      <c r="F2895" t="inlineStr">
        <is>
          <t>biosphere</t>
        </is>
      </c>
      <c r="G2895" t="inlineStr">
        <is>
          <t>Electricity-only proxy: source amount / 0.33; 100% burden to electricity, before STEM efficiency adjustment.</t>
        </is>
      </c>
    </row>
    <row r="2896">
      <c r="A2896" t="inlineStr">
        <is>
          <t>Aluminium III</t>
        </is>
      </c>
      <c r="B2896">
        <v>6.59792924935289e-08</v>
      </c>
      <c r="D2896" t="inlineStr">
        <is>
          <t>kilogram</t>
        </is>
      </c>
      <c r="E2896" t="inlineStr">
        <is>
          <t>water::surface water</t>
        </is>
      </c>
      <c r="F2896" t="inlineStr">
        <is>
          <t>biosphere</t>
        </is>
      </c>
      <c r="G2896" t="inlineStr">
        <is>
          <t>Electricity-only proxy: source amount / 0.33; 100% burden to electricity, before STEM efficiency adjustment.</t>
        </is>
      </c>
    </row>
    <row r="2897">
      <c r="A2897" t="inlineStr">
        <is>
          <t>Antimony ion</t>
        </is>
      </c>
      <c r="B2897">
        <v>1.6844521138912856e-05</v>
      </c>
      <c r="D2897" t="inlineStr">
        <is>
          <t>kilogram</t>
        </is>
      </c>
      <c r="E2897" t="inlineStr">
        <is>
          <t>water::ground-, long-term</t>
        </is>
      </c>
      <c r="F2897" t="inlineStr">
        <is>
          <t>biosphere</t>
        </is>
      </c>
      <c r="G2897" t="inlineStr">
        <is>
          <t>Electricity-only proxy: source amount / 0.33; 100% burden to electricity, before STEM efficiency adjustment.</t>
        </is>
      </c>
    </row>
    <row r="2898">
      <c r="A2898" t="inlineStr">
        <is>
          <t>Antimony ion</t>
        </is>
      </c>
      <c r="B2898">
        <v>8.158446937014667e-06</v>
      </c>
      <c r="D2898" t="inlineStr">
        <is>
          <t>kilogram</t>
        </is>
      </c>
      <c r="E2898" t="inlineStr">
        <is>
          <t>water::surface water</t>
        </is>
      </c>
      <c r="F2898" t="inlineStr">
        <is>
          <t>biosphere</t>
        </is>
      </c>
      <c r="G2898" t="inlineStr">
        <is>
          <t>Electricity-only proxy: source amount / 0.33; 100% burden to electricity, before STEM efficiency adjustment.</t>
        </is>
      </c>
    </row>
    <row r="2899">
      <c r="A2899" t="inlineStr">
        <is>
          <t>Arsenic ion</t>
        </is>
      </c>
      <c r="B2899">
        <v>1.119137187230371e-06</v>
      </c>
      <c r="D2899" t="inlineStr">
        <is>
          <t>kilogram</t>
        </is>
      </c>
      <c r="E2899" t="inlineStr">
        <is>
          <t>water::ground-, long-term</t>
        </is>
      </c>
      <c r="F2899" t="inlineStr">
        <is>
          <t>biosphere</t>
        </is>
      </c>
      <c r="G2899" t="inlineStr">
        <is>
          <t>Electricity-only proxy: source amount / 0.33; 100% burden to electricity, before STEM efficiency adjustment.</t>
        </is>
      </c>
    </row>
    <row r="2900">
      <c r="A2900" t="inlineStr">
        <is>
          <t>Arsenic ion</t>
        </is>
      </c>
      <c r="B2900">
        <v>7.177739430543571e-07</v>
      </c>
      <c r="D2900" t="inlineStr">
        <is>
          <t>kilogram</t>
        </is>
      </c>
      <c r="E2900" t="inlineStr">
        <is>
          <t>water::surface water</t>
        </is>
      </c>
      <c r="F2900" t="inlineStr">
        <is>
          <t>biosphere</t>
        </is>
      </c>
      <c r="G2900" t="inlineStr">
        <is>
          <t>Electricity-only proxy: source amount / 0.33; 100% burden to electricity, before STEM efficiency adjustment.</t>
        </is>
      </c>
    </row>
    <row r="2901">
      <c r="A2901" t="inlineStr">
        <is>
          <t>BOD5, Biological Oxygen Demand</t>
        </is>
      </c>
      <c r="B2901">
        <v>0.0015901294219154444</v>
      </c>
      <c r="D2901" t="inlineStr">
        <is>
          <t>kilogram</t>
        </is>
      </c>
      <c r="E2901" t="inlineStr">
        <is>
          <t>water::ground-, long-term</t>
        </is>
      </c>
      <c r="F2901" t="inlineStr">
        <is>
          <t>biosphere</t>
        </is>
      </c>
      <c r="G2901" t="inlineStr">
        <is>
          <t>Electricity-only proxy: source amount / 0.33; 100% burden to electricity, before STEM efficiency adjustment.</t>
        </is>
      </c>
    </row>
    <row r="2902">
      <c r="A2902" t="inlineStr">
        <is>
          <t>BOD5, Biological Oxygen Demand</t>
        </is>
      </c>
      <c r="B2902">
        <v>0.00048803451251078515</v>
      </c>
      <c r="D2902" t="inlineStr">
        <is>
          <t>kilogram</t>
        </is>
      </c>
      <c r="E2902" t="inlineStr">
        <is>
          <t>water::surface water</t>
        </is>
      </c>
      <c r="F2902" t="inlineStr">
        <is>
          <t>biosphere</t>
        </is>
      </c>
      <c r="G2902" t="inlineStr">
        <is>
          <t>Electricity-only proxy: source amount / 0.33; 100% burden to electricity, before STEM efficiency adjustment.</t>
        </is>
      </c>
    </row>
    <row r="2903">
      <c r="A2903" t="inlineStr">
        <is>
          <t>Barium II</t>
        </is>
      </c>
      <c r="B2903">
        <v>0.00013163761863675582</v>
      </c>
      <c r="D2903" t="inlineStr">
        <is>
          <t>kilogram</t>
        </is>
      </c>
      <c r="E2903" t="inlineStr">
        <is>
          <t>water::ground-, long-term</t>
        </is>
      </c>
      <c r="F2903" t="inlineStr">
        <is>
          <t>biosphere</t>
        </is>
      </c>
      <c r="G2903" t="inlineStr">
        <is>
          <t>Electricity-only proxy: source amount / 0.33; 100% burden to electricity, before STEM efficiency adjustment.</t>
        </is>
      </c>
    </row>
    <row r="2904">
      <c r="A2904" t="inlineStr">
        <is>
          <t>Barium II</t>
        </is>
      </c>
      <c r="B2904">
        <v>7.645211389128559e-08</v>
      </c>
      <c r="D2904" t="inlineStr">
        <is>
          <t>kilogram</t>
        </is>
      </c>
      <c r="E2904" t="inlineStr">
        <is>
          <t>water::surface water</t>
        </is>
      </c>
      <c r="F2904" t="inlineStr">
        <is>
          <t>biosphere</t>
        </is>
      </c>
      <c r="G2904" t="inlineStr">
        <is>
          <t>Electricity-only proxy: source amount / 0.33; 100% burden to electricity, before STEM efficiency adjustment.</t>
        </is>
      </c>
    </row>
    <row r="2905">
      <c r="A2905" t="inlineStr">
        <is>
          <t>Beryllium II</t>
        </is>
      </c>
      <c r="B2905">
        <v>4.5334943917169977e-07</v>
      </c>
      <c r="D2905" t="inlineStr">
        <is>
          <t>kilogram</t>
        </is>
      </c>
      <c r="E2905" t="inlineStr">
        <is>
          <t>water::ground-, long-term</t>
        </is>
      </c>
      <c r="F2905" t="inlineStr">
        <is>
          <t>biosphere</t>
        </is>
      </c>
      <c r="G2905" t="inlineStr">
        <is>
          <t>Electricity-only proxy: source amount / 0.33; 100% burden to electricity, before STEM efficiency adjustment.</t>
        </is>
      </c>
    </row>
    <row r="2906">
      <c r="A2906" t="inlineStr">
        <is>
          <t>Beryllium II</t>
        </is>
      </c>
      <c r="B2906">
        <v>3.0063157894736845e-10</v>
      </c>
      <c r="D2906" t="inlineStr">
        <is>
          <t>kilogram</t>
        </is>
      </c>
      <c r="E2906" t="inlineStr">
        <is>
          <t>water::surface water</t>
        </is>
      </c>
      <c r="F2906" t="inlineStr">
        <is>
          <t>biosphere</t>
        </is>
      </c>
      <c r="G2906" t="inlineStr">
        <is>
          <t>Electricity-only proxy: source amount / 0.33; 100% burden to electricity, before STEM efficiency adjustment.</t>
        </is>
      </c>
    </row>
    <row r="2907">
      <c r="A2907" t="inlineStr">
        <is>
          <t>Bromine</t>
        </is>
      </c>
      <c r="B2907">
        <v>3.5058843830888694e-06</v>
      </c>
      <c r="D2907" t="inlineStr">
        <is>
          <t>kilogram</t>
        </is>
      </c>
      <c r="E2907" t="inlineStr">
        <is>
          <t>water::ground-, long-term</t>
        </is>
      </c>
      <c r="F2907" t="inlineStr">
        <is>
          <t>biosphere</t>
        </is>
      </c>
      <c r="G2907" t="inlineStr">
        <is>
          <t>Electricity-only proxy: source amount / 0.33; 100% burden to electricity, before STEM efficiency adjustment.</t>
        </is>
      </c>
    </row>
    <row r="2908">
      <c r="A2908" t="inlineStr">
        <is>
          <t>Bromine</t>
        </is>
      </c>
      <c r="B2908">
        <v>6.275409836065574e-05</v>
      </c>
      <c r="D2908" t="inlineStr">
        <is>
          <t>kilogram</t>
        </is>
      </c>
      <c r="E2908" t="inlineStr">
        <is>
          <t>water::surface water</t>
        </is>
      </c>
      <c r="F2908" t="inlineStr">
        <is>
          <t>biosphere</t>
        </is>
      </c>
      <c r="G2908" t="inlineStr">
        <is>
          <t>Electricity-only proxy: source amount / 0.33; 100% burden to electricity, before STEM efficiency adjustment.</t>
        </is>
      </c>
    </row>
    <row r="2909">
      <c r="A2909" t="inlineStr">
        <is>
          <t>COD, Chemical Oxygen Demand</t>
        </is>
      </c>
      <c r="B2909">
        <v>0.004861294219154444</v>
      </c>
      <c r="D2909" t="inlineStr">
        <is>
          <t>kilogram</t>
        </is>
      </c>
      <c r="E2909" t="inlineStr">
        <is>
          <t>water::ground-, long-term</t>
        </is>
      </c>
      <c r="F2909" t="inlineStr">
        <is>
          <t>biosphere</t>
        </is>
      </c>
      <c r="G2909" t="inlineStr">
        <is>
          <t>Electricity-only proxy: source amount / 0.33; 100% burden to electricity, before STEM efficiency adjustment.</t>
        </is>
      </c>
    </row>
    <row r="2910">
      <c r="A2910" t="inlineStr">
        <is>
          <t>COD, Chemical Oxygen Demand</t>
        </is>
      </c>
      <c r="B2910">
        <v>0.0004987092320966351</v>
      </c>
      <c r="D2910" t="inlineStr">
        <is>
          <t>kilogram</t>
        </is>
      </c>
      <c r="E2910" t="inlineStr">
        <is>
          <t>water::surface water</t>
        </is>
      </c>
      <c r="F2910" t="inlineStr">
        <is>
          <t>biosphere</t>
        </is>
      </c>
      <c r="G2910" t="inlineStr">
        <is>
          <t>Electricity-only proxy: source amount / 0.33; 100% burden to electricity, before STEM efficiency adjustment.</t>
        </is>
      </c>
    </row>
    <row r="2911">
      <c r="A2911" t="inlineStr">
        <is>
          <t>Cadmium II</t>
        </is>
      </c>
      <c r="B2911">
        <v>1.2580845556514236e-05</v>
      </c>
      <c r="D2911" t="inlineStr">
        <is>
          <t>kilogram</t>
        </is>
      </c>
      <c r="E2911" t="inlineStr">
        <is>
          <t>water::ground-, long-term</t>
        </is>
      </c>
      <c r="F2911" t="inlineStr">
        <is>
          <t>biosphere</t>
        </is>
      </c>
      <c r="G2911" t="inlineStr">
        <is>
          <t>Electricity-only proxy: source amount / 0.33; 100% burden to electricity, before STEM efficiency adjustment.</t>
        </is>
      </c>
    </row>
    <row r="2912">
      <c r="A2912" t="inlineStr">
        <is>
          <t>Cadmium II</t>
        </is>
      </c>
      <c r="B2912">
        <v>1.3946505608283001e-08</v>
      </c>
      <c r="D2912" t="inlineStr">
        <is>
          <t>kilogram</t>
        </is>
      </c>
      <c r="E2912" t="inlineStr">
        <is>
          <t>water::surface water</t>
        </is>
      </c>
      <c r="F2912" t="inlineStr">
        <is>
          <t>biosphere</t>
        </is>
      </c>
      <c r="G2912" t="inlineStr">
        <is>
          <t>Electricity-only proxy: source amount / 0.33; 100% burden to electricity, before STEM efficiency adjustment.</t>
        </is>
      </c>
    </row>
    <row r="2913">
      <c r="A2913" t="inlineStr">
        <is>
          <t>Calcium II</t>
        </is>
      </c>
      <c r="B2913">
        <v>0.00014831751509922347</v>
      </c>
      <c r="D2913" t="inlineStr">
        <is>
          <t>kilogram</t>
        </is>
      </c>
      <c r="E2913" t="inlineStr">
        <is>
          <t>water::ground-, long-term</t>
        </is>
      </c>
      <c r="F2913" t="inlineStr">
        <is>
          <t>biosphere</t>
        </is>
      </c>
      <c r="G2913" t="inlineStr">
        <is>
          <t>Electricity-only proxy: source amount / 0.33; 100% burden to electricity, before STEM efficiency adjustment.</t>
        </is>
      </c>
    </row>
    <row r="2914">
      <c r="A2914" t="inlineStr">
        <is>
          <t>Calcium II</t>
        </is>
      </c>
      <c r="B2914">
        <v>2.4759965487489216e-07</v>
      </c>
      <c r="D2914" t="inlineStr">
        <is>
          <t>kilogram</t>
        </is>
      </c>
      <c r="E2914" t="inlineStr">
        <is>
          <t>water::surface water</t>
        </is>
      </c>
      <c r="F2914" t="inlineStr">
        <is>
          <t>biosphere</t>
        </is>
      </c>
      <c r="G2914" t="inlineStr">
        <is>
          <t>Electricity-only proxy: source amount / 0.33; 100% burden to electricity, before STEM efficiency adjustment.</t>
        </is>
      </c>
    </row>
    <row r="2915">
      <c r="A2915" t="inlineStr">
        <is>
          <t>Chloride</t>
        </is>
      </c>
      <c r="B2915">
        <v>0.0023645901639344265</v>
      </c>
      <c r="D2915" t="inlineStr">
        <is>
          <t>kilogram</t>
        </is>
      </c>
      <c r="E2915" t="inlineStr">
        <is>
          <t>water::ground-, long-term</t>
        </is>
      </c>
      <c r="F2915" t="inlineStr">
        <is>
          <t>biosphere</t>
        </is>
      </c>
      <c r="G2915" t="inlineStr">
        <is>
          <t>Electricity-only proxy: source amount / 0.33; 100% burden to electricity, before STEM efficiency adjustment.</t>
        </is>
      </c>
    </row>
    <row r="2916">
      <c r="A2916" t="inlineStr">
        <is>
          <t>Chloride</t>
        </is>
      </c>
      <c r="B2916">
        <v>0.015944779982743743</v>
      </c>
      <c r="D2916" t="inlineStr">
        <is>
          <t>kilogram</t>
        </is>
      </c>
      <c r="E2916" t="inlineStr">
        <is>
          <t>water::surface water</t>
        </is>
      </c>
      <c r="F2916" t="inlineStr">
        <is>
          <t>biosphere</t>
        </is>
      </c>
      <c r="G2916" t="inlineStr">
        <is>
          <t>Electricity-only proxy: source amount / 0.33; 100% burden to electricity, before STEM efficiency adjustment.</t>
        </is>
      </c>
    </row>
    <row r="2917">
      <c r="A2917" t="inlineStr">
        <is>
          <t>Chromium III</t>
        </is>
      </c>
      <c r="B2917">
        <v>5.125625539257981e-09</v>
      </c>
      <c r="D2917" t="inlineStr">
        <is>
          <t>kilogram</t>
        </is>
      </c>
      <c r="E2917" t="inlineStr">
        <is>
          <t>water::surface water</t>
        </is>
      </c>
      <c r="F2917" t="inlineStr">
        <is>
          <t>biosphere</t>
        </is>
      </c>
      <c r="G2917" t="inlineStr">
        <is>
          <t>Electricity-only proxy: source amount / 0.33; 100% burden to electricity, before STEM efficiency adjustment.</t>
        </is>
      </c>
    </row>
    <row r="2918">
      <c r="A2918" t="inlineStr">
        <is>
          <t>Chromium VI</t>
        </is>
      </c>
      <c r="B2918">
        <v>2.0874201898188094e-06</v>
      </c>
      <c r="D2918" t="inlineStr">
        <is>
          <t>kilogram</t>
        </is>
      </c>
      <c r="E2918" t="inlineStr">
        <is>
          <t>water::ground-, long-term</t>
        </is>
      </c>
      <c r="F2918" t="inlineStr">
        <is>
          <t>biosphere</t>
        </is>
      </c>
      <c r="G2918" t="inlineStr">
        <is>
          <t>Electricity-only proxy: source amount / 0.33; 100% burden to electricity, before STEM efficiency adjustment.</t>
        </is>
      </c>
    </row>
    <row r="2919">
      <c r="A2919" t="inlineStr">
        <is>
          <t>Chromium VI</t>
        </is>
      </c>
      <c r="B2919">
        <v>6.00776531492666e-07</v>
      </c>
      <c r="D2919" t="inlineStr">
        <is>
          <t>kilogram</t>
        </is>
      </c>
      <c r="E2919" t="inlineStr">
        <is>
          <t>water::surface water</t>
        </is>
      </c>
      <c r="F2919" t="inlineStr">
        <is>
          <t>biosphere</t>
        </is>
      </c>
      <c r="G2919" t="inlineStr">
        <is>
          <t>Electricity-only proxy: source amount / 0.33; 100% burden to electricity, before STEM efficiency adjustment.</t>
        </is>
      </c>
    </row>
    <row r="2920">
      <c r="A2920" t="inlineStr">
        <is>
          <t>Cobalt II</t>
        </is>
      </c>
      <c r="B2920">
        <v>2.6699223468507333e-05</v>
      </c>
      <c r="D2920" t="inlineStr">
        <is>
          <t>kilogram</t>
        </is>
      </c>
      <c r="E2920" t="inlineStr">
        <is>
          <t>water::ground-, long-term</t>
        </is>
      </c>
      <c r="F2920" t="inlineStr">
        <is>
          <t>biosphere</t>
        </is>
      </c>
      <c r="G2920" t="inlineStr">
        <is>
          <t>Electricity-only proxy: source amount / 0.33; 100% burden to electricity, before STEM efficiency adjustment.</t>
        </is>
      </c>
    </row>
    <row r="2921">
      <c r="A2921" t="inlineStr">
        <is>
          <t>Cobalt II</t>
        </is>
      </c>
      <c r="B2921">
        <v>5.02695427092321e-09</v>
      </c>
      <c r="D2921" t="inlineStr">
        <is>
          <t>kilogram</t>
        </is>
      </c>
      <c r="E2921" t="inlineStr">
        <is>
          <t>water::surface water</t>
        </is>
      </c>
      <c r="F2921" t="inlineStr">
        <is>
          <t>biosphere</t>
        </is>
      </c>
      <c r="G2921" t="inlineStr">
        <is>
          <t>Electricity-only proxy: source amount / 0.33; 100% burden to electricity, before STEM efficiency adjustment.</t>
        </is>
      </c>
    </row>
    <row r="2922">
      <c r="A2922" t="inlineStr">
        <is>
          <t>Copper ion</t>
        </is>
      </c>
      <c r="B2922">
        <v>0.0002891285591026747</v>
      </c>
      <c r="D2922" t="inlineStr">
        <is>
          <t>kilogram</t>
        </is>
      </c>
      <c r="E2922" t="inlineStr">
        <is>
          <t>water::ground-, long-term</t>
        </is>
      </c>
      <c r="F2922" t="inlineStr">
        <is>
          <t>biosphere</t>
        </is>
      </c>
      <c r="G2922" t="inlineStr">
        <is>
          <t>Electricity-only proxy: source amount / 0.33; 100% burden to electricity, before STEM efficiency adjustment.</t>
        </is>
      </c>
    </row>
    <row r="2923">
      <c r="A2923" t="inlineStr">
        <is>
          <t>Copper ion</t>
        </is>
      </c>
      <c r="B2923">
        <v>2.6552200172562554e-08</v>
      </c>
      <c r="D2923" t="inlineStr">
        <is>
          <t>kilogram</t>
        </is>
      </c>
      <c r="E2923" t="inlineStr">
        <is>
          <t>water::surface water</t>
        </is>
      </c>
      <c r="F2923" t="inlineStr">
        <is>
          <t>biosphere</t>
        </is>
      </c>
      <c r="G2923" t="inlineStr">
        <is>
          <t>Electricity-only proxy: source amount / 0.33; 100% burden to electricity, before STEM efficiency adjustment.</t>
        </is>
      </c>
    </row>
    <row r="2924">
      <c r="A2924" t="inlineStr">
        <is>
          <t>DOC, Dissolved Organic Carbon</t>
        </is>
      </c>
      <c r="B2924">
        <v>0.001923623813632442</v>
      </c>
      <c r="D2924" t="inlineStr">
        <is>
          <t>kilogram</t>
        </is>
      </c>
      <c r="E2924" t="inlineStr">
        <is>
          <t>water::ground-, long-term</t>
        </is>
      </c>
      <c r="F2924" t="inlineStr">
        <is>
          <t>biosphere</t>
        </is>
      </c>
      <c r="G2924" t="inlineStr">
        <is>
          <t>Electricity-only proxy: source amount / 0.33; 100% burden to electricity, before STEM efficiency adjustment.</t>
        </is>
      </c>
    </row>
    <row r="2925">
      <c r="A2925" t="inlineStr">
        <is>
          <t>DOC, Dissolved Organic Carbon</t>
        </is>
      </c>
      <c r="B2925">
        <v>0.00021752200172562555</v>
      </c>
      <c r="D2925" t="inlineStr">
        <is>
          <t>kilogram</t>
        </is>
      </c>
      <c r="E2925" t="inlineStr">
        <is>
          <t>water::surface water</t>
        </is>
      </c>
      <c r="F2925" t="inlineStr">
        <is>
          <t>biosphere</t>
        </is>
      </c>
      <c r="G2925" t="inlineStr">
        <is>
          <t>Electricity-only proxy: source amount / 0.33; 100% burden to electricity, before STEM efficiency adjustment.</t>
        </is>
      </c>
    </row>
    <row r="2926">
      <c r="A2926" t="inlineStr">
        <is>
          <t>Fluoride</t>
        </is>
      </c>
      <c r="B2926">
        <v>9.475237273511648e-06</v>
      </c>
      <c r="D2926" t="inlineStr">
        <is>
          <t>kilogram</t>
        </is>
      </c>
      <c r="E2926" t="inlineStr">
        <is>
          <t>water::ground-, long-term</t>
        </is>
      </c>
      <c r="F2926" t="inlineStr">
        <is>
          <t>biosphere</t>
        </is>
      </c>
      <c r="G2926" t="inlineStr">
        <is>
          <t>Electricity-only proxy: source amount / 0.33; 100% burden to electricity, before STEM efficiency adjustment.</t>
        </is>
      </c>
    </row>
    <row r="2927">
      <c r="A2927" t="inlineStr">
        <is>
          <t>Fluoride</t>
        </is>
      </c>
      <c r="B2927">
        <v>4.1335289042277825e-06</v>
      </c>
      <c r="D2927" t="inlineStr">
        <is>
          <t>kilogram</t>
        </is>
      </c>
      <c r="E2927" t="inlineStr">
        <is>
          <t>water::surface water</t>
        </is>
      </c>
      <c r="F2927" t="inlineStr">
        <is>
          <t>biosphere</t>
        </is>
      </c>
      <c r="G2927" t="inlineStr">
        <is>
          <t>Electricity-only proxy: source amount / 0.33; 100% burden to electricity, before STEM efficiency adjustment.</t>
        </is>
      </c>
    </row>
    <row r="2928">
      <c r="A2928" t="inlineStr">
        <is>
          <t>Heat, waste</t>
        </is>
      </c>
      <c r="B2928">
        <v>6.510232959447799</v>
      </c>
      <c r="D2928" t="inlineStr">
        <is>
          <t>megajoule</t>
        </is>
      </c>
      <c r="E2928" t="inlineStr">
        <is>
          <t>water::surface water</t>
        </is>
      </c>
      <c r="F2928" t="inlineStr">
        <is>
          <t>biosphere</t>
        </is>
      </c>
      <c r="G2928" t="inlineStr">
        <is>
          <t>Electricity-only proxy: source amount / 0.33; 100% burden to electricity, before STEM efficiency adjustment.</t>
        </is>
      </c>
    </row>
    <row r="2929">
      <c r="A2929" t="inlineStr">
        <is>
          <t>Iron ion</t>
        </is>
      </c>
      <c r="B2929">
        <v>0.0018422433132010353</v>
      </c>
      <c r="D2929" t="inlineStr">
        <is>
          <t>kilogram</t>
        </is>
      </c>
      <c r="E2929" t="inlineStr">
        <is>
          <t>water::ground-, long-term</t>
        </is>
      </c>
      <c r="F2929" t="inlineStr">
        <is>
          <t>biosphere</t>
        </is>
      </c>
      <c r="G2929" t="inlineStr">
        <is>
          <t>Electricity-only proxy: source amount / 0.33; 100% burden to electricity, before STEM efficiency adjustment.</t>
        </is>
      </c>
    </row>
    <row r="2930">
      <c r="A2930" t="inlineStr">
        <is>
          <t>Iron ion</t>
        </is>
      </c>
      <c r="B2930">
        <v>6.945090595340811e-08</v>
      </c>
      <c r="D2930" t="inlineStr">
        <is>
          <t>kilogram</t>
        </is>
      </c>
      <c r="E2930" t="inlineStr">
        <is>
          <t>water::surface water</t>
        </is>
      </c>
      <c r="F2930" t="inlineStr">
        <is>
          <t>biosphere</t>
        </is>
      </c>
      <c r="G2930" t="inlineStr">
        <is>
          <t>Electricity-only proxy: source amount / 0.33; 100% burden to electricity, before STEM efficiency adjustment.</t>
        </is>
      </c>
    </row>
    <row r="2931">
      <c r="A2931" t="inlineStr">
        <is>
          <t>Lead II</t>
        </is>
      </c>
      <c r="B2931">
        <v>0.00031770491803278687</v>
      </c>
      <c r="D2931" t="inlineStr">
        <is>
          <t>kilogram</t>
        </is>
      </c>
      <c r="E2931" t="inlineStr">
        <is>
          <t>water::ground-, long-term</t>
        </is>
      </c>
      <c r="F2931" t="inlineStr">
        <is>
          <t>biosphere</t>
        </is>
      </c>
      <c r="G2931" t="inlineStr">
        <is>
          <t>Electricity-only proxy: source amount / 0.33; 100% burden to electricity, before STEM efficiency adjustment.</t>
        </is>
      </c>
    </row>
    <row r="2932">
      <c r="A2932" t="inlineStr">
        <is>
          <t>Lead II</t>
        </is>
      </c>
      <c r="B2932">
        <v>3.072683347713546e-08</v>
      </c>
      <c r="D2932" t="inlineStr">
        <is>
          <t>kilogram</t>
        </is>
      </c>
      <c r="E2932" t="inlineStr">
        <is>
          <t>water::surface water</t>
        </is>
      </c>
      <c r="F2932" t="inlineStr">
        <is>
          <t>biosphere</t>
        </is>
      </c>
      <c r="G2932" t="inlineStr">
        <is>
          <t>Electricity-only proxy: source amount / 0.33; 100% burden to electricity, before STEM efficiency adjustment.</t>
        </is>
      </c>
    </row>
    <row r="2933">
      <c r="A2933" t="inlineStr">
        <is>
          <t>Manganese II</t>
        </is>
      </c>
      <c r="B2933">
        <v>6.121863675582398e-05</v>
      </c>
      <c r="D2933" t="inlineStr">
        <is>
          <t>kilogram</t>
        </is>
      </c>
      <c r="E2933" t="inlineStr">
        <is>
          <t>water::ground-, long-term</t>
        </is>
      </c>
      <c r="F2933" t="inlineStr">
        <is>
          <t>biosphere</t>
        </is>
      </c>
      <c r="G2933" t="inlineStr">
        <is>
          <t>Electricity-only proxy: source amount / 0.33; 100% burden to electricity, before STEM efficiency adjustment.</t>
        </is>
      </c>
    </row>
    <row r="2934">
      <c r="A2934" t="inlineStr">
        <is>
          <t>Manganese II</t>
        </is>
      </c>
      <c r="B2934">
        <v>9.43806729939603e-09</v>
      </c>
      <c r="D2934" t="inlineStr">
        <is>
          <t>kilogram</t>
        </is>
      </c>
      <c r="E2934" t="inlineStr">
        <is>
          <t>water::surface water</t>
        </is>
      </c>
      <c r="F2934" t="inlineStr">
        <is>
          <t>biosphere</t>
        </is>
      </c>
      <c r="G2934" t="inlineStr">
        <is>
          <t>Electricity-only proxy: source amount / 0.33; 100% burden to electricity, before STEM efficiency adjustment.</t>
        </is>
      </c>
    </row>
    <row r="2935">
      <c r="A2935" t="inlineStr">
        <is>
          <t>Mercury II</t>
        </is>
      </c>
      <c r="B2935">
        <v>1.7228645383951681e-07</v>
      </c>
      <c r="D2935" t="inlineStr">
        <is>
          <t>kilogram</t>
        </is>
      </c>
      <c r="E2935" t="inlineStr">
        <is>
          <t>water::ground-, long-term</t>
        </is>
      </c>
      <c r="F2935" t="inlineStr">
        <is>
          <t>biosphere</t>
        </is>
      </c>
      <c r="G2935" t="inlineStr">
        <is>
          <t>Electricity-only proxy: source amount / 0.33; 100% burden to electricity, before STEM efficiency adjustment.</t>
        </is>
      </c>
    </row>
    <row r="2936">
      <c r="A2936" t="inlineStr">
        <is>
          <t>Mercury II</t>
        </is>
      </c>
      <c r="B2936">
        <v>4.365245901639344e-09</v>
      </c>
      <c r="D2936" t="inlineStr">
        <is>
          <t>kilogram</t>
        </is>
      </c>
      <c r="E2936" t="inlineStr">
        <is>
          <t>water::surface water</t>
        </is>
      </c>
      <c r="F2936" t="inlineStr">
        <is>
          <t>biosphere</t>
        </is>
      </c>
      <c r="G2936" t="inlineStr">
        <is>
          <t>Electricity-only proxy: source amount / 0.33; 100% burden to electricity, before STEM efficiency adjustment.</t>
        </is>
      </c>
    </row>
    <row r="2937">
      <c r="A2937" t="inlineStr">
        <is>
          <t>Nickel II</t>
        </is>
      </c>
      <c r="B2937">
        <v>1.946816220880069e-05</v>
      </c>
      <c r="D2937" t="inlineStr">
        <is>
          <t>kilogram</t>
        </is>
      </c>
      <c r="E2937" t="inlineStr">
        <is>
          <t>water::ground-, long-term</t>
        </is>
      </c>
      <c r="F2937" t="inlineStr">
        <is>
          <t>biosphere</t>
        </is>
      </c>
      <c r="G2937" t="inlineStr">
        <is>
          <t>Electricity-only proxy: source amount / 0.33; 100% burden to electricity, before STEM efficiency adjustment.</t>
        </is>
      </c>
    </row>
    <row r="2938">
      <c r="A2938" t="inlineStr">
        <is>
          <t>Nickel II</t>
        </is>
      </c>
      <c r="B2938">
        <v>1.3190681622088009e-08</v>
      </c>
      <c r="D2938" t="inlineStr">
        <is>
          <t>kilogram</t>
        </is>
      </c>
      <c r="E2938" t="inlineStr">
        <is>
          <t>water::surface water</t>
        </is>
      </c>
      <c r="F2938" t="inlineStr">
        <is>
          <t>biosphere</t>
        </is>
      </c>
      <c r="G2938" t="inlineStr">
        <is>
          <t>Electricity-only proxy: source amount / 0.33; 100% burden to electricity, before STEM efficiency adjustment.</t>
        </is>
      </c>
    </row>
    <row r="2939">
      <c r="A2939" t="inlineStr">
        <is>
          <t>Nitrate</t>
        </is>
      </c>
      <c r="B2939">
        <v>0.00022697497842968074</v>
      </c>
      <c r="D2939" t="inlineStr">
        <is>
          <t>kilogram</t>
        </is>
      </c>
      <c r="E2939" t="inlineStr">
        <is>
          <t>water::ground-, long-term</t>
        </is>
      </c>
      <c r="F2939" t="inlineStr">
        <is>
          <t>biosphere</t>
        </is>
      </c>
      <c r="G2939" t="inlineStr">
        <is>
          <t>Electricity-only proxy: source amount / 0.33; 100% burden to electricity, before STEM efficiency adjustment.</t>
        </is>
      </c>
    </row>
    <row r="2940">
      <c r="A2940" t="inlineStr">
        <is>
          <t>Nitrate</t>
        </is>
      </c>
      <c r="B2940">
        <v>8.130284728213977e-05</v>
      </c>
      <c r="D2940" t="inlineStr">
        <is>
          <t>kilogram</t>
        </is>
      </c>
      <c r="E2940" t="inlineStr">
        <is>
          <t>water::surface water</t>
        </is>
      </c>
      <c r="F2940" t="inlineStr">
        <is>
          <t>biosphere</t>
        </is>
      </c>
      <c r="G2940" t="inlineStr">
        <is>
          <t>Electricity-only proxy: source amount / 0.33; 100% burden to electricity, before STEM efficiency adjustment.</t>
        </is>
      </c>
    </row>
    <row r="2941">
      <c r="A2941" t="inlineStr">
        <is>
          <t>Selenium IV</t>
        </is>
      </c>
      <c r="B2941">
        <v>1.556997411561691e-06</v>
      </c>
      <c r="D2941" t="inlineStr">
        <is>
          <t>kilogram</t>
        </is>
      </c>
      <c r="E2941" t="inlineStr">
        <is>
          <t>water::ground-, long-term</t>
        </is>
      </c>
      <c r="F2941" t="inlineStr">
        <is>
          <t>biosphere</t>
        </is>
      </c>
      <c r="G2941" t="inlineStr">
        <is>
          <t>Electricity-only proxy: source amount / 0.33; 100% burden to electricity, before STEM efficiency adjustment.</t>
        </is>
      </c>
    </row>
    <row r="2942">
      <c r="A2942" t="inlineStr">
        <is>
          <t>Selenium IV</t>
        </is>
      </c>
      <c r="B2942">
        <v>4.042312338222606e-07</v>
      </c>
      <c r="D2942" t="inlineStr">
        <is>
          <t>kilogram</t>
        </is>
      </c>
      <c r="E2942" t="inlineStr">
        <is>
          <t>water::surface water</t>
        </is>
      </c>
      <c r="F2942" t="inlineStr">
        <is>
          <t>biosphere</t>
        </is>
      </c>
      <c r="G2942" t="inlineStr">
        <is>
          <t>Electricity-only proxy: source amount / 0.33; 100% burden to electricity, before STEM efficiency adjustment.</t>
        </is>
      </c>
    </row>
    <row r="2943">
      <c r="A2943" t="inlineStr">
        <is>
          <t>Silicon</t>
        </is>
      </c>
      <c r="B2943">
        <v>0.0003573805004314064</v>
      </c>
      <c r="D2943" t="inlineStr">
        <is>
          <t>kilogram</t>
        </is>
      </c>
      <c r="E2943" t="inlineStr">
        <is>
          <t>water::ground-, long-term</t>
        </is>
      </c>
      <c r="F2943" t="inlineStr">
        <is>
          <t>biosphere</t>
        </is>
      </c>
      <c r="G2943" t="inlineStr">
        <is>
          <t>Electricity-only proxy: source amount / 0.33; 100% burden to electricity, before STEM efficiency adjustment.</t>
        </is>
      </c>
    </row>
    <row r="2944">
      <c r="A2944" t="inlineStr">
        <is>
          <t>Silicon</t>
        </is>
      </c>
      <c r="B2944">
        <v>8.055427092320967e-07</v>
      </c>
      <c r="D2944" t="inlineStr">
        <is>
          <t>kilogram</t>
        </is>
      </c>
      <c r="E2944" t="inlineStr">
        <is>
          <t>water::surface water</t>
        </is>
      </c>
      <c r="F2944" t="inlineStr">
        <is>
          <t>biosphere</t>
        </is>
      </c>
      <c r="G2944" t="inlineStr">
        <is>
          <t>Electricity-only proxy: source amount / 0.33; 100% burden to electricity, before STEM efficiency adjustment.</t>
        </is>
      </c>
    </row>
    <row r="2945">
      <c r="A2945" t="inlineStr">
        <is>
          <t>Sodium I</t>
        </is>
      </c>
      <c r="B2945">
        <v>0.0009266609145815358</v>
      </c>
      <c r="D2945" t="inlineStr">
        <is>
          <t>kilogram</t>
        </is>
      </c>
      <c r="E2945" t="inlineStr">
        <is>
          <t>water::ground-, long-term</t>
        </is>
      </c>
      <c r="F2945" t="inlineStr">
        <is>
          <t>biosphere</t>
        </is>
      </c>
      <c r="G2945" t="inlineStr">
        <is>
          <t>Electricity-only proxy: source amount / 0.33; 100% burden to electricity, before STEM efficiency adjustment.</t>
        </is>
      </c>
    </row>
    <row r="2946">
      <c r="A2946" t="inlineStr">
        <is>
          <t>Sodium I</t>
        </is>
      </c>
      <c r="B2946">
        <v>0.0004659603106125971</v>
      </c>
      <c r="D2946" t="inlineStr">
        <is>
          <t>kilogram</t>
        </is>
      </c>
      <c r="E2946" t="inlineStr">
        <is>
          <t>water::surface water</t>
        </is>
      </c>
      <c r="F2946" t="inlineStr">
        <is>
          <t>biosphere</t>
        </is>
      </c>
      <c r="G2946" t="inlineStr">
        <is>
          <t>Electricity-only proxy: source amount / 0.33; 100% burden to electricity, before STEM efficiency adjustment.</t>
        </is>
      </c>
    </row>
    <row r="2947">
      <c r="A2947" t="inlineStr">
        <is>
          <t>Strontium</t>
        </is>
      </c>
      <c r="B2947">
        <v>8.541121656600517e-05</v>
      </c>
      <c r="D2947" t="inlineStr">
        <is>
          <t>kilogram</t>
        </is>
      </c>
      <c r="E2947" t="inlineStr">
        <is>
          <t>water::ground-, long-term</t>
        </is>
      </c>
      <c r="F2947" t="inlineStr">
        <is>
          <t>biosphere</t>
        </is>
      </c>
      <c r="G2947" t="inlineStr">
        <is>
          <t>Electricity-only proxy: source amount / 0.33; 100% burden to electricity, before STEM efficiency adjustment.</t>
        </is>
      </c>
    </row>
    <row r="2948">
      <c r="A2948" t="inlineStr">
        <is>
          <t>Strontium</t>
        </is>
      </c>
      <c r="B2948">
        <v>5.589887834339948e-08</v>
      </c>
      <c r="D2948" t="inlineStr">
        <is>
          <t>kilogram</t>
        </is>
      </c>
      <c r="E2948" t="inlineStr">
        <is>
          <t>water::surface water</t>
        </is>
      </c>
      <c r="F2948" t="inlineStr">
        <is>
          <t>biosphere</t>
        </is>
      </c>
      <c r="G2948" t="inlineStr">
        <is>
          <t>Electricity-only proxy: source amount / 0.33; 100% burden to electricity, before STEM efficiency adjustment.</t>
        </is>
      </c>
    </row>
    <row r="2949">
      <c r="A2949" t="inlineStr">
        <is>
          <t>Sulfate</t>
        </is>
      </c>
      <c r="B2949">
        <v>0.0034823813632441766</v>
      </c>
      <c r="D2949" t="inlineStr">
        <is>
          <t>kilogram</t>
        </is>
      </c>
      <c r="E2949" t="inlineStr">
        <is>
          <t>water::ground-, long-term</t>
        </is>
      </c>
      <c r="F2949" t="inlineStr">
        <is>
          <t>biosphere</t>
        </is>
      </c>
      <c r="G2949" t="inlineStr">
        <is>
          <t>Electricity-only proxy: source amount / 0.33; 100% burden to electricity, before STEM efficiency adjustment.</t>
        </is>
      </c>
    </row>
    <row r="2950">
      <c r="A2950" t="inlineStr">
        <is>
          <t>Sulfate</t>
        </is>
      </c>
      <c r="B2950">
        <v>0.0005951855047454703</v>
      </c>
      <c r="D2950" t="inlineStr">
        <is>
          <t>kilogram</t>
        </is>
      </c>
      <c r="E2950" t="inlineStr">
        <is>
          <t>water::surface water</t>
        </is>
      </c>
      <c r="F2950" t="inlineStr">
        <is>
          <t>biosphere</t>
        </is>
      </c>
      <c r="G2950" t="inlineStr">
        <is>
          <t>Electricity-only proxy: source amount / 0.33; 100% burden to electricity, before STEM efficiency adjustment.</t>
        </is>
      </c>
    </row>
    <row r="2951">
      <c r="A2951" t="inlineStr">
        <is>
          <t>TOC, Total Organic Carbon</t>
        </is>
      </c>
      <c r="B2951">
        <v>0.001923623813632442</v>
      </c>
      <c r="D2951" t="inlineStr">
        <is>
          <t>kilogram</t>
        </is>
      </c>
      <c r="E2951" t="inlineStr">
        <is>
          <t>water::ground-, long-term</t>
        </is>
      </c>
      <c r="F2951" t="inlineStr">
        <is>
          <t>biosphere</t>
        </is>
      </c>
      <c r="G2951" t="inlineStr">
        <is>
          <t>Electricity-only proxy: source amount / 0.33; 100% burden to electricity, before STEM efficiency adjustment.</t>
        </is>
      </c>
    </row>
    <row r="2952">
      <c r="A2952" t="inlineStr">
        <is>
          <t>TOC, Total Organic Carbon</t>
        </is>
      </c>
      <c r="B2952">
        <v>0.00021752200172562555</v>
      </c>
      <c r="D2952" t="inlineStr">
        <is>
          <t>kilogram</t>
        </is>
      </c>
      <c r="E2952" t="inlineStr">
        <is>
          <t>water::surface water</t>
        </is>
      </c>
      <c r="F2952" t="inlineStr">
        <is>
          <t>biosphere</t>
        </is>
      </c>
      <c r="G2952" t="inlineStr">
        <is>
          <t>Electricity-only proxy: source amount / 0.33; 100% burden to electricity, before STEM efficiency adjustment.</t>
        </is>
      </c>
    </row>
    <row r="2953">
      <c r="A2953" t="inlineStr">
        <is>
          <t>Thallium I</t>
        </is>
      </c>
      <c r="B2953">
        <v>2.963037100949094e-07</v>
      </c>
      <c r="D2953" t="inlineStr">
        <is>
          <t>kilogram</t>
        </is>
      </c>
      <c r="E2953" t="inlineStr">
        <is>
          <t>water::ground-, long-term</t>
        </is>
      </c>
      <c r="F2953" t="inlineStr">
        <is>
          <t>biosphere</t>
        </is>
      </c>
      <c r="G2953" t="inlineStr">
        <is>
          <t>Electricity-only proxy: source amount / 0.33; 100% burden to electricity, before STEM efficiency adjustment.</t>
        </is>
      </c>
    </row>
    <row r="2954">
      <c r="A2954" t="inlineStr">
        <is>
          <t>Thallium I</t>
        </is>
      </c>
      <c r="B2954">
        <v>2.745918895599655e-10</v>
      </c>
      <c r="D2954" t="inlineStr">
        <is>
          <t>kilogram</t>
        </is>
      </c>
      <c r="E2954" t="inlineStr">
        <is>
          <t>water::surface water</t>
        </is>
      </c>
      <c r="F2954" t="inlineStr">
        <is>
          <t>biosphere</t>
        </is>
      </c>
      <c r="G2954" t="inlineStr">
        <is>
          <t>Electricity-only proxy: source amount / 0.33; 100% burden to electricity, before STEM efficiency adjustment.</t>
        </is>
      </c>
    </row>
    <row r="2955">
      <c r="A2955" t="inlineStr">
        <is>
          <t>Tin ion</t>
        </is>
      </c>
      <c r="B2955">
        <v>1.6803106125970664e-05</v>
      </c>
      <c r="D2955" t="inlineStr">
        <is>
          <t>kilogram</t>
        </is>
      </c>
      <c r="E2955" t="inlineStr">
        <is>
          <t>water::ground-, long-term</t>
        </is>
      </c>
      <c r="F2955" t="inlineStr">
        <is>
          <t>biosphere</t>
        </is>
      </c>
      <c r="G2955" t="inlineStr">
        <is>
          <t>Electricity-only proxy: source amount / 0.33; 100% burden to electricity, before STEM efficiency adjustment.</t>
        </is>
      </c>
    </row>
    <row r="2956">
      <c r="A2956" t="inlineStr">
        <is>
          <t>Tin ion</t>
        </is>
      </c>
      <c r="B2956">
        <v>2.2885936151855048e-08</v>
      </c>
      <c r="D2956" t="inlineStr">
        <is>
          <t>kilogram</t>
        </is>
      </c>
      <c r="E2956" t="inlineStr">
        <is>
          <t>water::surface water</t>
        </is>
      </c>
      <c r="F2956" t="inlineStr">
        <is>
          <t>biosphere</t>
        </is>
      </c>
      <c r="G2956" t="inlineStr">
        <is>
          <t>Electricity-only proxy: source amount / 0.33; 100% burden to electricity, before STEM efficiency adjustment.</t>
        </is>
      </c>
    </row>
    <row r="2957">
      <c r="A2957" t="inlineStr">
        <is>
          <t>Titanium ion</t>
        </is>
      </c>
      <c r="B2957">
        <v>0.0002891285591026747</v>
      </c>
      <c r="D2957" t="inlineStr">
        <is>
          <t>kilogram</t>
        </is>
      </c>
      <c r="E2957" t="inlineStr">
        <is>
          <t>water::ground-, long-term</t>
        </is>
      </c>
      <c r="F2957" t="inlineStr">
        <is>
          <t>biosphere</t>
        </is>
      </c>
      <c r="G2957" t="inlineStr">
        <is>
          <t>Electricity-only proxy: source amount / 0.33; 100% burden to electricity, before STEM efficiency adjustment.</t>
        </is>
      </c>
    </row>
    <row r="2958">
      <c r="A2958" t="inlineStr">
        <is>
          <t>Titanium ion</t>
        </is>
      </c>
      <c r="B2958">
        <v>1.9669025021570322e-07</v>
      </c>
      <c r="D2958" t="inlineStr">
        <is>
          <t>kilogram</t>
        </is>
      </c>
      <c r="E2958" t="inlineStr">
        <is>
          <t>water::surface water</t>
        </is>
      </c>
      <c r="F2958" t="inlineStr">
        <is>
          <t>biosphere</t>
        </is>
      </c>
      <c r="G2958" t="inlineStr">
        <is>
          <t>Electricity-only proxy: source amount / 0.33; 100% burden to electricity, before STEM efficiency adjustment.</t>
        </is>
      </c>
    </row>
    <row r="2959">
      <c r="A2959" t="inlineStr">
        <is>
          <t>Vanadium V</t>
        </is>
      </c>
      <c r="B2959">
        <v>8.211458153580673e-05</v>
      </c>
      <c r="D2959" t="inlineStr">
        <is>
          <t>kilogram</t>
        </is>
      </c>
      <c r="E2959" t="inlineStr">
        <is>
          <t>water::ground-, long-term</t>
        </is>
      </c>
      <c r="F2959" t="inlineStr">
        <is>
          <t>biosphere</t>
        </is>
      </c>
      <c r="G2959" t="inlineStr">
        <is>
          <t>Electricity-only proxy: source amount / 0.33; 100% burden to electricity, before STEM efficiency adjustment.</t>
        </is>
      </c>
    </row>
    <row r="2960">
      <c r="A2960" t="inlineStr">
        <is>
          <t>Vanadium V</t>
        </is>
      </c>
      <c r="B2960">
        <v>3.238757549611734e-07</v>
      </c>
      <c r="D2960" t="inlineStr">
        <is>
          <t>kilogram</t>
        </is>
      </c>
      <c r="E2960" t="inlineStr">
        <is>
          <t>water::surface water</t>
        </is>
      </c>
      <c r="F2960" t="inlineStr">
        <is>
          <t>biosphere</t>
        </is>
      </c>
      <c r="G2960" t="inlineStr">
        <is>
          <t>Electricity-only proxy: source amount / 0.33; 100% burden to electricity, before STEM efficiency adjustment.</t>
        </is>
      </c>
    </row>
    <row r="2961">
      <c r="A2961" t="inlineStr">
        <is>
          <t>Water</t>
        </is>
      </c>
      <c r="B2961">
        <v>0.0013041473684210524</v>
      </c>
      <c r="D2961" t="inlineStr">
        <is>
          <t>cubic meter</t>
        </is>
      </c>
      <c r="E2961" t="inlineStr">
        <is>
          <t>water::surface water</t>
        </is>
      </c>
      <c r="F2961" t="inlineStr">
        <is>
          <t>biosphere</t>
        </is>
      </c>
      <c r="G2961" t="inlineStr">
        <is>
          <t>Electricity-only proxy: source amount / 0.33; 100% burden to electricity, before STEM efficiency adjustment.</t>
        </is>
      </c>
    </row>
    <row r="2962">
      <c r="A2962" t="inlineStr">
        <is>
          <t>Zinc II</t>
        </is>
      </c>
      <c r="B2962">
        <v>0.00024253666954270924</v>
      </c>
      <c r="D2962" t="inlineStr">
        <is>
          <t>kilogram</t>
        </is>
      </c>
      <c r="E2962" t="inlineStr">
        <is>
          <t>water::ground-, long-term</t>
        </is>
      </c>
      <c r="F2962" t="inlineStr">
        <is>
          <t>biosphere</t>
        </is>
      </c>
      <c r="G2962" t="inlineStr">
        <is>
          <t>Electricity-only proxy: source amount / 0.33; 100% burden to electricity, before STEM efficiency adjustment.</t>
        </is>
      </c>
    </row>
    <row r="2963">
      <c r="A2963" t="inlineStr">
        <is>
          <t>Zinc II</t>
        </is>
      </c>
      <c r="B2963">
        <v>3.2997411561691115e-08</v>
      </c>
      <c r="D2963" t="inlineStr">
        <is>
          <t>kilogram</t>
        </is>
      </c>
      <c r="E2963" t="inlineStr">
        <is>
          <t>water::surface water</t>
        </is>
      </c>
      <c r="F2963" t="inlineStr">
        <is>
          <t>biosphere</t>
        </is>
      </c>
      <c r="G2963" t="inlineStr">
        <is>
          <t>Electricity-only proxy: source amount / 0.33; 100% burden to electricity, before STEM efficiency adjustment.</t>
        </is>
      </c>
    </row>
    <row r="2964">
      <c r="A2964" t="inlineStr">
        <is>
          <t>Oxygen</t>
        </is>
      </c>
      <c r="B2964">
        <v>2.5667989646246765</v>
      </c>
      <c r="D2964" t="inlineStr">
        <is>
          <t>kilogram</t>
        </is>
      </c>
      <c r="E2964" t="inlineStr">
        <is>
          <t>natural resource::in air</t>
        </is>
      </c>
      <c r="F2964" t="inlineStr">
        <is>
          <t>biosphere</t>
        </is>
      </c>
      <c r="G2964" t="inlineStr">
        <is>
          <t>Electricity-only proxy: source amount / 0.33; 100% burden to electricity, before STEM efficiency adjustment.</t>
        </is>
      </c>
    </row>
    <row r="2965">
      <c r="A2965" t="inlineStr">
        <is>
          <t>carbon dioxide, captured at wood burning power plant 20 MW post, pipeline 200km, storage 1000m</t>
        </is>
      </c>
      <c r="B2965">
        <v>2.1517998274374466</v>
      </c>
      <c r="C2965" t="inlineStr">
        <is>
          <t>RER</t>
        </is>
      </c>
      <c r="D2965" t="inlineStr">
        <is>
          <t>kilogram</t>
        </is>
      </c>
      <c r="F2965" t="inlineStr">
        <is>
          <t>technosphere</t>
        </is>
      </c>
      <c r="G2965" t="inlineStr">
        <is>
          <t>Electricity-only proxy: source amount / 0.33; 100% burden to electricity, before STEM efficiency adjustment.</t>
        </is>
      </c>
      <c r="H2965" t="inlineStr">
        <is>
          <t>carbon dioxide, captured at wood burning power plant 20 MW post, pipeline 200km, storage 1000m</t>
        </is>
      </c>
    </row>
    <row r="2966">
      <c r="A2966" t="inlineStr">
        <is>
          <t>Carbon dioxide, fossil</t>
        </is>
      </c>
      <c r="B2966">
        <v>0.2390888697152716</v>
      </c>
      <c r="D2966" t="inlineStr">
        <is>
          <t>kilogram</t>
        </is>
      </c>
      <c r="E2966" t="inlineStr">
        <is>
          <t>air</t>
        </is>
      </c>
      <c r="F2966" t="inlineStr">
        <is>
          <t>biosphere</t>
        </is>
      </c>
      <c r="G2966" t="inlineStr">
        <is>
          <t>This amount is here is not captured (90% efficiency). Electricity-only proxy: source amount / 0.33; 100% burden to electricity, before STEM efficiency adjustment.</t>
        </is>
      </c>
    </row>
    <row r="2967">
      <c r="A2967" t="inlineStr">
        <is>
          <t>Oil, crude</t>
        </is>
      </c>
      <c r="B2967">
        <v>0.7142857142857143</v>
      </c>
      <c r="D2967" t="inlineStr">
        <is>
          <t>kilogram</t>
        </is>
      </c>
      <c r="E2967" t="inlineStr">
        <is>
          <t>natural resource::in ground</t>
        </is>
      </c>
      <c r="F2967" t="inlineStr">
        <is>
          <t>biosphere</t>
        </is>
      </c>
      <c r="G2967" t="inlineStr">
        <is>
          <t>Plastic waste energy input Electricity-only proxy: source amount / 0.33; 100% burden to electricity, before STEM efficiency adjustment.</t>
        </is>
      </c>
    </row>
    <row r="2968"/>
    <row r="2969"/>
    <row r="2970">
      <c r="A2970" t="inlineStr">
        <is>
          <t>Activity</t>
        </is>
      </c>
      <c r="B2970" t="inlineStr">
        <is>
          <t>electricity production, from incineration of biowaste, electricity only</t>
        </is>
      </c>
    </row>
    <row r="2971">
      <c r="A2971" t="inlineStr">
        <is>
          <t>location</t>
        </is>
      </c>
      <c r="B2971" t="inlineStr">
        <is>
          <t>CH</t>
        </is>
      </c>
    </row>
    <row r="2972">
      <c r="A2972" t="inlineStr">
        <is>
          <t>production amount</t>
        </is>
      </c>
      <c r="B2972">
        <v>1</v>
      </c>
    </row>
    <row r="2973">
      <c r="A2973" t="inlineStr">
        <is>
          <t>reference product</t>
        </is>
      </c>
      <c r="B2973" t="inlineStr">
        <is>
          <t>electricity, from incineration of biowaste, electricity only</t>
        </is>
      </c>
    </row>
    <row r="2974">
      <c r="A2974" t="inlineStr">
        <is>
          <t>type</t>
        </is>
      </c>
      <c r="B2974" t="inlineStr">
        <is>
          <t>process</t>
        </is>
      </c>
    </row>
    <row r="2975">
      <c r="A2975" t="inlineStr">
        <is>
          <t>unit</t>
        </is>
      </c>
      <c r="B2975" t="inlineStr">
        <is>
          <t>kilowatt hour</t>
        </is>
      </c>
    </row>
    <row r="2976">
      <c r="A2976" t="inlineStr">
        <is>
          <t>source</t>
        </is>
      </c>
      <c r="B2976" t="inlineStr">
        <is>
          <t>ecoinvent 3.9.1 cutoff</t>
        </is>
      </c>
    </row>
    <row r="2977">
      <c r="A2977" t="inlineStr">
        <is>
          <t>current efficiency</t>
        </is>
      </c>
      <c r="B2977">
        <v>0.0957</v>
      </c>
    </row>
    <row r="2978">
      <c r="A2978" t="inlineStr">
        <is>
          <t>comment</t>
        </is>
      </c>
      <c r="B2978" t="inlineStr">
        <is>
          <t>Electricity-only proxy derived from 'electricity production, from biowaste, municipal incineration, energy allocation'. All energy-production burdens assigned to electricity: divide non-production exchanges by the source electricity allocation factor 0.29. No useful heat coproduct. Retain the source's declared physical electrical efficiency before applying the matching absolute STEM efficiency. CCS capture and storage, residual emissions and biomass uptake retain their source ratios. Source documentation: 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electricity production: 0.42 / (1.01 + 0.42) = 29%. Hence, to deliver 1 kWh of electricity: 1/0.42 * 29% * 3.6.</t>
        </is>
      </c>
    </row>
    <row r="2979">
      <c r="A2979" t="inlineStr">
        <is>
          <t>Exchanges</t>
        </is>
      </c>
    </row>
    <row r="2980">
      <c r="A2980" t="inlineStr">
        <is>
          <t>name</t>
        </is>
      </c>
      <c r="B2980" t="inlineStr">
        <is>
          <t>amount</t>
        </is>
      </c>
      <c r="C2980" t="inlineStr">
        <is>
          <t>location</t>
        </is>
      </c>
      <c r="D2980" t="inlineStr">
        <is>
          <t>unit</t>
        </is>
      </c>
      <c r="E2980" t="inlineStr">
        <is>
          <t>categories</t>
        </is>
      </c>
      <c r="F2980" t="inlineStr">
        <is>
          <t>type</t>
        </is>
      </c>
      <c r="G2980" t="inlineStr">
        <is>
          <t>comment</t>
        </is>
      </c>
      <c r="H2980" t="inlineStr">
        <is>
          <t>reference product</t>
        </is>
      </c>
    </row>
    <row r="2981">
      <c r="A2981" t="inlineStr">
        <is>
          <t>electricity production, from incineration of biowaste, electricity only</t>
        </is>
      </c>
      <c r="B2981">
        <v>1</v>
      </c>
      <c r="C2981" t="inlineStr">
        <is>
          <t>CH</t>
        </is>
      </c>
      <c r="D2981" t="inlineStr">
        <is>
          <t>kilowatt hour</t>
        </is>
      </c>
      <c r="F2981" t="inlineStr">
        <is>
          <t>production</t>
        </is>
      </c>
      <c r="G2981" t="inlineStr">
        <is>
          <t/>
        </is>
      </c>
      <c r="H2981" t="inlineStr">
        <is>
          <t>electricity, from incineration of biowaste, electricity only</t>
        </is>
      </c>
    </row>
    <row r="2982">
      <c r="A2982" t="inlineStr">
        <is>
          <t>Carbon dioxide, in air</t>
        </is>
      </c>
      <c r="B2982">
        <v>4.480598022666989</v>
      </c>
      <c r="D2982" t="inlineStr">
        <is>
          <t>kilogram</t>
        </is>
      </c>
      <c r="E2982" t="inlineStr">
        <is>
          <t>natural resource::in air</t>
        </is>
      </c>
      <c r="F2982" t="inlineStr">
        <is>
          <t>biosphere</t>
        </is>
      </c>
      <c r="G2982" t="inlineStr">
        <is>
          <t>This amount is here to partially cancel the non-fossil CO2 emissions (biomass uptake). Electricity-only proxy: source amount / 0.29; 100% burden to electricity, before STEM efficiency adjustment.</t>
        </is>
      </c>
    </row>
    <row r="2983">
      <c r="A2983" t="inlineStr">
        <is>
          <t>market for ammonia, anhydrous, liquid</t>
        </is>
      </c>
      <c r="B2983">
        <v>0.004657255847600675</v>
      </c>
      <c r="C2983" t="inlineStr">
        <is>
          <t>RER</t>
        </is>
      </c>
      <c r="D2983" t="inlineStr">
        <is>
          <t>kilogram</t>
        </is>
      </c>
      <c r="F2983" t="inlineStr">
        <is>
          <t>technosphere</t>
        </is>
      </c>
      <c r="G2983" t="inlineStr">
        <is>
          <t>Electricity-only proxy: source amount / 0.29; 100% burden to electricity, before STEM efficiency adjustment.</t>
        </is>
      </c>
      <c r="H2983" t="inlineStr">
        <is>
          <t>ammonia, anhydrous, liquid</t>
        </is>
      </c>
    </row>
    <row r="2984">
      <c r="A2984" t="inlineStr">
        <is>
          <t>market for cationic resin</t>
        </is>
      </c>
      <c r="B2984">
        <v>2.6862406558958284e-06</v>
      </c>
      <c r="C2984" t="inlineStr">
        <is>
          <t>RER</t>
        </is>
      </c>
      <c r="D2984" t="inlineStr">
        <is>
          <t>kilogram</t>
        </is>
      </c>
      <c r="F2984" t="inlineStr">
        <is>
          <t>technosphere</t>
        </is>
      </c>
      <c r="G2984" t="inlineStr">
        <is>
          <t>Electricity-only proxy: source amount / 0.29; 100% burden to electricity, before STEM efficiency adjustment.</t>
        </is>
      </c>
      <c r="H2984" t="inlineStr">
        <is>
          <t>cationic resin</t>
        </is>
      </c>
    </row>
    <row r="2985">
      <c r="A2985" t="inlineStr">
        <is>
          <t>market for cement, unspecified</t>
        </is>
      </c>
      <c r="B2985">
        <v>0.04585203761755487</v>
      </c>
      <c r="C2985" t="inlineStr">
        <is>
          <t>CH</t>
        </is>
      </c>
      <c r="D2985" t="inlineStr">
        <is>
          <t>kilogram</t>
        </is>
      </c>
      <c r="F2985" t="inlineStr">
        <is>
          <t>technosphere</t>
        </is>
      </c>
      <c r="G2985" t="inlineStr">
        <is>
          <t>Electricity-only proxy: source amount / 0.29; 100% burden to electricity, before STEM efficiency adjustment.</t>
        </is>
      </c>
      <c r="H2985" t="inlineStr">
        <is>
          <t>cement, unspecified</t>
        </is>
      </c>
    </row>
    <row r="2986">
      <c r="A2986" t="inlineStr">
        <is>
          <t>market for chemical, inorganic</t>
        </is>
      </c>
      <c r="B2986">
        <v>0.0006291883289124669</v>
      </c>
      <c r="C2986" t="inlineStr">
        <is>
          <t>GLO</t>
        </is>
      </c>
      <c r="D2986" t="inlineStr">
        <is>
          <t>kilogram</t>
        </is>
      </c>
      <c r="F2986" t="inlineStr">
        <is>
          <t>technosphere</t>
        </is>
      </c>
      <c r="G2986" t="inlineStr">
        <is>
          <t>Electricity-only proxy: source amount / 0.29; 100% burden to electricity, before STEM efficiency adjustment.</t>
        </is>
      </c>
      <c r="H2986" t="inlineStr">
        <is>
          <t>chemical, inorganic</t>
        </is>
      </c>
    </row>
    <row r="2987">
      <c r="A2987" t="inlineStr">
        <is>
          <t>market for chemical, organic</t>
        </is>
      </c>
      <c r="B2987">
        <v>4.866640945261636e-06</v>
      </c>
      <c r="C2987" t="inlineStr">
        <is>
          <t>GLO</t>
        </is>
      </c>
      <c r="D2987" t="inlineStr">
        <is>
          <t>kilogram</t>
        </is>
      </c>
      <c r="F2987" t="inlineStr">
        <is>
          <t>technosphere</t>
        </is>
      </c>
      <c r="G2987" t="inlineStr">
        <is>
          <t>Electricity-only proxy: source amount / 0.29; 100% burden to electricity, before STEM efficiency adjustment.</t>
        </is>
      </c>
      <c r="H2987" t="inlineStr">
        <is>
          <t>chemical, organic</t>
        </is>
      </c>
    </row>
    <row r="2988">
      <c r="A2988" t="inlineStr">
        <is>
          <t>market for chromium trioxide, flakes</t>
        </is>
      </c>
      <c r="B2988">
        <v>5.95488787074994e-06</v>
      </c>
      <c r="C2988" t="inlineStr">
        <is>
          <t>GLO</t>
        </is>
      </c>
      <c r="D2988" t="inlineStr">
        <is>
          <t>kilogram</t>
        </is>
      </c>
      <c r="F2988" t="inlineStr">
        <is>
          <t>technosphere</t>
        </is>
      </c>
      <c r="G2988" t="inlineStr">
        <is>
          <t>Electricity-only proxy: source amount / 0.29; 100% burden to electricity, before STEM efficiency adjustment.</t>
        </is>
      </c>
      <c r="H2988" t="inlineStr">
        <is>
          <t>chromium trioxide, flakes</t>
        </is>
      </c>
    </row>
    <row r="2989">
      <c r="A2989" t="inlineStr">
        <is>
          <t>market for heat, district or industrial, natural gas</t>
        </is>
      </c>
      <c r="B2989">
        <v>0.8708753315649869</v>
      </c>
      <c r="C2989" t="inlineStr">
        <is>
          <t>CH</t>
        </is>
      </c>
      <c r="D2989" t="inlineStr">
        <is>
          <t>megajoule</t>
        </is>
      </c>
      <c r="F2989" t="inlineStr">
        <is>
          <t>technosphere</t>
        </is>
      </c>
      <c r="G2989" t="inlineStr">
        <is>
          <t>Electricity-only proxy: source amount / 0.29; 100% burden to electricity, before STEM efficiency adjustment.</t>
        </is>
      </c>
      <c r="H2989" t="inlineStr">
        <is>
          <t>heat, district or industrial, natural gas</t>
        </is>
      </c>
    </row>
    <row r="2990">
      <c r="A2990" t="inlineStr">
        <is>
          <t>market for hydrochloric acid, without water, in 30% solution state</t>
        </is>
      </c>
      <c r="B2990">
        <v>0.003342435495538944</v>
      </c>
      <c r="C2990" t="inlineStr">
        <is>
          <t>RER</t>
        </is>
      </c>
      <c r="D2990" t="inlineStr">
        <is>
          <t>kilogram</t>
        </is>
      </c>
      <c r="F2990" t="inlineStr">
        <is>
          <t>technosphere</t>
        </is>
      </c>
      <c r="G2990" t="inlineStr">
        <is>
          <t>Electricity-only proxy: source amount / 0.29; 100% burden to electricity, before STEM efficiency adjustment.</t>
        </is>
      </c>
      <c r="H2990" t="inlineStr">
        <is>
          <t>hydrochloric acid, without water, in 30% solution state</t>
        </is>
      </c>
    </row>
    <row r="2991">
      <c r="A2991" t="inlineStr">
        <is>
          <t>market for hydrogen peroxide, without water, in 50% solution state</t>
        </is>
      </c>
      <c r="B2991">
        <v>0.008086153846153847</v>
      </c>
      <c r="C2991" t="inlineStr">
        <is>
          <t>RER</t>
        </is>
      </c>
      <c r="D2991" t="inlineStr">
        <is>
          <t>kilogram</t>
        </is>
      </c>
      <c r="F2991" t="inlineStr">
        <is>
          <t>technosphere</t>
        </is>
      </c>
      <c r="G2991" t="inlineStr">
        <is>
          <t>Electricity-only proxy: source amount / 0.29; 100% burden to electricity, before STEM efficiency adjustment.</t>
        </is>
      </c>
      <c r="H2991" t="inlineStr">
        <is>
          <t>hydrogen peroxide, without water, in 50% solution state</t>
        </is>
      </c>
    </row>
    <row r="2992">
      <c r="A2992" t="inlineStr">
        <is>
          <t>market for iron(III) chloride, without water, in 40% solution state</t>
        </is>
      </c>
      <c r="B2992">
        <v>9.442295635399084e-06</v>
      </c>
      <c r="C2992" t="inlineStr">
        <is>
          <t>GLO</t>
        </is>
      </c>
      <c r="D2992" t="inlineStr">
        <is>
          <t>kilogram</t>
        </is>
      </c>
      <c r="F2992" t="inlineStr">
        <is>
          <t>technosphere</t>
        </is>
      </c>
      <c r="G2992" t="inlineStr">
        <is>
          <t>Electricity-only proxy: source amount / 0.29; 100% burden to electricity, before STEM efficiency adjustment.</t>
        </is>
      </c>
      <c r="H2992" t="inlineStr">
        <is>
          <t>iron(III) chloride, without water, in 40% solution state</t>
        </is>
      </c>
    </row>
    <row r="2993">
      <c r="A2993" t="inlineStr">
        <is>
          <t>metalliferous hydroxide sludge, Recycled Content cut-off</t>
        </is>
      </c>
      <c r="B2993">
        <v>-0.025156595129008925</v>
      </c>
      <c r="C2993" t="inlineStr">
        <is>
          <t>GLO</t>
        </is>
      </c>
      <c r="D2993" t="inlineStr">
        <is>
          <t>kilogram</t>
        </is>
      </c>
      <c r="F2993" t="inlineStr">
        <is>
          <t>technosphere</t>
        </is>
      </c>
      <c r="G2993" t="inlineStr">
        <is>
          <t>Electricity-only proxy: source amount / 0.29; 100% burden to electricity, before STEM efficiency adjustment.</t>
        </is>
      </c>
      <c r="H2993" t="inlineStr">
        <is>
          <t>metalliferous hydroxide sludge</t>
        </is>
      </c>
    </row>
    <row r="2994">
      <c r="A2994" t="inlineStr">
        <is>
          <t>municipal waste incineration facility construction</t>
        </is>
      </c>
      <c r="B2994">
        <v>2.1702435495538945e-09</v>
      </c>
      <c r="C2994" t="inlineStr">
        <is>
          <t>CH</t>
        </is>
      </c>
      <c r="D2994" t="inlineStr">
        <is>
          <t>unit</t>
        </is>
      </c>
      <c r="F2994" t="inlineStr">
        <is>
          <t>technosphere</t>
        </is>
      </c>
      <c r="G2994" t="inlineStr">
        <is>
          <t>Electricity-only proxy: source amount / 0.29; 100% burden to electricity, before STEM efficiency adjustment.</t>
        </is>
      </c>
      <c r="H2994" t="inlineStr">
        <is>
          <t>municipal waste incineration facility</t>
        </is>
      </c>
    </row>
    <row r="2995">
      <c r="A2995" t="inlineStr">
        <is>
          <t>process-specific burdens, residual material landfill</t>
        </is>
      </c>
      <c r="B2995">
        <v>0.22854400771642155</v>
      </c>
      <c r="C2995" t="inlineStr">
        <is>
          <t>CH</t>
        </is>
      </c>
      <c r="D2995" t="inlineStr">
        <is>
          <t>kilogram</t>
        </is>
      </c>
      <c r="F2995" t="inlineStr">
        <is>
          <t>technosphere</t>
        </is>
      </c>
      <c r="G2995" t="inlineStr">
        <is>
          <t>Electricity-only proxy: source amount / 0.29; 100% burden to electricity, before STEM efficiency adjustment.</t>
        </is>
      </c>
      <c r="H2995" t="inlineStr">
        <is>
          <t>process-specific burdens, residual material landfill</t>
        </is>
      </c>
    </row>
    <row r="2996">
      <c r="A2996" t="inlineStr">
        <is>
          <t>process-specific burdens, slag landfill</t>
        </is>
      </c>
      <c r="B2996">
        <v>1.2385145888594165</v>
      </c>
      <c r="C2996" t="inlineStr">
        <is>
          <t>CH</t>
        </is>
      </c>
      <c r="D2996" t="inlineStr">
        <is>
          <t>kilogram</t>
        </is>
      </c>
      <c r="F2996" t="inlineStr">
        <is>
          <t>technosphere</t>
        </is>
      </c>
      <c r="G2996" t="inlineStr">
        <is>
          <t>Electricity-only proxy: source amount / 0.29; 100% burden to electricity, before STEM efficiency adjustment.</t>
        </is>
      </c>
      <c r="H2996" t="inlineStr">
        <is>
          <t>process-specific burdens, slag landfill</t>
        </is>
      </c>
    </row>
    <row r="2997">
      <c r="A2997" t="inlineStr">
        <is>
          <t>market for quicklime, milled, packed</t>
        </is>
      </c>
      <c r="B2997">
        <v>0.011979744393537496</v>
      </c>
      <c r="C2997" t="inlineStr">
        <is>
          <t>RER</t>
        </is>
      </c>
      <c r="D2997" t="inlineStr">
        <is>
          <t>kilogram</t>
        </is>
      </c>
      <c r="F2997" t="inlineStr">
        <is>
          <t>technosphere</t>
        </is>
      </c>
      <c r="G2997" t="inlineStr">
        <is>
          <t>Electricity-only proxy: source amount / 0.29; 100% burden to electricity, before STEM efficiency adjustment.</t>
        </is>
      </c>
      <c r="H2997" t="inlineStr">
        <is>
          <t>quicklime, milled, packed</t>
        </is>
      </c>
    </row>
    <row r="2998">
      <c r="A2998" t="inlineStr">
        <is>
          <t>residual material landfill construction</t>
        </is>
      </c>
      <c r="B2998">
        <v>4.761340728237281e-10</v>
      </c>
      <c r="C2998" t="inlineStr">
        <is>
          <t>CH</t>
        </is>
      </c>
      <c r="D2998" t="inlineStr">
        <is>
          <t>unit</t>
        </is>
      </c>
      <c r="F2998" t="inlineStr">
        <is>
          <t>technosphere</t>
        </is>
      </c>
      <c r="G2998" t="inlineStr">
        <is>
          <t>Electricity-only proxy: source amount / 0.29; 100% burden to electricity, before STEM efficiency adjustment.</t>
        </is>
      </c>
      <c r="H2998" t="inlineStr">
        <is>
          <t>residual material landfill</t>
        </is>
      </c>
    </row>
    <row r="2999">
      <c r="A2999" t="inlineStr">
        <is>
          <t>slag landfill construction</t>
        </is>
      </c>
      <c r="B2999">
        <v>2.201755485893417e-09</v>
      </c>
      <c r="C2999" t="inlineStr">
        <is>
          <t>CH</t>
        </is>
      </c>
      <c r="D2999" t="inlineStr">
        <is>
          <t>unit</t>
        </is>
      </c>
      <c r="F2999" t="inlineStr">
        <is>
          <t>technosphere</t>
        </is>
      </c>
      <c r="G2999" t="inlineStr">
        <is>
          <t>Electricity-only proxy: source amount / 0.29; 100% burden to electricity, before STEM efficiency adjustment.</t>
        </is>
      </c>
      <c r="H2999" t="inlineStr">
        <is>
          <t>slag landfill</t>
        </is>
      </c>
    </row>
    <row r="3000">
      <c r="A3000" t="inlineStr">
        <is>
          <t>market for sodium hydroxide, without water, in 50% solution state</t>
        </is>
      </c>
      <c r="B3000">
        <v>0.00938326501085122</v>
      </c>
      <c r="C3000" t="inlineStr">
        <is>
          <t>RoW</t>
        </is>
      </c>
      <c r="D3000" t="inlineStr">
        <is>
          <t>kilogram</t>
        </is>
      </c>
      <c r="F3000" t="inlineStr">
        <is>
          <t>technosphere</t>
        </is>
      </c>
      <c r="G3000" t="inlineStr">
        <is>
          <t>Electricity-only proxy: source amount / 0.29; 100% burden to electricity, before STEM efficiency adjustment.</t>
        </is>
      </c>
      <c r="H3000" t="inlineStr">
        <is>
          <t>sodium hydroxide, without water, in 50% solution state</t>
        </is>
      </c>
    </row>
    <row r="3001">
      <c r="A3001" t="inlineStr">
        <is>
          <t>market for spent activated carbon with mercury</t>
        </is>
      </c>
      <c r="B3001">
        <v>-2.827566915842778e-06</v>
      </c>
      <c r="C3001" t="inlineStr">
        <is>
          <t>GLO</t>
        </is>
      </c>
      <c r="D3001" t="inlineStr">
        <is>
          <t>kilogram</t>
        </is>
      </c>
      <c r="F3001" t="inlineStr">
        <is>
          <t>technosphere</t>
        </is>
      </c>
      <c r="G3001" t="inlineStr">
        <is>
          <t>Electricity-only proxy: source amount / 0.29; 100% burden to electricity, before STEM efficiency adjustment.</t>
        </is>
      </c>
      <c r="H3001" t="inlineStr">
        <is>
          <t>spent activated carbon with mercury</t>
        </is>
      </c>
    </row>
    <row r="3002">
      <c r="A3002" t="inlineStr">
        <is>
          <t>market for titanium dioxide</t>
        </is>
      </c>
      <c r="B3002">
        <v>0.0002917935857246202</v>
      </c>
      <c r="C3002" t="inlineStr">
        <is>
          <t>RER</t>
        </is>
      </c>
      <c r="D3002" t="inlineStr">
        <is>
          <t>kilogram</t>
        </is>
      </c>
      <c r="F3002" t="inlineStr">
        <is>
          <t>technosphere</t>
        </is>
      </c>
      <c r="G3002" t="inlineStr">
        <is>
          <t>Electricity-only proxy: source amount / 0.29; 100% burden to electricity, before STEM efficiency adjustment.</t>
        </is>
      </c>
      <c r="H3002" t="inlineStr">
        <is>
          <t>titanium dioxide</t>
        </is>
      </c>
    </row>
    <row r="3003">
      <c r="A3003" t="inlineStr">
        <is>
          <t>market for transport, freight, lorry, unspecified</t>
        </is>
      </c>
      <c r="B3003">
        <v>0.05667981673498915</v>
      </c>
      <c r="C3003" t="inlineStr">
        <is>
          <t>RER</t>
        </is>
      </c>
      <c r="D3003" t="inlineStr">
        <is>
          <t>ton kilometer</t>
        </is>
      </c>
      <c r="F3003" t="inlineStr">
        <is>
          <t>technosphere</t>
        </is>
      </c>
      <c r="G3003" t="inlineStr">
        <is>
          <t>Electricity-only proxy: source amount / 0.29; 100% burden to electricity, before STEM efficiency adjustment.</t>
        </is>
      </c>
      <c r="H3003" t="inlineStr">
        <is>
          <t>transport, freight, lorry, unspecified</t>
        </is>
      </c>
    </row>
    <row r="3004">
      <c r="A3004" t="inlineStr">
        <is>
          <t>market for waste cement, hydrated</t>
        </is>
      </c>
      <c r="B3004">
        <v>-0.1146322642874367</v>
      </c>
      <c r="C3004" t="inlineStr">
        <is>
          <t>CH</t>
        </is>
      </c>
      <c r="D3004" t="inlineStr">
        <is>
          <t>kilogram</t>
        </is>
      </c>
      <c r="F3004" t="inlineStr">
        <is>
          <t>technosphere</t>
        </is>
      </c>
      <c r="G3004" t="inlineStr">
        <is>
          <t>Electricity-only proxy: source amount / 0.29; 100% burden to electricity, before STEM efficiency adjustment.</t>
        </is>
      </c>
      <c r="H3004" t="inlineStr">
        <is>
          <t>waste cement, hydrated</t>
        </is>
      </c>
    </row>
    <row r="3005">
      <c r="A3005" t="inlineStr">
        <is>
          <t>market for water, decarbonised</t>
        </is>
      </c>
      <c r="B3005">
        <v>7.458953460332771</v>
      </c>
      <c r="C3005" t="inlineStr">
        <is>
          <t>CH</t>
        </is>
      </c>
      <c r="D3005" t="inlineStr">
        <is>
          <t>kilogram</t>
        </is>
      </c>
      <c r="F3005" t="inlineStr">
        <is>
          <t>technosphere</t>
        </is>
      </c>
      <c r="G3005" t="inlineStr">
        <is>
          <t>Electricity-only proxy: source amount / 0.29; 100% burden to electricity, before STEM efficiency adjustment.</t>
        </is>
      </c>
      <c r="H3005" t="inlineStr">
        <is>
          <t>water, decarbonised</t>
        </is>
      </c>
    </row>
    <row r="3006">
      <c r="A3006" t="inlineStr">
        <is>
          <t>Aluminium III</t>
        </is>
      </c>
      <c r="B3006">
        <v>6.170349650349651e-08</v>
      </c>
      <c r="D3006" t="inlineStr">
        <is>
          <t>kilogram</t>
        </is>
      </c>
      <c r="E3006" t="inlineStr">
        <is>
          <t>air::urban air close to ground</t>
        </is>
      </c>
      <c r="F3006" t="inlineStr">
        <is>
          <t>biosphere</t>
        </is>
      </c>
      <c r="G3006" t="inlineStr">
        <is>
          <t>Electricity-only proxy: source amount / 0.29; 100% burden to electricity, before STEM efficiency adjustment.</t>
        </is>
      </c>
    </row>
    <row r="3007">
      <c r="A3007" t="inlineStr">
        <is>
          <t>Ammonia</t>
        </is>
      </c>
      <c r="B3007">
        <v>5.475784904750423e-06</v>
      </c>
      <c r="D3007" t="inlineStr">
        <is>
          <t>kilogram</t>
        </is>
      </c>
      <c r="E3007" t="inlineStr">
        <is>
          <t>air::urban air close to ground</t>
        </is>
      </c>
      <c r="F3007" t="inlineStr">
        <is>
          <t>biosphere</t>
        </is>
      </c>
      <c r="G3007" t="inlineStr">
        <is>
          <t>Electricity-only proxy: source amount / 0.29; 100% burden to electricity, before STEM efficiency adjustment.</t>
        </is>
      </c>
    </row>
    <row r="3008">
      <c r="A3008" t="inlineStr">
        <is>
          <t>Arsenic ion</t>
        </is>
      </c>
      <c r="B3008">
        <v>1.1862551241861587e-07</v>
      </c>
      <c r="D3008" t="inlineStr">
        <is>
          <t>kilogram</t>
        </is>
      </c>
      <c r="E3008" t="inlineStr">
        <is>
          <t>air::urban air close to ground</t>
        </is>
      </c>
      <c r="F3008" t="inlineStr">
        <is>
          <t>biosphere</t>
        </is>
      </c>
      <c r="G3008" t="inlineStr">
        <is>
          <t>Electricity-only proxy: source amount / 0.29; 100% burden to electricity, before STEM efficiency adjustment.</t>
        </is>
      </c>
    </row>
    <row r="3009">
      <c r="A3009" t="inlineStr">
        <is>
          <t>Benzene</t>
        </is>
      </c>
      <c r="B3009">
        <v>3.61284784181336e-07</v>
      </c>
      <c r="D3009" t="inlineStr">
        <is>
          <t>kilogram</t>
        </is>
      </c>
      <c r="E3009" t="inlineStr">
        <is>
          <t>air::urban air close to ground</t>
        </is>
      </c>
      <c r="F3009" t="inlineStr">
        <is>
          <t>biosphere</t>
        </is>
      </c>
      <c r="G3009" t="inlineStr">
        <is>
          <t>Electricity-only proxy: source amount / 0.29; 100% burden to electricity, before STEM efficiency adjustment.</t>
        </is>
      </c>
    </row>
    <row r="3010">
      <c r="A3010" t="inlineStr">
        <is>
          <t>Benzene, hexachloro-</t>
        </is>
      </c>
      <c r="B3010">
        <v>7.554270557029178e-10</v>
      </c>
      <c r="D3010" t="inlineStr">
        <is>
          <t>kilogram</t>
        </is>
      </c>
      <c r="E3010" t="inlineStr">
        <is>
          <t>air::urban air close to ground</t>
        </is>
      </c>
      <c r="F3010" t="inlineStr">
        <is>
          <t>biosphere</t>
        </is>
      </c>
      <c r="G3010" t="inlineStr">
        <is>
          <t>Electricity-only proxy: source amount / 0.29; 100% burden to electricity, before STEM efficiency adjustment.</t>
        </is>
      </c>
    </row>
    <row r="3011">
      <c r="A3011" t="inlineStr">
        <is>
          <t>Pentachlorobenzene</t>
        </is>
      </c>
      <c r="B3011">
        <v>1.9087726067036415e-09</v>
      </c>
      <c r="D3011" t="inlineStr">
        <is>
          <t>kilogram</t>
        </is>
      </c>
      <c r="E3011" t="inlineStr">
        <is>
          <t>air::urban air close to ground</t>
        </is>
      </c>
      <c r="F3011" t="inlineStr">
        <is>
          <t>biosphere</t>
        </is>
      </c>
      <c r="G3011" t="inlineStr">
        <is>
          <t>Electricity-only proxy: source amount / 0.29; 100% burden to electricity, before STEM efficiency adjustment.</t>
        </is>
      </c>
    </row>
    <row r="3012">
      <c r="A3012" t="inlineStr">
        <is>
          <t>Benzo(a)pyrene</t>
        </is>
      </c>
      <c r="B3012">
        <v>8.039710634193394e-12</v>
      </c>
      <c r="D3012" t="inlineStr">
        <is>
          <t>kilogram</t>
        </is>
      </c>
      <c r="E3012" t="inlineStr">
        <is>
          <t>air::urban air close to ground</t>
        </is>
      </c>
      <c r="F3012" t="inlineStr">
        <is>
          <t>biosphere</t>
        </is>
      </c>
      <c r="G3012" t="inlineStr">
        <is>
          <t>Electricity-only proxy: source amount / 0.29; 100% burden to electricity, before STEM efficiency adjustment.</t>
        </is>
      </c>
    </row>
    <row r="3013">
      <c r="A3013" t="inlineStr">
        <is>
          <t>Bromine</t>
        </is>
      </c>
      <c r="B3013">
        <v>2.2692066554135522e-08</v>
      </c>
      <c r="D3013" t="inlineStr">
        <is>
          <t>kilogram</t>
        </is>
      </c>
      <c r="E3013" t="inlineStr">
        <is>
          <t>air::urban air close to ground</t>
        </is>
      </c>
      <c r="F3013" t="inlineStr">
        <is>
          <t>biosphere</t>
        </is>
      </c>
      <c r="G3013" t="inlineStr">
        <is>
          <t>Electricity-only proxy: source amount / 0.29; 100% burden to electricity, before STEM efficiency adjustment.</t>
        </is>
      </c>
    </row>
    <row r="3014">
      <c r="A3014" t="inlineStr">
        <is>
          <t>Cadmium II</t>
        </is>
      </c>
      <c r="B3014">
        <v>5.325951290089222e-10</v>
      </c>
      <c r="D3014" t="inlineStr">
        <is>
          <t>kilogram</t>
        </is>
      </c>
      <c r="E3014" t="inlineStr">
        <is>
          <t>air::urban air close to ground</t>
        </is>
      </c>
      <c r="F3014" t="inlineStr">
        <is>
          <t>biosphere</t>
        </is>
      </c>
      <c r="G3014" t="inlineStr">
        <is>
          <t>Electricity-only proxy: source amount / 0.29; 100% burden to electricity, before STEM efficiency adjustment.</t>
        </is>
      </c>
    </row>
    <row r="3015">
      <c r="A3015" t="inlineStr">
        <is>
          <t>Calcium</t>
        </is>
      </c>
      <c r="B3015">
        <v>0.0012990209790209792</v>
      </c>
      <c r="D3015" t="inlineStr">
        <is>
          <t>kilogram</t>
        </is>
      </c>
      <c r="E3015" t="inlineStr">
        <is>
          <t>air::urban air close to ground</t>
        </is>
      </c>
      <c r="F3015" t="inlineStr">
        <is>
          <t>biosphere</t>
        </is>
      </c>
      <c r="G3015" t="inlineStr">
        <is>
          <t>Electricity-only proxy: source amount / 0.29; 100% burden to electricity, before STEM efficiency adjustment.</t>
        </is>
      </c>
    </row>
    <row r="3016">
      <c r="A3016" t="inlineStr">
        <is>
          <t>Carbon dioxide, non-fossil</t>
        </is>
      </c>
      <c r="B3016">
        <v>4.480598022666989</v>
      </c>
      <c r="D3016" t="inlineStr">
        <is>
          <t>kilogram</t>
        </is>
      </c>
      <c r="E3016" t="inlineStr">
        <is>
          <t>air::urban air close to ground</t>
        </is>
      </c>
      <c r="F3016" t="inlineStr">
        <is>
          <t>biosphere</t>
        </is>
      </c>
      <c r="G3016" t="inlineStr">
        <is>
          <t>Electricity-only proxy: source amount / 0.29; 100% burden to electricity, before STEM efficiency adjustment.</t>
        </is>
      </c>
    </row>
    <row r="3017">
      <c r="A3017" t="inlineStr">
        <is>
          <t>Carbon monoxide, non-fossil</t>
        </is>
      </c>
      <c r="B3017">
        <v>0.0006141355196527611</v>
      </c>
      <c r="D3017" t="inlineStr">
        <is>
          <t>kilogram</t>
        </is>
      </c>
      <c r="E3017" t="inlineStr">
        <is>
          <t>air::urban air close to ground</t>
        </is>
      </c>
      <c r="F3017" t="inlineStr">
        <is>
          <t>biosphere</t>
        </is>
      </c>
      <c r="G3017" t="inlineStr">
        <is>
          <t>Electricity-only proxy: source amount / 0.29; 100% burden to electricity, before STEM efficiency adjustment.</t>
        </is>
      </c>
    </row>
    <row r="3018">
      <c r="A3018" t="inlineStr">
        <is>
          <t>Chromium III</t>
        </is>
      </c>
      <c r="B3018">
        <v>5.289404388714734e-08</v>
      </c>
      <c r="D3018" t="inlineStr">
        <is>
          <t>kilogram</t>
        </is>
      </c>
      <c r="E3018" t="inlineStr">
        <is>
          <t>air::urban air close to ground</t>
        </is>
      </c>
      <c r="F3018" t="inlineStr">
        <is>
          <t>biosphere</t>
        </is>
      </c>
      <c r="G3018" t="inlineStr">
        <is>
          <t>Electricity-only proxy: source amount / 0.29; 100% burden to electricity, before STEM efficiency adjustment.</t>
        </is>
      </c>
    </row>
    <row r="3019">
      <c r="A3019" t="inlineStr">
        <is>
          <t>Cobalt II</t>
        </is>
      </c>
      <c r="B3019">
        <v>6.885227875572703e-08</v>
      </c>
      <c r="D3019" t="inlineStr">
        <is>
          <t>kilogram</t>
        </is>
      </c>
      <c r="E3019" t="inlineStr">
        <is>
          <t>air::urban air close to ground</t>
        </is>
      </c>
      <c r="F3019" t="inlineStr">
        <is>
          <t>biosphere</t>
        </is>
      </c>
      <c r="G3019" t="inlineStr">
        <is>
          <t>Electricity-only proxy: source amount / 0.29; 100% burden to electricity, before STEM efficiency adjustment.</t>
        </is>
      </c>
    </row>
    <row r="3020">
      <c r="A3020" t="inlineStr">
        <is>
          <t>Copper ion</t>
        </is>
      </c>
      <c r="B3020">
        <v>1.2483240897034e-08</v>
      </c>
      <c r="D3020" t="inlineStr">
        <is>
          <t>kilogram</t>
        </is>
      </c>
      <c r="E3020" t="inlineStr">
        <is>
          <t>air::urban air close to ground</t>
        </is>
      </c>
      <c r="F3020" t="inlineStr">
        <is>
          <t>biosphere</t>
        </is>
      </c>
      <c r="G3020" t="inlineStr">
        <is>
          <t>Electricity-only proxy: source amount / 0.29; 100% burden to electricity, before STEM efficiency adjustment.</t>
        </is>
      </c>
    </row>
    <row r="3021">
      <c r="A3021" t="inlineStr">
        <is>
          <t>Cyanide</t>
        </is>
      </c>
      <c r="B3021">
        <v>9.704461056185195e-05</v>
      </c>
      <c r="D3021" t="inlineStr">
        <is>
          <t>kilogram</t>
        </is>
      </c>
      <c r="E3021" t="inlineStr">
        <is>
          <t>air::urban air close to ground</t>
        </is>
      </c>
      <c r="F3021" t="inlineStr">
        <is>
          <t>biosphere</t>
        </is>
      </c>
      <c r="G3021" t="inlineStr">
        <is>
          <t>Electricity-only proxy: source amount / 0.29; 100% burden to electricity, before STEM efficiency adjustment.</t>
        </is>
      </c>
    </row>
    <row r="3022">
      <c r="A3022" t="inlineStr">
        <is>
          <t>Dinitrogen monoxide</t>
        </is>
      </c>
      <c r="B3022">
        <v>0.0004517231733783458</v>
      </c>
      <c r="D3022" t="inlineStr">
        <is>
          <t>kilogram</t>
        </is>
      </c>
      <c r="E3022" t="inlineStr">
        <is>
          <t>air::urban air close to ground</t>
        </is>
      </c>
      <c r="F3022" t="inlineStr">
        <is>
          <t>biosphere</t>
        </is>
      </c>
      <c r="G3022" t="inlineStr">
        <is>
          <t>Electricity-only proxy: source amount / 0.29; 100% burden to electricity, before STEM efficiency adjustment.</t>
        </is>
      </c>
    </row>
    <row r="3023">
      <c r="A3023" t="inlineStr">
        <is>
          <t>Dioxins, measured as 2,3,7,8-tetrachlorodibenzo-p-dioxin</t>
        </is>
      </c>
      <c r="B3023">
        <v>7.225174825174826e-13</v>
      </c>
      <c r="D3023" t="inlineStr">
        <is>
          <t>kilogram</t>
        </is>
      </c>
      <c r="E3023" t="inlineStr">
        <is>
          <t>air::urban air close to ground</t>
        </is>
      </c>
      <c r="F3023" t="inlineStr">
        <is>
          <t>biosphere</t>
        </is>
      </c>
      <c r="G3023" t="inlineStr">
        <is>
          <t>Electricity-only proxy: source amount / 0.29; 100% burden to electricity, before STEM efficiency adjustment.</t>
        </is>
      </c>
    </row>
    <row r="3024">
      <c r="A3024" t="inlineStr">
        <is>
          <t>Heat, waste</t>
        </is>
      </c>
      <c r="B3024">
        <v>38.57477694719074</v>
      </c>
      <c r="D3024" t="inlineStr">
        <is>
          <t>megajoule</t>
        </is>
      </c>
      <c r="E3024" t="inlineStr">
        <is>
          <t>air::urban air close to ground</t>
        </is>
      </c>
      <c r="F3024" t="inlineStr">
        <is>
          <t>biosphere</t>
        </is>
      </c>
      <c r="G3024" t="inlineStr">
        <is>
          <t>Electricity-only proxy: source amount / 0.29; 100% burden to electricity, before STEM efficiency adjustment.</t>
        </is>
      </c>
    </row>
    <row r="3025">
      <c r="A3025" t="inlineStr">
        <is>
          <t>Hydrochloric acid</t>
        </is>
      </c>
      <c r="B3025">
        <v>1.7282951531227395e-05</v>
      </c>
      <c r="D3025" t="inlineStr">
        <is>
          <t>kilogram</t>
        </is>
      </c>
      <c r="E3025" t="inlineStr">
        <is>
          <t>air::urban air close to ground</t>
        </is>
      </c>
      <c r="F3025" t="inlineStr">
        <is>
          <t>biosphere</t>
        </is>
      </c>
      <c r="G3025" t="inlineStr">
        <is>
          <t>Electricity-only proxy: source amount / 0.29; 100% burden to electricity, before STEM efficiency adjustment.</t>
        </is>
      </c>
    </row>
    <row r="3026">
      <c r="A3026" t="inlineStr">
        <is>
          <t>Hydrogen fluoride</t>
        </is>
      </c>
      <c r="B3026">
        <v>1.0216638533879914e-05</v>
      </c>
      <c r="D3026" t="inlineStr">
        <is>
          <t>kilogram</t>
        </is>
      </c>
      <c r="E3026" t="inlineStr">
        <is>
          <t>air::urban air close to ground</t>
        </is>
      </c>
      <c r="F3026" t="inlineStr">
        <is>
          <t>biosphere</t>
        </is>
      </c>
      <c r="G3026" t="inlineStr">
        <is>
          <t>Electricity-only proxy: source amount / 0.29; 100% burden to electricity, before STEM efficiency adjustment.</t>
        </is>
      </c>
    </row>
    <row r="3027">
      <c r="A3027" t="inlineStr">
        <is>
          <t>Iodine</t>
        </is>
      </c>
      <c r="B3027">
        <v>2.3113093802748974e-10</v>
      </c>
      <c r="D3027" t="inlineStr">
        <is>
          <t>kilogram</t>
        </is>
      </c>
      <c r="E3027" t="inlineStr">
        <is>
          <t>air::urban air close to ground</t>
        </is>
      </c>
      <c r="F3027" t="inlineStr">
        <is>
          <t>biosphere</t>
        </is>
      </c>
      <c r="G3027" t="inlineStr">
        <is>
          <t>Electricity-only proxy: source amount / 0.29; 100% burden to electricity, before STEM efficiency adjustment.</t>
        </is>
      </c>
    </row>
    <row r="3028">
      <c r="A3028" t="inlineStr">
        <is>
          <t>Iron ion</t>
        </is>
      </c>
      <c r="B3028">
        <v>8.141885700506391e-09</v>
      </c>
      <c r="D3028" t="inlineStr">
        <is>
          <t>kilogram</t>
        </is>
      </c>
      <c r="E3028" t="inlineStr">
        <is>
          <t>air::urban air close to ground</t>
        </is>
      </c>
      <c r="F3028" t="inlineStr">
        <is>
          <t>biosphere</t>
        </is>
      </c>
      <c r="G3028" t="inlineStr">
        <is>
          <t>Electricity-only proxy: source amount / 0.29; 100% burden to electricity, before STEM efficiency adjustment.</t>
        </is>
      </c>
    </row>
    <row r="3029">
      <c r="A3029" t="inlineStr">
        <is>
          <t>Lead II</t>
        </is>
      </c>
      <c r="B3029">
        <v>1.1577815288160117e-08</v>
      </c>
      <c r="D3029" t="inlineStr">
        <is>
          <t>kilogram</t>
        </is>
      </c>
      <c r="E3029" t="inlineStr">
        <is>
          <t>air::urban air close to ground</t>
        </is>
      </c>
      <c r="F3029" t="inlineStr">
        <is>
          <t>biosphere</t>
        </is>
      </c>
      <c r="G3029" t="inlineStr">
        <is>
          <t>Electricity-only proxy: source amount / 0.29; 100% burden to electricity, before STEM efficiency adjustment.</t>
        </is>
      </c>
    </row>
    <row r="3030">
      <c r="A3030" t="inlineStr">
        <is>
          <t>Magnesium</t>
        </is>
      </c>
      <c r="B3030">
        <v>2.2521919459850495e-05</v>
      </c>
      <c r="D3030" t="inlineStr">
        <is>
          <t>kilogram</t>
        </is>
      </c>
      <c r="E3030" t="inlineStr">
        <is>
          <t>air::urban air close to ground</t>
        </is>
      </c>
      <c r="F3030" t="inlineStr">
        <is>
          <t>biosphere</t>
        </is>
      </c>
      <c r="G3030" t="inlineStr">
        <is>
          <t>Electricity-only proxy: source amount / 0.29; 100% burden to electricity, before STEM efficiency adjustment.</t>
        </is>
      </c>
    </row>
    <row r="3031">
      <c r="A3031" t="inlineStr">
        <is>
          <t>Manganese II</t>
        </is>
      </c>
      <c r="B3031">
        <v>6.217921388955873e-09</v>
      </c>
      <c r="D3031" t="inlineStr">
        <is>
          <t>kilogram</t>
        </is>
      </c>
      <c r="E3031" t="inlineStr">
        <is>
          <t>air::urban air close to ground</t>
        </is>
      </c>
      <c r="F3031" t="inlineStr">
        <is>
          <t>biosphere</t>
        </is>
      </c>
      <c r="G3031" t="inlineStr">
        <is>
          <t>Electricity-only proxy: source amount / 0.29; 100% burden to electricity, before STEM efficiency adjustment.</t>
        </is>
      </c>
    </row>
    <row r="3032">
      <c r="A3032" t="inlineStr">
        <is>
          <t>Mercury II</t>
        </is>
      </c>
      <c r="B3032">
        <v>1.5027634434530985e-08</v>
      </c>
      <c r="D3032" t="inlineStr">
        <is>
          <t>kilogram</t>
        </is>
      </c>
      <c r="E3032" t="inlineStr">
        <is>
          <t>air::urban air close to ground</t>
        </is>
      </c>
      <c r="F3032" t="inlineStr">
        <is>
          <t>biosphere</t>
        </is>
      </c>
      <c r="G3032" t="inlineStr">
        <is>
          <t>Electricity-only proxy: source amount / 0.29; 100% burden to electricity, before STEM efficiency adjustment.</t>
        </is>
      </c>
    </row>
    <row r="3033">
      <c r="A3033" t="inlineStr">
        <is>
          <t>Methane, non-fossil</t>
        </is>
      </c>
      <c r="B3033">
        <v>5.419271762720039e-06</v>
      </c>
      <c r="D3033" t="inlineStr">
        <is>
          <t>kilogram</t>
        </is>
      </c>
      <c r="E3033" t="inlineStr">
        <is>
          <t>air::urban air close to ground</t>
        </is>
      </c>
      <c r="F3033" t="inlineStr">
        <is>
          <t>biosphere</t>
        </is>
      </c>
      <c r="G3033" t="inlineStr">
        <is>
          <t>Electricity-only proxy: source amount / 0.29; 100% burden to electricity, before STEM efficiency adjustment.</t>
        </is>
      </c>
    </row>
    <row r="3034">
      <c r="A3034" t="inlineStr">
        <is>
          <t>Molybdenum VI</t>
        </is>
      </c>
      <c r="B3034">
        <v>3.985088015432844e-09</v>
      </c>
      <c r="D3034" t="inlineStr">
        <is>
          <t>kilogram</t>
        </is>
      </c>
      <c r="E3034" t="inlineStr">
        <is>
          <t>air::urban air close to ground</t>
        </is>
      </c>
      <c r="F3034" t="inlineStr">
        <is>
          <t>biosphere</t>
        </is>
      </c>
      <c r="G3034" t="inlineStr">
        <is>
          <t>Electricity-only proxy: source amount / 0.29; 100% burden to electricity, before STEM efficiency adjustment.</t>
        </is>
      </c>
    </row>
    <row r="3035">
      <c r="A3035" t="inlineStr">
        <is>
          <t>NMVOC, non-methane volatile organic compounds</t>
        </is>
      </c>
      <c r="B3035">
        <v>1.6441765131420306e-05</v>
      </c>
      <c r="D3035" t="inlineStr">
        <is>
          <t>kilogram</t>
        </is>
      </c>
      <c r="E3035" t="inlineStr">
        <is>
          <t>air::urban air close to ground</t>
        </is>
      </c>
      <c r="F3035" t="inlineStr">
        <is>
          <t>biosphere</t>
        </is>
      </c>
      <c r="G3035" t="inlineStr">
        <is>
          <t>Electricity-only proxy: source amount / 0.29; 100% burden to electricity, before STEM efficiency adjustment.</t>
        </is>
      </c>
    </row>
    <row r="3036">
      <c r="A3036" t="inlineStr">
        <is>
          <t>Nickel II</t>
        </is>
      </c>
      <c r="B3036">
        <v>5.1553701470942854e-08</v>
      </c>
      <c r="D3036" t="inlineStr">
        <is>
          <t>kilogram</t>
        </is>
      </c>
      <c r="E3036" t="inlineStr">
        <is>
          <t>air::urban air close to ground</t>
        </is>
      </c>
      <c r="F3036" t="inlineStr">
        <is>
          <t>biosphere</t>
        </is>
      </c>
      <c r="G3036" t="inlineStr">
        <is>
          <t>Electricity-only proxy: source amount / 0.29; 100% burden to electricity, before STEM efficiency adjustment.</t>
        </is>
      </c>
    </row>
    <row r="3037">
      <c r="A3037" t="inlineStr">
        <is>
          <t>Nitrogen oxides</t>
        </is>
      </c>
      <c r="B3037">
        <v>0.001734024596093562</v>
      </c>
      <c r="D3037" t="inlineStr">
        <is>
          <t>kilogram</t>
        </is>
      </c>
      <c r="E3037" t="inlineStr">
        <is>
          <t>air::urban air close to ground</t>
        </is>
      </c>
      <c r="F3037" t="inlineStr">
        <is>
          <t>biosphere</t>
        </is>
      </c>
      <c r="G3037" t="inlineStr">
        <is>
          <t>Electricity-only proxy: source amount / 0.29; 100% burden to electricity, before STEM efficiency adjustment.</t>
        </is>
      </c>
    </row>
    <row r="3038">
      <c r="A3038" t="inlineStr">
        <is>
          <t>Particulate Matter, &lt; 2.5 um</t>
        </is>
      </c>
      <c r="B3038">
        <v>4.3134024596093565e-05</v>
      </c>
      <c r="D3038" t="inlineStr">
        <is>
          <t>kilogram</t>
        </is>
      </c>
      <c r="E3038" t="inlineStr">
        <is>
          <t>air::urban air close to ground</t>
        </is>
      </c>
      <c r="F3038" t="inlineStr">
        <is>
          <t>biosphere</t>
        </is>
      </c>
      <c r="G3038" t="inlineStr">
        <is>
          <t>Electricity-only proxy: source amount / 0.29; 100% burden to electricity, before STEM efficiency adjustment.</t>
        </is>
      </c>
    </row>
    <row r="3039">
      <c r="A3039" t="inlineStr">
        <is>
          <t>Particulate Matter, &gt; 2.5 um and &lt; 10um</t>
        </is>
      </c>
      <c r="B3039">
        <v>2.1675524475524477e-07</v>
      </c>
      <c r="D3039" t="inlineStr">
        <is>
          <t>kilogram</t>
        </is>
      </c>
      <c r="E3039" t="inlineStr">
        <is>
          <t>air::urban air close to ground</t>
        </is>
      </c>
      <c r="F3039" t="inlineStr">
        <is>
          <t>biosphere</t>
        </is>
      </c>
      <c r="G3039" t="inlineStr">
        <is>
          <t>Electricity-only proxy: source amount / 0.29; 100% burden to electricity, before STEM efficiency adjustment.</t>
        </is>
      </c>
    </row>
    <row r="3040">
      <c r="A3040" t="inlineStr">
        <is>
          <t>Phenol, pentachloro-</t>
        </is>
      </c>
      <c r="B3040">
        <v>1.5733397636845913e-10</v>
      </c>
      <c r="D3040" t="inlineStr">
        <is>
          <t>kilogram</t>
        </is>
      </c>
      <c r="E3040" t="inlineStr">
        <is>
          <t>air::urban air close to ground</t>
        </is>
      </c>
      <c r="F3040" t="inlineStr">
        <is>
          <t>biosphere</t>
        </is>
      </c>
      <c r="G3040" t="inlineStr">
        <is>
          <t>Electricity-only proxy: source amount / 0.29; 100% burden to electricity, before STEM efficiency adjustment.</t>
        </is>
      </c>
    </row>
    <row r="3041">
      <c r="A3041" t="inlineStr">
        <is>
          <t>Phosphorus</t>
        </is>
      </c>
      <c r="B3041">
        <v>8.694863756932724e-06</v>
      </c>
      <c r="D3041" t="inlineStr">
        <is>
          <t>kilogram</t>
        </is>
      </c>
      <c r="E3041" t="inlineStr">
        <is>
          <t>air::urban air close to ground</t>
        </is>
      </c>
      <c r="F3041" t="inlineStr">
        <is>
          <t>biosphere</t>
        </is>
      </c>
      <c r="G3041" t="inlineStr">
        <is>
          <t>Electricity-only proxy: source amount / 0.29; 100% burden to electricity, before STEM efficiency adjustment.</t>
        </is>
      </c>
    </row>
    <row r="3042">
      <c r="A3042" t="inlineStr">
        <is>
          <t>Potassium I</t>
        </is>
      </c>
      <c r="B3042">
        <v>0.00013092645285748736</v>
      </c>
      <c r="D3042" t="inlineStr">
        <is>
          <t>kilogram</t>
        </is>
      </c>
      <c r="E3042" t="inlineStr">
        <is>
          <t>air::urban air close to ground</t>
        </is>
      </c>
      <c r="F3042" t="inlineStr">
        <is>
          <t>biosphere</t>
        </is>
      </c>
      <c r="G3042" t="inlineStr">
        <is>
          <t>Electricity-only proxy: source amount / 0.29; 100% burden to electricity, before STEM efficiency adjustment.</t>
        </is>
      </c>
    </row>
    <row r="3043">
      <c r="A3043" t="inlineStr">
        <is>
          <t>Selenium IV</t>
        </is>
      </c>
      <c r="B3043">
        <v>4.5142802025560654e-08</v>
      </c>
      <c r="D3043" t="inlineStr">
        <is>
          <t>kilogram</t>
        </is>
      </c>
      <c r="E3043" t="inlineStr">
        <is>
          <t>air::urban air close to ground</t>
        </is>
      </c>
      <c r="F3043" t="inlineStr">
        <is>
          <t>biosphere</t>
        </is>
      </c>
      <c r="G3043" t="inlineStr">
        <is>
          <t>Electricity-only proxy: source amount / 0.29; 100% burden to electricity, before STEM efficiency adjustment.</t>
        </is>
      </c>
    </row>
    <row r="3044">
      <c r="A3044" t="inlineStr">
        <is>
          <t>Silicon</t>
        </is>
      </c>
      <c r="B3044">
        <v>4.7148975162768264e-07</v>
      </c>
      <c r="D3044" t="inlineStr">
        <is>
          <t>kilogram</t>
        </is>
      </c>
      <c r="E3044" t="inlineStr">
        <is>
          <t>air::urban air close to ground</t>
        </is>
      </c>
      <c r="F3044" t="inlineStr">
        <is>
          <t>biosphere</t>
        </is>
      </c>
      <c r="G3044" t="inlineStr">
        <is>
          <t>Electricity-only proxy: source amount / 0.29; 100% burden to electricity, before STEM efficiency adjustment.</t>
        </is>
      </c>
    </row>
    <row r="3045">
      <c r="A3045" t="inlineStr">
        <is>
          <t>Sodium</t>
        </is>
      </c>
      <c r="B3045">
        <v>9.325102483723175e-05</v>
      </c>
      <c r="D3045" t="inlineStr">
        <is>
          <t>kilogram</t>
        </is>
      </c>
      <c r="E3045" t="inlineStr">
        <is>
          <t>air::urban air close to ground</t>
        </is>
      </c>
      <c r="F3045" t="inlineStr">
        <is>
          <t>biosphere</t>
        </is>
      </c>
      <c r="G3045" t="inlineStr">
        <is>
          <t>Electricity-only proxy: source amount / 0.29; 100% burden to electricity, before STEM efficiency adjustment.</t>
        </is>
      </c>
    </row>
    <row r="3046">
      <c r="A3046" t="inlineStr">
        <is>
          <t>Sulfur dioxide</t>
        </is>
      </c>
      <c r="B3046">
        <v>0.00012072630817458403</v>
      </c>
      <c r="D3046" t="inlineStr">
        <is>
          <t>kilogram</t>
        </is>
      </c>
      <c r="E3046" t="inlineStr">
        <is>
          <t>air::urban air close to ground</t>
        </is>
      </c>
      <c r="F3046" t="inlineStr">
        <is>
          <t>biosphere</t>
        </is>
      </c>
      <c r="G3046" t="inlineStr">
        <is>
          <t>Electricity-only proxy: source amount / 0.29; 100% burden to electricity, before STEM efficiency adjustment.</t>
        </is>
      </c>
    </row>
    <row r="3047">
      <c r="A3047" t="inlineStr">
        <is>
          <t>Tin ion</t>
        </is>
      </c>
      <c r="B3047">
        <v>3.954791415481071e-11</v>
      </c>
      <c r="D3047" t="inlineStr">
        <is>
          <t>kilogram</t>
        </is>
      </c>
      <c r="E3047" t="inlineStr">
        <is>
          <t>air::urban air close to ground</t>
        </is>
      </c>
      <c r="F3047" t="inlineStr">
        <is>
          <t>biosphere</t>
        </is>
      </c>
      <c r="G3047" t="inlineStr">
        <is>
          <t>Electricity-only proxy: source amount / 0.29; 100% burden to electricity, before STEM efficiency adjustment.</t>
        </is>
      </c>
    </row>
    <row r="3048">
      <c r="A3048" t="inlineStr">
        <is>
          <t>Toluene</t>
        </is>
      </c>
      <c r="B3048">
        <v>7.225608873884736e-07</v>
      </c>
      <c r="D3048" t="inlineStr">
        <is>
          <t>kilogram</t>
        </is>
      </c>
      <c r="E3048" t="inlineStr">
        <is>
          <t>air::urban air close to ground</t>
        </is>
      </c>
      <c r="F3048" t="inlineStr">
        <is>
          <t>biosphere</t>
        </is>
      </c>
      <c r="G3048" t="inlineStr">
        <is>
          <t>Electricity-only proxy: source amount / 0.29; 100% burden to electricity, before STEM efficiency adjustment.</t>
        </is>
      </c>
    </row>
    <row r="3049">
      <c r="A3049" t="inlineStr">
        <is>
          <t>Vanadium V</t>
        </is>
      </c>
      <c r="B3049">
        <v>4.815249578008199e-07</v>
      </c>
      <c r="D3049" t="inlineStr">
        <is>
          <t>kilogram</t>
        </is>
      </c>
      <c r="E3049" t="inlineStr">
        <is>
          <t>air::urban air close to ground</t>
        </is>
      </c>
      <c r="F3049" t="inlineStr">
        <is>
          <t>biosphere</t>
        </is>
      </c>
      <c r="G3049" t="inlineStr">
        <is>
          <t>Electricity-only proxy: source amount / 0.29; 100% burden to electricity, before STEM efficiency adjustment.</t>
        </is>
      </c>
    </row>
    <row r="3050">
      <c r="A3050" t="inlineStr">
        <is>
          <t>Water</t>
        </is>
      </c>
      <c r="B3050">
        <v>0.011761235591994214</v>
      </c>
      <c r="D3050" t="inlineStr">
        <is>
          <t>cubic meter</t>
        </is>
      </c>
      <c r="E3050" t="inlineStr">
        <is>
          <t>air::urban air close to ground</t>
        </is>
      </c>
      <c r="F3050" t="inlineStr">
        <is>
          <t>biosphere</t>
        </is>
      </c>
      <c r="G3050" t="inlineStr">
        <is>
          <t>Electricity-only proxy: source amount / 0.29; 100% burden to electricity, before STEM efficiency adjustment.</t>
        </is>
      </c>
    </row>
    <row r="3051">
      <c r="A3051" t="inlineStr">
        <is>
          <t>Zinc II</t>
        </is>
      </c>
      <c r="B3051">
        <v>2.95569809500844e-07</v>
      </c>
      <c r="D3051" t="inlineStr">
        <is>
          <t>kilogram</t>
        </is>
      </c>
      <c r="E3051" t="inlineStr">
        <is>
          <t>air::urban air close to ground</t>
        </is>
      </c>
      <c r="F3051" t="inlineStr">
        <is>
          <t>biosphere</t>
        </is>
      </c>
      <c r="G3051" t="inlineStr">
        <is>
          <t>Electricity-only proxy: source amount / 0.29; 100% burden to electricity, before STEM efficiency adjustment.</t>
        </is>
      </c>
    </row>
    <row r="3052">
      <c r="A3052" t="inlineStr">
        <is>
          <t>Aluminium III</t>
        </is>
      </c>
      <c r="B3052">
        <v>0.058423824451410665</v>
      </c>
      <c r="D3052" t="inlineStr">
        <is>
          <t>kilogram</t>
        </is>
      </c>
      <c r="E3052" t="inlineStr">
        <is>
          <t>water::ground-, long-term</t>
        </is>
      </c>
      <c r="F3052" t="inlineStr">
        <is>
          <t>biosphere</t>
        </is>
      </c>
      <c r="G3052" t="inlineStr">
        <is>
          <t>Electricity-only proxy: source amount / 0.29; 100% burden to electricity, before STEM efficiency adjustment.</t>
        </is>
      </c>
    </row>
    <row r="3053">
      <c r="A3053" t="inlineStr">
        <is>
          <t>Aluminium III</t>
        </is>
      </c>
      <c r="B3053">
        <v>5.621191222570534e-06</v>
      </c>
      <c r="D3053" t="inlineStr">
        <is>
          <t>kilogram</t>
        </is>
      </c>
      <c r="E3053" t="inlineStr">
        <is>
          <t>water::surface water</t>
        </is>
      </c>
      <c r="F3053" t="inlineStr">
        <is>
          <t>biosphere</t>
        </is>
      </c>
      <c r="G3053" t="inlineStr">
        <is>
          <t>Electricity-only proxy: source amount / 0.29; 100% burden to electricity, before STEM efficiency adjustment.</t>
        </is>
      </c>
    </row>
    <row r="3054">
      <c r="A3054" t="inlineStr">
        <is>
          <t>Antimony ion</t>
        </is>
      </c>
      <c r="B3054">
        <v>7.009278996865204e-09</v>
      </c>
      <c r="D3054" t="inlineStr">
        <is>
          <t>kilogram</t>
        </is>
      </c>
      <c r="E3054" t="inlineStr">
        <is>
          <t>water::ground-, long-term</t>
        </is>
      </c>
      <c r="F3054" t="inlineStr">
        <is>
          <t>biosphere</t>
        </is>
      </c>
      <c r="G3054" t="inlineStr">
        <is>
          <t>Electricity-only proxy: source amount / 0.29; 100% burden to electricity, before STEM efficiency adjustment.</t>
        </is>
      </c>
    </row>
    <row r="3055">
      <c r="A3055" t="inlineStr">
        <is>
          <t>Antimony ion</t>
        </is>
      </c>
      <c r="B3055">
        <v>3.818500120569086e-09</v>
      </c>
      <c r="D3055" t="inlineStr">
        <is>
          <t>kilogram</t>
        </is>
      </c>
      <c r="E3055" t="inlineStr">
        <is>
          <t>water::surface water</t>
        </is>
      </c>
      <c r="F3055" t="inlineStr">
        <is>
          <t>biosphere</t>
        </is>
      </c>
      <c r="G3055" t="inlineStr">
        <is>
          <t>Electricity-only proxy: source amount / 0.29; 100% burden to electricity, before STEM efficiency adjustment.</t>
        </is>
      </c>
    </row>
    <row r="3056">
      <c r="A3056" t="inlineStr">
        <is>
          <t>Arsenic ion</t>
        </is>
      </c>
      <c r="B3056">
        <v>9.23221605980227e-06</v>
      </c>
      <c r="D3056" t="inlineStr">
        <is>
          <t>kilogram</t>
        </is>
      </c>
      <c r="E3056" t="inlineStr">
        <is>
          <t>water::ground-, long-term</t>
        </is>
      </c>
      <c r="F3056" t="inlineStr">
        <is>
          <t>biosphere</t>
        </is>
      </c>
      <c r="G3056" t="inlineStr">
        <is>
          <t>Electricity-only proxy: source amount / 0.29; 100% burden to electricity, before STEM efficiency adjustment.</t>
        </is>
      </c>
    </row>
    <row r="3057">
      <c r="A3057" t="inlineStr">
        <is>
          <t>Arsenic ion</t>
        </is>
      </c>
      <c r="B3057">
        <v>6.082324571979745e-06</v>
      </c>
      <c r="D3057" t="inlineStr">
        <is>
          <t>kilogram</t>
        </is>
      </c>
      <c r="E3057" t="inlineStr">
        <is>
          <t>water::surface water</t>
        </is>
      </c>
      <c r="F3057" t="inlineStr">
        <is>
          <t>biosphere</t>
        </is>
      </c>
      <c r="G3057" t="inlineStr">
        <is>
          <t>Electricity-only proxy: source amount / 0.29; 100% burden to electricity, before STEM efficiency adjustment.</t>
        </is>
      </c>
    </row>
    <row r="3058">
      <c r="A3058" t="inlineStr">
        <is>
          <t>BOD5, Biological Oxygen Demand</t>
        </is>
      </c>
      <c r="B3058">
        <v>0.002980612490957319</v>
      </c>
      <c r="D3058" t="inlineStr">
        <is>
          <t>kilogram</t>
        </is>
      </c>
      <c r="E3058" t="inlineStr">
        <is>
          <t>water::ground-, long-term</t>
        </is>
      </c>
      <c r="F3058" t="inlineStr">
        <is>
          <t>biosphere</t>
        </is>
      </c>
      <c r="G3058" t="inlineStr">
        <is>
          <t>Electricity-only proxy: source amount / 0.29; 100% burden to electricity, before STEM efficiency adjustment.</t>
        </is>
      </c>
    </row>
    <row r="3059">
      <c r="A3059" t="inlineStr">
        <is>
          <t>BOD5, Biological Oxygen Demand</t>
        </is>
      </c>
      <c r="B3059">
        <v>0.0009148010610079576</v>
      </c>
      <c r="D3059" t="inlineStr">
        <is>
          <t>kilogram</t>
        </is>
      </c>
      <c r="E3059" t="inlineStr">
        <is>
          <t>water::surface water</t>
        </is>
      </c>
      <c r="F3059" t="inlineStr">
        <is>
          <t>biosphere</t>
        </is>
      </c>
      <c r="G3059" t="inlineStr">
        <is>
          <t>Electricity-only proxy: source amount / 0.29; 100% burden to electricity, before STEM efficiency adjustment.</t>
        </is>
      </c>
    </row>
    <row r="3060">
      <c r="A3060" t="inlineStr">
        <is>
          <t>Boron</t>
        </is>
      </c>
      <c r="B3060">
        <v>6.402826139377864e-05</v>
      </c>
      <c r="D3060" t="inlineStr">
        <is>
          <t>kilogram</t>
        </is>
      </c>
      <c r="E3060" t="inlineStr">
        <is>
          <t>water::ground-, long-term</t>
        </is>
      </c>
      <c r="F3060" t="inlineStr">
        <is>
          <t>biosphere</t>
        </is>
      </c>
      <c r="G3060" t="inlineStr">
        <is>
          <t>Electricity-only proxy: source amount / 0.29; 100% burden to electricity, before STEM efficiency adjustment.</t>
        </is>
      </c>
    </row>
    <row r="3061">
      <c r="A3061" t="inlineStr">
        <is>
          <t>Boron</t>
        </is>
      </c>
      <c r="B3061">
        <v>8.030769230769231e-07</v>
      </c>
      <c r="D3061" t="inlineStr">
        <is>
          <t>kilogram</t>
        </is>
      </c>
      <c r="E3061" t="inlineStr">
        <is>
          <t>water::surface water</t>
        </is>
      </c>
      <c r="F3061" t="inlineStr">
        <is>
          <t>biosphere</t>
        </is>
      </c>
      <c r="G3061" t="inlineStr">
        <is>
          <t>Electricity-only proxy: source amount / 0.29; 100% burden to electricity, before STEM efficiency adjustment.</t>
        </is>
      </c>
    </row>
    <row r="3062">
      <c r="A3062" t="inlineStr">
        <is>
          <t>Bromine</t>
        </is>
      </c>
      <c r="B3062">
        <v>2.3551482999758862e-06</v>
      </c>
      <c r="D3062" t="inlineStr">
        <is>
          <t>kilogram</t>
        </is>
      </c>
      <c r="E3062" t="inlineStr">
        <is>
          <t>water::ground-, long-term</t>
        </is>
      </c>
      <c r="F3062" t="inlineStr">
        <is>
          <t>biosphere</t>
        </is>
      </c>
      <c r="G3062" t="inlineStr">
        <is>
          <t>Electricity-only proxy: source amount / 0.29; 100% burden to electricity, before STEM efficiency adjustment.</t>
        </is>
      </c>
    </row>
    <row r="3063">
      <c r="A3063" t="inlineStr">
        <is>
          <t>Bromine</t>
        </is>
      </c>
      <c r="B3063">
        <v>4.215567880395467e-05</v>
      </c>
      <c r="D3063" t="inlineStr">
        <is>
          <t>kilogram</t>
        </is>
      </c>
      <c r="E3063" t="inlineStr">
        <is>
          <t>water::surface water</t>
        </is>
      </c>
      <c r="F3063" t="inlineStr">
        <is>
          <t>biosphere</t>
        </is>
      </c>
      <c r="G3063" t="inlineStr">
        <is>
          <t>Electricity-only proxy: source amount / 0.29; 100% burden to electricity, before STEM efficiency adjustment.</t>
        </is>
      </c>
    </row>
    <row r="3064">
      <c r="A3064" t="inlineStr">
        <is>
          <t>COD, Chemical Oxygen Demand</t>
        </is>
      </c>
      <c r="B3064">
        <v>0.009112418615866891</v>
      </c>
      <c r="D3064" t="inlineStr">
        <is>
          <t>kilogram</t>
        </is>
      </c>
      <c r="E3064" t="inlineStr">
        <is>
          <t>water::ground-, long-term</t>
        </is>
      </c>
      <c r="F3064" t="inlineStr">
        <is>
          <t>biosphere</t>
        </is>
      </c>
      <c r="G3064" t="inlineStr">
        <is>
          <t>Electricity-only proxy: source amount / 0.29; 100% burden to electricity, before STEM efficiency adjustment.</t>
        </is>
      </c>
    </row>
    <row r="3065">
      <c r="A3065" t="inlineStr">
        <is>
          <t>COD, Chemical Oxygen Demand</t>
        </is>
      </c>
      <c r="B3065">
        <v>0.0009347673016638534</v>
      </c>
      <c r="D3065" t="inlineStr">
        <is>
          <t>kilogram</t>
        </is>
      </c>
      <c r="E3065" t="inlineStr">
        <is>
          <t>water::surface water</t>
        </is>
      </c>
      <c r="F3065" t="inlineStr">
        <is>
          <t>biosphere</t>
        </is>
      </c>
      <c r="G3065" t="inlineStr">
        <is>
          <t>Electricity-only proxy: source amount / 0.29; 100% burden to electricity, before STEM efficiency adjustment.</t>
        </is>
      </c>
    </row>
    <row r="3066">
      <c r="A3066" t="inlineStr">
        <is>
          <t>Cadmium II</t>
        </is>
      </c>
      <c r="B3066">
        <v>1.6758620689655172e-07</v>
      </c>
      <c r="D3066" t="inlineStr">
        <is>
          <t>kilogram</t>
        </is>
      </c>
      <c r="E3066" t="inlineStr">
        <is>
          <t>water::ground-, long-term</t>
        </is>
      </c>
      <c r="F3066" t="inlineStr">
        <is>
          <t>biosphere</t>
        </is>
      </c>
      <c r="G3066" t="inlineStr">
        <is>
          <t>Electricity-only proxy: source amount / 0.29; 100% burden to electricity, before STEM efficiency adjustment.</t>
        </is>
      </c>
    </row>
    <row r="3067">
      <c r="A3067" t="inlineStr">
        <is>
          <t>Cadmium II</t>
        </is>
      </c>
      <c r="B3067">
        <v>1.8582493368700267e-10</v>
      </c>
      <c r="D3067" t="inlineStr">
        <is>
          <t>kilogram</t>
        </is>
      </c>
      <c r="E3067" t="inlineStr">
        <is>
          <t>water::surface water</t>
        </is>
      </c>
      <c r="F3067" t="inlineStr">
        <is>
          <t>biosphere</t>
        </is>
      </c>
      <c r="G3067" t="inlineStr">
        <is>
          <t>Electricity-only proxy: source amount / 0.29; 100% burden to electricity, before STEM efficiency adjustment.</t>
        </is>
      </c>
    </row>
    <row r="3068">
      <c r="A3068" t="inlineStr">
        <is>
          <t>Calcium II</t>
        </is>
      </c>
      <c r="B3068">
        <v>0.14011960453339764</v>
      </c>
      <c r="D3068" t="inlineStr">
        <is>
          <t>kilogram</t>
        </is>
      </c>
      <c r="E3068" t="inlineStr">
        <is>
          <t>water::ground-, long-term</t>
        </is>
      </c>
      <c r="F3068" t="inlineStr">
        <is>
          <t>biosphere</t>
        </is>
      </c>
      <c r="G3068" t="inlineStr">
        <is>
          <t>Electricity-only proxy: source amount / 0.29; 100% burden to electricity, before STEM efficiency adjustment.</t>
        </is>
      </c>
    </row>
    <row r="3069">
      <c r="A3069" t="inlineStr">
        <is>
          <t>Calcium II</t>
        </is>
      </c>
      <c r="B3069">
        <v>0.002966809741982156</v>
      </c>
      <c r="D3069" t="inlineStr">
        <is>
          <t>kilogram</t>
        </is>
      </c>
      <c r="E3069" t="inlineStr">
        <is>
          <t>water::surface water</t>
        </is>
      </c>
      <c r="F3069" t="inlineStr">
        <is>
          <t>biosphere</t>
        </is>
      </c>
      <c r="G3069" t="inlineStr">
        <is>
          <t>Electricity-only proxy: source amount / 0.29; 100% burden to electricity, before STEM efficiency adjustment.</t>
        </is>
      </c>
    </row>
    <row r="3070">
      <c r="A3070" t="inlineStr">
        <is>
          <t>Chloride</t>
        </is>
      </c>
      <c r="B3070">
        <v>0.0038150277308898004</v>
      </c>
      <c r="D3070" t="inlineStr">
        <is>
          <t>kilogram</t>
        </is>
      </c>
      <c r="E3070" t="inlineStr">
        <is>
          <t>water::ground-, long-term</t>
        </is>
      </c>
      <c r="F3070" t="inlineStr">
        <is>
          <t>biosphere</t>
        </is>
      </c>
      <c r="G3070" t="inlineStr">
        <is>
          <t>Electricity-only proxy: source amount / 0.29; 100% burden to electricity, before STEM efficiency adjustment.</t>
        </is>
      </c>
    </row>
    <row r="3071">
      <c r="A3071" t="inlineStr">
        <is>
          <t>Chloride</t>
        </is>
      </c>
      <c r="B3071">
        <v>0.02572519893899205</v>
      </c>
      <c r="D3071" t="inlineStr">
        <is>
          <t>kilogram</t>
        </is>
      </c>
      <c r="E3071" t="inlineStr">
        <is>
          <t>water::surface water</t>
        </is>
      </c>
      <c r="F3071" t="inlineStr">
        <is>
          <t>biosphere</t>
        </is>
      </c>
      <c r="G3071" t="inlineStr">
        <is>
          <t>Electricity-only proxy: source amount / 0.29; 100% burden to electricity, before STEM efficiency adjustment.</t>
        </is>
      </c>
    </row>
    <row r="3072">
      <c r="A3072" t="inlineStr">
        <is>
          <t>Chromium III</t>
        </is>
      </c>
      <c r="B3072">
        <v>7.86400771642151e-09</v>
      </c>
      <c r="D3072" t="inlineStr">
        <is>
          <t>kilogram</t>
        </is>
      </c>
      <c r="E3072" t="inlineStr">
        <is>
          <t>water::surface water</t>
        </is>
      </c>
      <c r="F3072" t="inlineStr">
        <is>
          <t>biosphere</t>
        </is>
      </c>
      <c r="G3072" t="inlineStr">
        <is>
          <t>Electricity-only proxy: source amount / 0.29; 100% burden to electricity, before STEM efficiency adjustment.</t>
        </is>
      </c>
    </row>
    <row r="3073">
      <c r="A3073" t="inlineStr">
        <is>
          <t>Chromium VI</t>
        </is>
      </c>
      <c r="B3073">
        <v>3.4524234386303355e-06</v>
      </c>
      <c r="D3073" t="inlineStr">
        <is>
          <t>kilogram</t>
        </is>
      </c>
      <c r="E3073" t="inlineStr">
        <is>
          <t>water::ground-, long-term</t>
        </is>
      </c>
      <c r="F3073" t="inlineStr">
        <is>
          <t>biosphere</t>
        </is>
      </c>
      <c r="G3073" t="inlineStr">
        <is>
          <t>Electricity-only proxy: source amount / 0.29; 100% burden to electricity, before STEM efficiency adjustment.</t>
        </is>
      </c>
    </row>
    <row r="3074">
      <c r="A3074" t="inlineStr">
        <is>
          <t>Chromium VI</t>
        </is>
      </c>
      <c r="B3074">
        <v>1.000829515312274e-06</v>
      </c>
      <c r="D3074" t="inlineStr">
        <is>
          <t>kilogram</t>
        </is>
      </c>
      <c r="E3074" t="inlineStr">
        <is>
          <t>water::surface water</t>
        </is>
      </c>
      <c r="F3074" t="inlineStr">
        <is>
          <t>biosphere</t>
        </is>
      </c>
      <c r="G3074" t="inlineStr">
        <is>
          <t>Electricity-only proxy: source amount / 0.29; 100% burden to electricity, before STEM efficiency adjustment.</t>
        </is>
      </c>
    </row>
    <row r="3075">
      <c r="A3075" t="inlineStr">
        <is>
          <t>Cobalt II</t>
        </is>
      </c>
      <c r="B3075">
        <v>3.3151772365565475e-05</v>
      </c>
      <c r="D3075" t="inlineStr">
        <is>
          <t>kilogram</t>
        </is>
      </c>
      <c r="E3075" t="inlineStr">
        <is>
          <t>water::ground-, long-term</t>
        </is>
      </c>
      <c r="F3075" t="inlineStr">
        <is>
          <t>biosphere</t>
        </is>
      </c>
      <c r="G3075" t="inlineStr">
        <is>
          <t>Electricity-only proxy: source amount / 0.29; 100% burden to electricity, before STEM efficiency adjustment.</t>
        </is>
      </c>
    </row>
    <row r="3076">
      <c r="A3076" t="inlineStr">
        <is>
          <t>Cobalt II</t>
        </is>
      </c>
      <c r="B3076">
        <v>6.2914492404147584e-09</v>
      </c>
      <c r="D3076" t="inlineStr">
        <is>
          <t>kilogram</t>
        </is>
      </c>
      <c r="E3076" t="inlineStr">
        <is>
          <t>water::surface water</t>
        </is>
      </c>
      <c r="F3076" t="inlineStr">
        <is>
          <t>biosphere</t>
        </is>
      </c>
      <c r="G3076" t="inlineStr">
        <is>
          <t>Electricity-only proxy: source amount / 0.29; 100% burden to electricity, before STEM efficiency adjustment.</t>
        </is>
      </c>
    </row>
    <row r="3077">
      <c r="A3077" t="inlineStr">
        <is>
          <t>Copper ion</t>
        </is>
      </c>
      <c r="B3077">
        <v>0.00012841765131420304</v>
      </c>
      <c r="D3077" t="inlineStr">
        <is>
          <t>kilogram</t>
        </is>
      </c>
      <c r="E3077" t="inlineStr">
        <is>
          <t>water::ground-, long-term</t>
        </is>
      </c>
      <c r="F3077" t="inlineStr">
        <is>
          <t>biosphere</t>
        </is>
      </c>
      <c r="G3077" t="inlineStr">
        <is>
          <t>Electricity-only proxy: source amount / 0.29; 100% burden to electricity, before STEM efficiency adjustment.</t>
        </is>
      </c>
    </row>
    <row r="3078">
      <c r="A3078" t="inlineStr">
        <is>
          <t>Copper ion</t>
        </is>
      </c>
      <c r="B3078">
        <v>1.1820882565710152e-08</v>
      </c>
      <c r="D3078" t="inlineStr">
        <is>
          <t>kilogram</t>
        </is>
      </c>
      <c r="E3078" t="inlineStr">
        <is>
          <t>water::surface water</t>
        </is>
      </c>
      <c r="F3078" t="inlineStr">
        <is>
          <t>biosphere</t>
        </is>
      </c>
      <c r="G3078" t="inlineStr">
        <is>
          <t>Electricity-only proxy: source amount / 0.29; 100% burden to electricity, before STEM efficiency adjustment.</t>
        </is>
      </c>
    </row>
    <row r="3079">
      <c r="A3079" t="inlineStr">
        <is>
          <t>DOC, Dissolved Organic Carbon</t>
        </is>
      </c>
      <c r="B3079">
        <v>0.003605729442970822</v>
      </c>
      <c r="D3079" t="inlineStr">
        <is>
          <t>kilogram</t>
        </is>
      </c>
      <c r="E3079" t="inlineStr">
        <is>
          <t>water::ground-, long-term</t>
        </is>
      </c>
      <c r="F3079" t="inlineStr">
        <is>
          <t>biosphere</t>
        </is>
      </c>
      <c r="G3079" t="inlineStr">
        <is>
          <t>Electricity-only proxy: source amount / 0.29; 100% burden to electricity, before STEM efficiency adjustment.</t>
        </is>
      </c>
    </row>
    <row r="3080">
      <c r="A3080" t="inlineStr">
        <is>
          <t>DOC, Dissolved Organic Carbon</t>
        </is>
      </c>
      <c r="B3080">
        <v>0.0004077366771159875</v>
      </c>
      <c r="D3080" t="inlineStr">
        <is>
          <t>kilogram</t>
        </is>
      </c>
      <c r="E3080" t="inlineStr">
        <is>
          <t>water::surface water</t>
        </is>
      </c>
      <c r="F3080" t="inlineStr">
        <is>
          <t>biosphere</t>
        </is>
      </c>
      <c r="G3080" t="inlineStr">
        <is>
          <t>Electricity-only proxy: source amount / 0.29; 100% burden to electricity, before STEM efficiency adjustment.</t>
        </is>
      </c>
    </row>
    <row r="3081">
      <c r="A3081" t="inlineStr">
        <is>
          <t>Fluoride</t>
        </is>
      </c>
      <c r="B3081">
        <v>0.0010102917771883289</v>
      </c>
      <c r="D3081" t="inlineStr">
        <is>
          <t>kilogram</t>
        </is>
      </c>
      <c r="E3081" t="inlineStr">
        <is>
          <t>water::ground-, long-term</t>
        </is>
      </c>
      <c r="F3081" t="inlineStr">
        <is>
          <t>biosphere</t>
        </is>
      </c>
      <c r="G3081" t="inlineStr">
        <is>
          <t>Electricity-only proxy: source amount / 0.29; 100% burden to electricity, before STEM efficiency adjustment.</t>
        </is>
      </c>
    </row>
    <row r="3082">
      <c r="A3082" t="inlineStr">
        <is>
          <t>Fluoride</t>
        </is>
      </c>
      <c r="B3082">
        <v>0.00044074174101760315</v>
      </c>
      <c r="D3082" t="inlineStr">
        <is>
          <t>kilogram</t>
        </is>
      </c>
      <c r="E3082" t="inlineStr">
        <is>
          <t>water::surface water</t>
        </is>
      </c>
      <c r="F3082" t="inlineStr">
        <is>
          <t>biosphere</t>
        </is>
      </c>
      <c r="G3082" t="inlineStr">
        <is>
          <t>Electricity-only proxy: source amount / 0.29; 100% burden to electricity, before STEM efficiency adjustment.</t>
        </is>
      </c>
    </row>
    <row r="3083">
      <c r="A3083" t="inlineStr">
        <is>
          <t>Heat, waste</t>
        </is>
      </c>
      <c r="B3083">
        <v>12.94420062695925</v>
      </c>
      <c r="D3083" t="inlineStr">
        <is>
          <t>megajoule</t>
        </is>
      </c>
      <c r="E3083" t="inlineStr">
        <is>
          <t>water::surface water</t>
        </is>
      </c>
      <c r="F3083" t="inlineStr">
        <is>
          <t>biosphere</t>
        </is>
      </c>
      <c r="G3083" t="inlineStr">
        <is>
          <t>Electricity-only proxy: source amount / 0.29; 100% burden to electricity, before STEM efficiency adjustment.</t>
        </is>
      </c>
    </row>
    <row r="3084">
      <c r="A3084" t="inlineStr">
        <is>
          <t>Iodide</t>
        </is>
      </c>
      <c r="B3084">
        <v>7.81001205690861e-15</v>
      </c>
      <c r="D3084" t="inlineStr">
        <is>
          <t>kilogram</t>
        </is>
      </c>
      <c r="E3084" t="inlineStr">
        <is>
          <t>water::ground-, long-term</t>
        </is>
      </c>
      <c r="F3084" t="inlineStr">
        <is>
          <t>biosphere</t>
        </is>
      </c>
      <c r="G3084" t="inlineStr">
        <is>
          <t>Electricity-only proxy: source amount / 0.29; 100% burden to electricity, before STEM efficiency adjustment.</t>
        </is>
      </c>
    </row>
    <row r="3085">
      <c r="A3085" t="inlineStr">
        <is>
          <t>Iodide</t>
        </is>
      </c>
      <c r="B3085">
        <v>4.0617410176030873e-07</v>
      </c>
      <c r="D3085" t="inlineStr">
        <is>
          <t>kilogram</t>
        </is>
      </c>
      <c r="E3085" t="inlineStr">
        <is>
          <t>water::surface water</t>
        </is>
      </c>
      <c r="F3085" t="inlineStr">
        <is>
          <t>biosphere</t>
        </is>
      </c>
      <c r="G3085" t="inlineStr">
        <is>
          <t>Electricity-only proxy: source amount / 0.29; 100% burden to electricity, before STEM efficiency adjustment.</t>
        </is>
      </c>
    </row>
    <row r="3086">
      <c r="A3086" t="inlineStr">
        <is>
          <t>Iron ion</t>
        </is>
      </c>
      <c r="B3086">
        <v>0.002329886665059079</v>
      </c>
      <c r="D3086" t="inlineStr">
        <is>
          <t>kilogram</t>
        </is>
      </c>
      <c r="E3086" t="inlineStr">
        <is>
          <t>water::ground-, long-term</t>
        </is>
      </c>
      <c r="F3086" t="inlineStr">
        <is>
          <t>biosphere</t>
        </is>
      </c>
      <c r="G3086" t="inlineStr">
        <is>
          <t>Electricity-only proxy: source amount / 0.29; 100% burden to electricity, before STEM efficiency adjustment.</t>
        </is>
      </c>
    </row>
    <row r="3087">
      <c r="A3087" t="inlineStr">
        <is>
          <t>Iron ion</t>
        </is>
      </c>
      <c r="B3087">
        <v>9.563829274174102e-08</v>
      </c>
      <c r="D3087" t="inlineStr">
        <is>
          <t>kilogram</t>
        </is>
      </c>
      <c r="E3087" t="inlineStr">
        <is>
          <t>water::surface water</t>
        </is>
      </c>
      <c r="F3087" t="inlineStr">
        <is>
          <t>biosphere</t>
        </is>
      </c>
      <c r="G3087" t="inlineStr">
        <is>
          <t>Electricity-only proxy: source amount / 0.29; 100% burden to electricity, before STEM efficiency adjustment.</t>
        </is>
      </c>
    </row>
    <row r="3088">
      <c r="A3088" t="inlineStr">
        <is>
          <t>Lead II</t>
        </is>
      </c>
      <c r="B3088">
        <v>9.894574391126116e-05</v>
      </c>
      <c r="D3088" t="inlineStr">
        <is>
          <t>kilogram</t>
        </is>
      </c>
      <c r="E3088" t="inlineStr">
        <is>
          <t>water::ground-, long-term</t>
        </is>
      </c>
      <c r="F3088" t="inlineStr">
        <is>
          <t>biosphere</t>
        </is>
      </c>
      <c r="G3088" t="inlineStr">
        <is>
          <t>Electricity-only proxy: source amount / 0.29; 100% burden to electricity, before STEM efficiency adjustment.</t>
        </is>
      </c>
    </row>
    <row r="3089">
      <c r="A3089" t="inlineStr">
        <is>
          <t>Lead II</t>
        </is>
      </c>
      <c r="B3089">
        <v>9.575114540631783e-09</v>
      </c>
      <c r="D3089" t="inlineStr">
        <is>
          <t>kilogram</t>
        </is>
      </c>
      <c r="E3089" t="inlineStr">
        <is>
          <t>water::surface water</t>
        </is>
      </c>
      <c r="F3089" t="inlineStr">
        <is>
          <t>biosphere</t>
        </is>
      </c>
      <c r="G3089" t="inlineStr">
        <is>
          <t>Electricity-only proxy: source amount / 0.29; 100% burden to electricity, before STEM efficiency adjustment.</t>
        </is>
      </c>
    </row>
    <row r="3090">
      <c r="A3090" t="inlineStr">
        <is>
          <t>Magnesium</t>
        </is>
      </c>
      <c r="B3090">
        <v>0.019886375693272246</v>
      </c>
      <c r="D3090" t="inlineStr">
        <is>
          <t>kilogram</t>
        </is>
      </c>
      <c r="E3090" t="inlineStr">
        <is>
          <t>water::ground-, long-term</t>
        </is>
      </c>
      <c r="F3090" t="inlineStr">
        <is>
          <t>biosphere</t>
        </is>
      </c>
      <c r="G3090" t="inlineStr">
        <is>
          <t>Electricity-only proxy: source amount / 0.29; 100% burden to electricity, before STEM efficiency adjustment.</t>
        </is>
      </c>
    </row>
    <row r="3091">
      <c r="A3091" t="inlineStr">
        <is>
          <t>Magnesium</t>
        </is>
      </c>
      <c r="B3091">
        <v>0.00016166578249336873</v>
      </c>
      <c r="D3091" t="inlineStr">
        <is>
          <t>kilogram</t>
        </is>
      </c>
      <c r="E3091" t="inlineStr">
        <is>
          <t>water::surface water</t>
        </is>
      </c>
      <c r="F3091" t="inlineStr">
        <is>
          <t>biosphere</t>
        </is>
      </c>
      <c r="G3091" t="inlineStr">
        <is>
          <t>Electricity-only proxy: source amount / 0.29; 100% burden to electricity, before STEM efficiency adjustment.</t>
        </is>
      </c>
    </row>
    <row r="3092">
      <c r="A3092" t="inlineStr">
        <is>
          <t>Manganese II</t>
        </is>
      </c>
      <c r="B3092">
        <v>2.587451169520135e-05</v>
      </c>
      <c r="D3092" t="inlineStr">
        <is>
          <t>kilogram</t>
        </is>
      </c>
      <c r="E3092" t="inlineStr">
        <is>
          <t>water::ground-, long-term</t>
        </is>
      </c>
      <c r="F3092" t="inlineStr">
        <is>
          <t>biosphere</t>
        </is>
      </c>
      <c r="G3092" t="inlineStr">
        <is>
          <t>Electricity-only proxy: source amount / 0.29; 100% burden to electricity, before STEM efficiency adjustment.</t>
        </is>
      </c>
    </row>
    <row r="3093">
      <c r="A3093" t="inlineStr">
        <is>
          <t>Manganese II</t>
        </is>
      </c>
      <c r="B3093">
        <v>4.079450204967447e-09</v>
      </c>
      <c r="D3093" t="inlineStr">
        <is>
          <t>kilogram</t>
        </is>
      </c>
      <c r="E3093" t="inlineStr">
        <is>
          <t>water::surface water</t>
        </is>
      </c>
      <c r="F3093" t="inlineStr">
        <is>
          <t>biosphere</t>
        </is>
      </c>
      <c r="G3093" t="inlineStr">
        <is>
          <t>Electricity-only proxy: source amount / 0.29; 100% burden to electricity, before STEM efficiency adjustment.</t>
        </is>
      </c>
    </row>
    <row r="3094">
      <c r="A3094" t="inlineStr">
        <is>
          <t>Mercury II</t>
        </is>
      </c>
      <c r="B3094">
        <v>1.1135953701470944e-07</v>
      </c>
      <c r="D3094" t="inlineStr">
        <is>
          <t>kilogram</t>
        </is>
      </c>
      <c r="E3094" t="inlineStr">
        <is>
          <t>water::ground-, long-term</t>
        </is>
      </c>
      <c r="F3094" t="inlineStr">
        <is>
          <t>biosphere</t>
        </is>
      </c>
      <c r="G3094" t="inlineStr">
        <is>
          <t>Electricity-only proxy: source amount / 0.29; 100% burden to electricity, before STEM efficiency adjustment.</t>
        </is>
      </c>
    </row>
    <row r="3095">
      <c r="A3095" t="inlineStr">
        <is>
          <t>Mercury II</t>
        </is>
      </c>
      <c r="B3095">
        <v>2.8203617072582593e-09</v>
      </c>
      <c r="D3095" t="inlineStr">
        <is>
          <t>kilogram</t>
        </is>
      </c>
      <c r="E3095" t="inlineStr">
        <is>
          <t>water::surface water</t>
        </is>
      </c>
      <c r="F3095" t="inlineStr">
        <is>
          <t>biosphere</t>
        </is>
      </c>
      <c r="G3095" t="inlineStr">
        <is>
          <t>Electricity-only proxy: source amount / 0.29; 100% burden to electricity, before STEM efficiency adjustment.</t>
        </is>
      </c>
    </row>
    <row r="3096">
      <c r="A3096" t="inlineStr">
        <is>
          <t>Molybdenum VI</t>
        </is>
      </c>
      <c r="B3096">
        <v>2.335095249578008e-06</v>
      </c>
      <c r="D3096" t="inlineStr">
        <is>
          <t>kilogram</t>
        </is>
      </c>
      <c r="E3096" t="inlineStr">
        <is>
          <t>water::ground-, long-term</t>
        </is>
      </c>
      <c r="F3096" t="inlineStr">
        <is>
          <t>biosphere</t>
        </is>
      </c>
      <c r="G3096" t="inlineStr">
        <is>
          <t>Electricity-only proxy: source amount / 0.29; 100% burden to electricity, before STEM efficiency adjustment.</t>
        </is>
      </c>
    </row>
    <row r="3097">
      <c r="A3097" t="inlineStr">
        <is>
          <t>Molybdenum VI</t>
        </is>
      </c>
      <c r="B3097">
        <v>5.03956595129009e-07</v>
      </c>
      <c r="D3097" t="inlineStr">
        <is>
          <t>kilogram</t>
        </is>
      </c>
      <c r="E3097" t="inlineStr">
        <is>
          <t>water::surface water</t>
        </is>
      </c>
      <c r="F3097" t="inlineStr">
        <is>
          <t>biosphere</t>
        </is>
      </c>
      <c r="G3097" t="inlineStr">
        <is>
          <t>Electricity-only proxy: source amount / 0.29; 100% burden to electricity, before STEM efficiency adjustment.</t>
        </is>
      </c>
    </row>
    <row r="3098">
      <c r="A3098" t="inlineStr">
        <is>
          <t>Nickel II</t>
        </is>
      </c>
      <c r="B3098">
        <v>4.050021702435496e-05</v>
      </c>
      <c r="D3098" t="inlineStr">
        <is>
          <t>kilogram</t>
        </is>
      </c>
      <c r="E3098" t="inlineStr">
        <is>
          <t>water::ground-, long-term</t>
        </is>
      </c>
      <c r="F3098" t="inlineStr">
        <is>
          <t>biosphere</t>
        </is>
      </c>
      <c r="G3098" t="inlineStr">
        <is>
          <t>Electricity-only proxy: source amount / 0.29; 100% burden to electricity, before STEM efficiency adjustment.</t>
        </is>
      </c>
    </row>
    <row r="3099">
      <c r="A3099" t="inlineStr">
        <is>
          <t>Nickel II</t>
        </is>
      </c>
      <c r="B3099">
        <v>2.7793006993006997e-08</v>
      </c>
      <c r="D3099" t="inlineStr">
        <is>
          <t>kilogram</t>
        </is>
      </c>
      <c r="E3099" t="inlineStr">
        <is>
          <t>water::surface water</t>
        </is>
      </c>
      <c r="F3099" t="inlineStr">
        <is>
          <t>biosphere</t>
        </is>
      </c>
      <c r="G3099" t="inlineStr">
        <is>
          <t>Electricity-only proxy: source amount / 0.29; 100% burden to electricity, before STEM efficiency adjustment.</t>
        </is>
      </c>
    </row>
    <row r="3100">
      <c r="A3100" t="inlineStr">
        <is>
          <t>Nitrate</t>
        </is>
      </c>
      <c r="B3100">
        <v>0.0010862503014227153</v>
      </c>
      <c r="D3100" t="inlineStr">
        <is>
          <t>kilogram</t>
        </is>
      </c>
      <c r="E3100" t="inlineStr">
        <is>
          <t>water::ground-, long-term</t>
        </is>
      </c>
      <c r="F3100" t="inlineStr">
        <is>
          <t>biosphere</t>
        </is>
      </c>
      <c r="G3100" t="inlineStr">
        <is>
          <t>Electricity-only proxy: source amount / 0.29; 100% burden to electricity, before STEM efficiency adjustment.</t>
        </is>
      </c>
    </row>
    <row r="3101">
      <c r="A3101" t="inlineStr">
        <is>
          <t>Nitrate</t>
        </is>
      </c>
      <c r="B3101">
        <v>0.00038911598746081515</v>
      </c>
      <c r="D3101" t="inlineStr">
        <is>
          <t>kilogram</t>
        </is>
      </c>
      <c r="E3101" t="inlineStr">
        <is>
          <t>water::surface water</t>
        </is>
      </c>
      <c r="F3101" t="inlineStr">
        <is>
          <t>biosphere</t>
        </is>
      </c>
      <c r="G3101" t="inlineStr">
        <is>
          <t>Electricity-only proxy: source amount / 0.29; 100% burden to electricity, before STEM efficiency adjustment.</t>
        </is>
      </c>
    </row>
    <row r="3102">
      <c r="A3102" t="inlineStr">
        <is>
          <t>Phosphate</t>
        </is>
      </c>
      <c r="B3102">
        <v>0.0007694902339040271</v>
      </c>
      <c r="D3102" t="inlineStr">
        <is>
          <t>kilogram</t>
        </is>
      </c>
      <c r="E3102" t="inlineStr">
        <is>
          <t>water::ground-, long-term</t>
        </is>
      </c>
      <c r="F3102" t="inlineStr">
        <is>
          <t>biosphere</t>
        </is>
      </c>
      <c r="G3102" t="inlineStr">
        <is>
          <t>Electricity-only proxy: source amount / 0.29; 100% burden to electricity, before STEM efficiency adjustment.</t>
        </is>
      </c>
    </row>
    <row r="3103">
      <c r="A3103" t="inlineStr">
        <is>
          <t>Phosphate</t>
        </is>
      </c>
      <c r="B3103">
        <v>1.2739329635881362e-05</v>
      </c>
      <c r="D3103" t="inlineStr">
        <is>
          <t>kilogram</t>
        </is>
      </c>
      <c r="E3103" t="inlineStr">
        <is>
          <t>water::surface water</t>
        </is>
      </c>
      <c r="F3103" t="inlineStr">
        <is>
          <t>biosphere</t>
        </is>
      </c>
      <c r="G3103" t="inlineStr">
        <is>
          <t>Electricity-only proxy: source amount / 0.29; 100% burden to electricity, before STEM efficiency adjustment.</t>
        </is>
      </c>
    </row>
    <row r="3104">
      <c r="A3104" t="inlineStr">
        <is>
          <t>Potassium I</t>
        </is>
      </c>
      <c r="B3104">
        <v>0.019015673981191226</v>
      </c>
      <c r="D3104" t="inlineStr">
        <is>
          <t>kilogram</t>
        </is>
      </c>
      <c r="E3104" t="inlineStr">
        <is>
          <t>water::ground-, long-term</t>
        </is>
      </c>
      <c r="F3104" t="inlineStr">
        <is>
          <t>biosphere</t>
        </is>
      </c>
      <c r="G3104" t="inlineStr">
        <is>
          <t>Electricity-only proxy: source amount / 0.29; 100% burden to electricity, before STEM efficiency adjustment.</t>
        </is>
      </c>
    </row>
    <row r="3105">
      <c r="A3105" t="inlineStr">
        <is>
          <t>Potassium I</t>
        </is>
      </c>
      <c r="B3105">
        <v>0.007186197251024838</v>
      </c>
      <c r="D3105" t="inlineStr">
        <is>
          <t>kilogram</t>
        </is>
      </c>
      <c r="E3105" t="inlineStr">
        <is>
          <t>water::surface water</t>
        </is>
      </c>
      <c r="F3105" t="inlineStr">
        <is>
          <t>biosphere</t>
        </is>
      </c>
      <c r="G3105" t="inlineStr">
        <is>
          <t>Electricity-only proxy: source amount / 0.29; 100% burden to electricity, before STEM efficiency adjustment.</t>
        </is>
      </c>
    </row>
    <row r="3106">
      <c r="A3106" t="inlineStr">
        <is>
          <t>Selenium IV</t>
        </is>
      </c>
      <c r="B3106">
        <v>2.9037858693031107e-06</v>
      </c>
      <c r="D3106" t="inlineStr">
        <is>
          <t>kilogram</t>
        </is>
      </c>
      <c r="E3106" t="inlineStr">
        <is>
          <t>water::ground-, long-term</t>
        </is>
      </c>
      <c r="F3106" t="inlineStr">
        <is>
          <t>biosphere</t>
        </is>
      </c>
      <c r="G3106" t="inlineStr">
        <is>
          <t>Electricity-only proxy: source amount / 0.29; 100% burden to electricity, before STEM efficiency adjustment.</t>
        </is>
      </c>
    </row>
    <row r="3107">
      <c r="A3107" t="inlineStr">
        <is>
          <t>Selenium IV</t>
        </is>
      </c>
      <c r="B3107">
        <v>7.539252471666265e-07</v>
      </c>
      <c r="D3107" t="inlineStr">
        <is>
          <t>kilogram</t>
        </is>
      </c>
      <c r="E3107" t="inlineStr">
        <is>
          <t>water::surface water</t>
        </is>
      </c>
      <c r="F3107" t="inlineStr">
        <is>
          <t>biosphere</t>
        </is>
      </c>
      <c r="G3107" t="inlineStr">
        <is>
          <t>Electricity-only proxy: source amount / 0.29; 100% burden to electricity, before STEM efficiency adjustment.</t>
        </is>
      </c>
    </row>
    <row r="3108">
      <c r="A3108" t="inlineStr">
        <is>
          <t>Silicon</t>
        </is>
      </c>
      <c r="B3108">
        <v>0.022353508560405116</v>
      </c>
      <c r="D3108" t="inlineStr">
        <is>
          <t>kilogram</t>
        </is>
      </c>
      <c r="E3108" t="inlineStr">
        <is>
          <t>water::ground-, long-term</t>
        </is>
      </c>
      <c r="F3108" t="inlineStr">
        <is>
          <t>biosphere</t>
        </is>
      </c>
      <c r="G3108" t="inlineStr">
        <is>
          <t>Electricity-only proxy: source amount / 0.29; 100% burden to electricity, before STEM efficiency adjustment.</t>
        </is>
      </c>
    </row>
    <row r="3109">
      <c r="A3109" t="inlineStr">
        <is>
          <t>Silicon</t>
        </is>
      </c>
      <c r="B3109">
        <v>7.17378345792139e-05</v>
      </c>
      <c r="D3109" t="inlineStr">
        <is>
          <t>kilogram</t>
        </is>
      </c>
      <c r="E3109" t="inlineStr">
        <is>
          <t>water::surface water</t>
        </is>
      </c>
      <c r="F3109" t="inlineStr">
        <is>
          <t>biosphere</t>
        </is>
      </c>
      <c r="G3109" t="inlineStr">
        <is>
          <t>Electricity-only proxy: source amount / 0.29; 100% burden to electricity, before STEM efficiency adjustment.</t>
        </is>
      </c>
    </row>
    <row r="3110">
      <c r="A3110" t="inlineStr">
        <is>
          <t>Sodium I</t>
        </is>
      </c>
      <c r="B3110">
        <v>0.007433344586448036</v>
      </c>
      <c r="D3110" t="inlineStr">
        <is>
          <t>kilogram</t>
        </is>
      </c>
      <c r="E3110" t="inlineStr">
        <is>
          <t>water::ground-, long-term</t>
        </is>
      </c>
      <c r="F3110" t="inlineStr">
        <is>
          <t>biosphere</t>
        </is>
      </c>
      <c r="G3110" t="inlineStr">
        <is>
          <t>Electricity-only proxy: source amount / 0.29; 100% burden to electricity, before STEM efficiency adjustment.</t>
        </is>
      </c>
    </row>
    <row r="3111">
      <c r="A3111" t="inlineStr">
        <is>
          <t>Sodium I</t>
        </is>
      </c>
      <c r="B3111">
        <v>0.0037377670605256816</v>
      </c>
      <c r="D3111" t="inlineStr">
        <is>
          <t>kilogram</t>
        </is>
      </c>
      <c r="E3111" t="inlineStr">
        <is>
          <t>water::surface water</t>
        </is>
      </c>
      <c r="F3111" t="inlineStr">
        <is>
          <t>biosphere</t>
        </is>
      </c>
      <c r="G3111" t="inlineStr">
        <is>
          <t>Electricity-only proxy: source amount / 0.29; 100% burden to electricity, before STEM efficiency adjustment.</t>
        </is>
      </c>
    </row>
    <row r="3112">
      <c r="A3112" t="inlineStr">
        <is>
          <t>Sulfate</t>
        </is>
      </c>
      <c r="B3112">
        <v>0.027141933928140828</v>
      </c>
      <c r="D3112" t="inlineStr">
        <is>
          <t>kilogram</t>
        </is>
      </c>
      <c r="E3112" t="inlineStr">
        <is>
          <t>water::ground-, long-term</t>
        </is>
      </c>
      <c r="F3112" t="inlineStr">
        <is>
          <t>biosphere</t>
        </is>
      </c>
      <c r="G3112" t="inlineStr">
        <is>
          <t>Electricity-only proxy: source amount / 0.29; 100% burden to electricity, before STEM efficiency adjustment.</t>
        </is>
      </c>
    </row>
    <row r="3113">
      <c r="A3113" t="inlineStr">
        <is>
          <t>Sulfate</t>
        </is>
      </c>
      <c r="B3113">
        <v>0.004638938992042441</v>
      </c>
      <c r="D3113" t="inlineStr">
        <is>
          <t>kilogram</t>
        </is>
      </c>
      <c r="E3113" t="inlineStr">
        <is>
          <t>water::surface water</t>
        </is>
      </c>
      <c r="F3113" t="inlineStr">
        <is>
          <t>biosphere</t>
        </is>
      </c>
      <c r="G3113" t="inlineStr">
        <is>
          <t>Electricity-only proxy: source amount / 0.29; 100% burden to electricity, before STEM efficiency adjustment.</t>
        </is>
      </c>
    </row>
    <row r="3114">
      <c r="A3114" t="inlineStr">
        <is>
          <t>TOC, Total Organic Carbon</t>
        </is>
      </c>
      <c r="B3114">
        <v>0.003605729442970822</v>
      </c>
      <c r="D3114" t="inlineStr">
        <is>
          <t>kilogram</t>
        </is>
      </c>
      <c r="E3114" t="inlineStr">
        <is>
          <t>water::ground-, long-term</t>
        </is>
      </c>
      <c r="F3114" t="inlineStr">
        <is>
          <t>biosphere</t>
        </is>
      </c>
      <c r="G3114" t="inlineStr">
        <is>
          <t>Electricity-only proxy: source amount / 0.29; 100% burden to electricity, before STEM efficiency adjustment.</t>
        </is>
      </c>
    </row>
    <row r="3115">
      <c r="A3115" t="inlineStr">
        <is>
          <t>TOC, Total Organic Carbon</t>
        </is>
      </c>
      <c r="B3115">
        <v>0.0004077366771159875</v>
      </c>
      <c r="D3115" t="inlineStr">
        <is>
          <t>kilogram</t>
        </is>
      </c>
      <c r="E3115" t="inlineStr">
        <is>
          <t>water::surface water</t>
        </is>
      </c>
      <c r="F3115" t="inlineStr">
        <is>
          <t>biosphere</t>
        </is>
      </c>
      <c r="G3115" t="inlineStr">
        <is>
          <t>Electricity-only proxy: source amount / 0.29; 100% burden to electricity, before STEM efficiency adjustment.</t>
        </is>
      </c>
    </row>
    <row r="3116">
      <c r="A3116" t="inlineStr">
        <is>
          <t>Thallium I</t>
        </is>
      </c>
      <c r="B3116">
        <v>8.568208343380757e-09</v>
      </c>
      <c r="D3116" t="inlineStr">
        <is>
          <t>kilogram</t>
        </is>
      </c>
      <c r="E3116" t="inlineStr">
        <is>
          <t>water::ground-, long-term</t>
        </is>
      </c>
      <c r="F3116" t="inlineStr">
        <is>
          <t>biosphere</t>
        </is>
      </c>
      <c r="G3116" t="inlineStr">
        <is>
          <t>Electricity-only proxy: source amount / 0.29; 100% burden to electricity, before STEM efficiency adjustment.</t>
        </is>
      </c>
    </row>
    <row r="3117">
      <c r="A3117" t="inlineStr">
        <is>
          <t>Thallium I</t>
        </is>
      </c>
      <c r="B3117">
        <v>1.430450928381963e-11</v>
      </c>
      <c r="D3117" t="inlineStr">
        <is>
          <t>kilogram</t>
        </is>
      </c>
      <c r="E3117" t="inlineStr">
        <is>
          <t>water::surface water</t>
        </is>
      </c>
      <c r="F3117" t="inlineStr">
        <is>
          <t>biosphere</t>
        </is>
      </c>
      <c r="G3117" t="inlineStr">
        <is>
          <t>Electricity-only proxy: source amount / 0.29; 100% burden to electricity, before STEM efficiency adjustment.</t>
        </is>
      </c>
    </row>
    <row r="3118">
      <c r="A3118" t="inlineStr">
        <is>
          <t>Tin ion</t>
        </is>
      </c>
      <c r="B3118">
        <v>4.018422956353991e-05</v>
      </c>
      <c r="D3118" t="inlineStr">
        <is>
          <t>kilogram</t>
        </is>
      </c>
      <c r="E3118" t="inlineStr">
        <is>
          <t>water::ground-, long-term</t>
        </is>
      </c>
      <c r="F3118" t="inlineStr">
        <is>
          <t>biosphere</t>
        </is>
      </c>
      <c r="G3118" t="inlineStr">
        <is>
          <t>Electricity-only proxy: source amount / 0.29; 100% burden to electricity, before STEM efficiency adjustment.</t>
        </is>
      </c>
    </row>
    <row r="3119">
      <c r="A3119" t="inlineStr">
        <is>
          <t>Tin ion</t>
        </is>
      </c>
      <c r="B3119">
        <v>5.473267422232939e-08</v>
      </c>
      <c r="D3119" t="inlineStr">
        <is>
          <t>kilogram</t>
        </is>
      </c>
      <c r="E3119" t="inlineStr">
        <is>
          <t>water::surface water</t>
        </is>
      </c>
      <c r="F3119" t="inlineStr">
        <is>
          <t>biosphere</t>
        </is>
      </c>
      <c r="G3119" t="inlineStr">
        <is>
          <t>Electricity-only proxy: source amount / 0.29; 100% burden to electricity, before STEM efficiency adjustment.</t>
        </is>
      </c>
    </row>
    <row r="3120">
      <c r="A3120" t="inlineStr">
        <is>
          <t>Vanadium V</t>
        </is>
      </c>
      <c r="B3120">
        <v>8.868483240897036e-06</v>
      </c>
      <c r="D3120" t="inlineStr">
        <is>
          <t>kilogram</t>
        </is>
      </c>
      <c r="E3120" t="inlineStr">
        <is>
          <t>water::ground-, long-term</t>
        </is>
      </c>
      <c r="F3120" t="inlineStr">
        <is>
          <t>biosphere</t>
        </is>
      </c>
      <c r="G3120" t="inlineStr">
        <is>
          <t>Electricity-only proxy: source amount / 0.29; 100% burden to electricity, before STEM efficiency adjustment.</t>
        </is>
      </c>
    </row>
    <row r="3121">
      <c r="A3121" t="inlineStr">
        <is>
          <t>Vanadium V</t>
        </is>
      </c>
      <c r="B3121">
        <v>3.3347962382445146e-08</v>
      </c>
      <c r="D3121" t="inlineStr">
        <is>
          <t>kilogram</t>
        </is>
      </c>
      <c r="E3121" t="inlineStr">
        <is>
          <t>water::surface water</t>
        </is>
      </c>
      <c r="F3121" t="inlineStr">
        <is>
          <t>biosphere</t>
        </is>
      </c>
      <c r="G3121" t="inlineStr">
        <is>
          <t>Electricity-only proxy: source amount / 0.29; 100% burden to electricity, before STEM efficiency adjustment.</t>
        </is>
      </c>
    </row>
    <row r="3122">
      <c r="A3122" t="inlineStr">
        <is>
          <t>Water</t>
        </is>
      </c>
      <c r="B3122">
        <v>0.0025199652761032075</v>
      </c>
      <c r="D3122" t="inlineStr">
        <is>
          <t>cubic meter</t>
        </is>
      </c>
      <c r="E3122" t="inlineStr">
        <is>
          <t>water::surface water</t>
        </is>
      </c>
      <c r="F3122" t="inlineStr">
        <is>
          <t>biosphere</t>
        </is>
      </c>
      <c r="G3122" t="inlineStr">
        <is>
          <t>Electricity-only proxy: source amount / 0.29; 100% burden to electricity, before STEM efficiency adjustment.</t>
        </is>
      </c>
    </row>
    <row r="3123">
      <c r="A3123" t="inlineStr">
        <is>
          <t>Zinc II</t>
        </is>
      </c>
      <c r="B3123">
        <v>0.00019803038340969378</v>
      </c>
      <c r="D3123" t="inlineStr">
        <is>
          <t>kilogram</t>
        </is>
      </c>
      <c r="E3123" t="inlineStr">
        <is>
          <t>water::ground-, long-term</t>
        </is>
      </c>
      <c r="F3123" t="inlineStr">
        <is>
          <t>biosphere</t>
        </is>
      </c>
      <c r="G3123" t="inlineStr">
        <is>
          <t>Electricity-only proxy: source amount / 0.29; 100% burden to electricity, before STEM efficiency adjustment.</t>
        </is>
      </c>
    </row>
    <row r="3124">
      <c r="A3124" t="inlineStr">
        <is>
          <t>Zinc II</t>
        </is>
      </c>
      <c r="B3124">
        <v>2.6979599710634195e-08</v>
      </c>
      <c r="D3124" t="inlineStr">
        <is>
          <t>kilogram</t>
        </is>
      </c>
      <c r="E3124" t="inlineStr">
        <is>
          <t>water::surface water</t>
        </is>
      </c>
      <c r="F3124" t="inlineStr">
        <is>
          <t>biosphere</t>
        </is>
      </c>
      <c r="G3124" t="inlineStr">
        <is>
          <t>Electricity-only proxy: source amount / 0.29; 100% burden to electricity, before STEM efficiency adjustment.</t>
        </is>
      </c>
    </row>
    <row r="3125">
      <c r="A3125" t="inlineStr">
        <is>
          <t>Oxygen</t>
        </is>
      </c>
      <c r="B3125">
        <v>4.171902580178443</v>
      </c>
      <c r="D3125" t="inlineStr">
        <is>
          <t>kilogram</t>
        </is>
      </c>
      <c r="E3125" t="inlineStr">
        <is>
          <t>natural resource::in air</t>
        </is>
      </c>
      <c r="F3125" t="inlineStr">
        <is>
          <t>biosphere</t>
        </is>
      </c>
      <c r="G3125" t="inlineStr">
        <is>
          <t>Electricity-only proxy: source amount / 0.29; 100% burden to electricity, before STEM efficiency adjustment.</t>
        </is>
      </c>
    </row>
    <row r="3126">
      <c r="A3126" t="inlineStr">
        <is>
          <t>Energy, gross calorific value, in biomass</t>
        </is>
      </c>
      <c r="B3126">
        <v>14.500000000000002</v>
      </c>
      <c r="D3126" t="inlineStr">
        <is>
          <t>megajoule</t>
        </is>
      </c>
      <c r="E3126" t="inlineStr">
        <is>
          <t>natural resource::biotic</t>
        </is>
      </c>
      <c r="F3126" t="inlineStr">
        <is>
          <t>biosphere</t>
        </is>
      </c>
      <c r="G3126" t="inlineStr">
        <is>
          <t>Electricity-only proxy: source amount / 0.29; 100% burden to electricity, before STEM efficiency adjustment.</t>
        </is>
      </c>
    </row>
    <row r="3127"/>
    <row r="3128"/>
    <row r="3129">
      <c r="A3129" t="inlineStr">
        <is>
          <t>Activity</t>
        </is>
      </c>
      <c r="B3129" t="inlineStr">
        <is>
          <t>electricity production, from incineration of biowaste, electricity only, post, pipeline 200km, storage 1000m</t>
        </is>
      </c>
    </row>
    <row r="3130">
      <c r="A3130" t="inlineStr">
        <is>
          <t>location</t>
        </is>
      </c>
      <c r="B3130" t="inlineStr">
        <is>
          <t>CH</t>
        </is>
      </c>
    </row>
    <row r="3131">
      <c r="A3131" t="inlineStr">
        <is>
          <t>production amount</t>
        </is>
      </c>
      <c r="B3131">
        <v>1</v>
      </c>
    </row>
    <row r="3132">
      <c r="A3132" t="inlineStr">
        <is>
          <t>comment</t>
        </is>
      </c>
      <c r="B3132" t="inlineStr">
        <is>
          <t>Electricity-only proxy derived from 'electricity production, at co-generation biowaste-fired power plant, post, pipeline 200km, storage 1000m'. All energy-production burdens assigned to electricity: divide non-production exchanges by the source electricity allocation factor 0.29. No useful heat coproduct. Retain the source's declared physical electrical efficiency before applying the matching absolute STEM efficiency. CCS capture and storage, residual emissions and biomass uptake retain their source ratios. Source documentation: Grossly adapted from Volkart et al. 2013 to ecoinvent CHP datasets. 90% CO2 capture efficiency. Added 10% energy penalty based on Volkart et al. 2013.</t>
        </is>
      </c>
    </row>
    <row r="3133">
      <c r="A3133" t="inlineStr">
        <is>
          <t>reference product</t>
        </is>
      </c>
      <c r="B3133" t="inlineStr">
        <is>
          <t>electricity, from incineration of biowaste, electricity only, with CCS</t>
        </is>
      </c>
    </row>
    <row r="3134">
      <c r="A3134" t="inlineStr">
        <is>
          <t>type</t>
        </is>
      </c>
      <c r="B3134" t="inlineStr">
        <is>
          <t>process</t>
        </is>
      </c>
    </row>
    <row r="3135">
      <c r="A3135" t="inlineStr">
        <is>
          <t>current efficiency</t>
        </is>
      </c>
      <c r="B3135">
        <v>0.08613</v>
      </c>
    </row>
    <row r="3136">
      <c r="A3136" t="inlineStr">
        <is>
          <t>unit</t>
        </is>
      </c>
      <c r="B3136" t="inlineStr">
        <is>
          <t>kilowatt hour</t>
        </is>
      </c>
    </row>
    <row r="3137">
      <c r="A3137" t="inlineStr">
        <is>
          <t>Exchanges</t>
        </is>
      </c>
    </row>
    <row r="3138">
      <c r="A3138" t="inlineStr">
        <is>
          <t>name</t>
        </is>
      </c>
      <c r="B3138" t="inlineStr">
        <is>
          <t>amount</t>
        </is>
      </c>
      <c r="C3138" t="inlineStr">
        <is>
          <t>location</t>
        </is>
      </c>
      <c r="D3138" t="inlineStr">
        <is>
          <t>unit</t>
        </is>
      </c>
      <c r="E3138" t="inlineStr">
        <is>
          <t>categories</t>
        </is>
      </c>
      <c r="F3138" t="inlineStr">
        <is>
          <t>type</t>
        </is>
      </c>
      <c r="G3138" t="inlineStr">
        <is>
          <t>comment</t>
        </is>
      </c>
      <c r="H3138" t="inlineStr">
        <is>
          <t>reference product</t>
        </is>
      </c>
    </row>
    <row r="3139">
      <c r="A3139" t="inlineStr">
        <is>
          <t>electricity production, from incineration of biowaste, electricity only, post, pipeline 200km, storage 1000m</t>
        </is>
      </c>
      <c r="B3139">
        <v>1</v>
      </c>
      <c r="C3139" t="inlineStr">
        <is>
          <t>CH</t>
        </is>
      </c>
      <c r="D3139" t="inlineStr">
        <is>
          <t>kilowatt hour</t>
        </is>
      </c>
      <c r="F3139" t="inlineStr">
        <is>
          <t>production</t>
        </is>
      </c>
      <c r="G3139" t="inlineStr">
        <is>
          <t/>
        </is>
      </c>
      <c r="H3139" t="inlineStr">
        <is>
          <t>electricity, from incineration of biowaste, electricity only, with CCS</t>
        </is>
      </c>
    </row>
    <row r="3140">
      <c r="A3140" t="inlineStr">
        <is>
          <t>carbon dioxide, captured at wood burning power plant 20 MW post, pipeline 200km, storage 1000m</t>
        </is>
      </c>
      <c r="B3140">
        <v>4.435792042440322</v>
      </c>
      <c r="C3140" t="inlineStr">
        <is>
          <t>RER</t>
        </is>
      </c>
      <c r="D3140" t="inlineStr">
        <is>
          <t>kilogram</t>
        </is>
      </c>
      <c r="F3140" t="inlineStr">
        <is>
          <t>technosphere</t>
        </is>
      </c>
      <c r="G3140" t="inlineStr">
        <is>
          <t>Electricity-only proxy: source amount / 0.29; 100% burden to electricity, before STEM efficiency adjustment.</t>
        </is>
      </c>
      <c r="H3140" t="inlineStr">
        <is>
          <t>carbon dioxide, captured at wood burning power plant 20 MW post, pipeline 200km, storage 1000m</t>
        </is>
      </c>
    </row>
    <row r="3141">
      <c r="A3141" t="inlineStr">
        <is>
          <t>Carbon dioxide, in air</t>
        </is>
      </c>
      <c r="B3141">
        <v>4.9286578249336905</v>
      </c>
      <c r="D3141" t="inlineStr">
        <is>
          <t>kilogram</t>
        </is>
      </c>
      <c r="E3141" t="inlineStr">
        <is>
          <t>natural resource::in air</t>
        </is>
      </c>
      <c r="F3141" t="inlineStr">
        <is>
          <t>biosphere</t>
        </is>
      </c>
      <c r="G3141" t="inlineStr">
        <is>
          <t>Electricity-only proxy: source amount / 0.29; 100% burden to electricity, before STEM efficiency adjustment.</t>
        </is>
      </c>
    </row>
    <row r="3142">
      <c r="A3142" t="inlineStr">
        <is>
          <t>market for ammonia, anhydrous, liquid</t>
        </is>
      </c>
      <c r="B3142">
        <v>0.005122981432360743</v>
      </c>
      <c r="C3142" t="inlineStr">
        <is>
          <t>RER</t>
        </is>
      </c>
      <c r="D3142" t="inlineStr">
        <is>
          <t>kilogram</t>
        </is>
      </c>
      <c r="F3142" t="inlineStr">
        <is>
          <t>technosphere</t>
        </is>
      </c>
      <c r="G3142" t="inlineStr">
        <is>
          <t>Electricity-only proxy: source amount / 0.29; 100% burden to electricity, before STEM efficiency adjustment.</t>
        </is>
      </c>
      <c r="H3142" t="inlineStr">
        <is>
          <t>ammonia, anhydrous, liquid</t>
        </is>
      </c>
    </row>
    <row r="3143">
      <c r="A3143" t="inlineStr">
        <is>
          <t>market for cationic resin</t>
        </is>
      </c>
      <c r="B3143">
        <v>2.9548647214854114e-06</v>
      </c>
      <c r="C3143" t="inlineStr">
        <is>
          <t>RER</t>
        </is>
      </c>
      <c r="D3143" t="inlineStr">
        <is>
          <t>kilogram</t>
        </is>
      </c>
      <c r="F3143" t="inlineStr">
        <is>
          <t>technosphere</t>
        </is>
      </c>
      <c r="G3143" t="inlineStr">
        <is>
          <t>Electricity-only proxy: source amount / 0.29; 100% burden to electricity, before STEM efficiency adjustment.</t>
        </is>
      </c>
      <c r="H3143" t="inlineStr">
        <is>
          <t>cationic resin</t>
        </is>
      </c>
    </row>
    <row r="3144">
      <c r="A3144" t="inlineStr">
        <is>
          <t>market for cement, unspecified</t>
        </is>
      </c>
      <c r="B3144">
        <v>0.050437241379310355</v>
      </c>
      <c r="C3144" t="inlineStr">
        <is>
          <t>CH</t>
        </is>
      </c>
      <c r="D3144" t="inlineStr">
        <is>
          <t>kilogram</t>
        </is>
      </c>
      <c r="F3144" t="inlineStr">
        <is>
          <t>technosphere</t>
        </is>
      </c>
      <c r="G3144" t="inlineStr">
        <is>
          <t>Electricity-only proxy: source amount / 0.29; 100% burden to electricity, before STEM efficiency adjustment.</t>
        </is>
      </c>
      <c r="H3144" t="inlineStr">
        <is>
          <t>cement, unspecified</t>
        </is>
      </c>
    </row>
    <row r="3145">
      <c r="A3145" t="inlineStr">
        <is>
          <t>market for chemical, inorganic</t>
        </is>
      </c>
      <c r="B3145">
        <v>0.0006921071618037136</v>
      </c>
      <c r="C3145" t="inlineStr">
        <is>
          <t>GLO</t>
        </is>
      </c>
      <c r="D3145" t="inlineStr">
        <is>
          <t>kilogram</t>
        </is>
      </c>
      <c r="F3145" t="inlineStr">
        <is>
          <t>technosphere</t>
        </is>
      </c>
      <c r="G3145" t="inlineStr">
        <is>
          <t>Electricity-only proxy: source amount / 0.29; 100% burden to electricity, before STEM efficiency adjustment.</t>
        </is>
      </c>
      <c r="H3145" t="inlineStr">
        <is>
          <t>chemical, inorganic</t>
        </is>
      </c>
    </row>
    <row r="3146">
      <c r="A3146" t="inlineStr">
        <is>
          <t>market for chemical, organic</t>
        </is>
      </c>
      <c r="B3146">
        <v>5.353305039787799e-06</v>
      </c>
      <c r="C3146" t="inlineStr">
        <is>
          <t>GLO</t>
        </is>
      </c>
      <c r="D3146" t="inlineStr">
        <is>
          <t>kilogram</t>
        </is>
      </c>
      <c r="F3146" t="inlineStr">
        <is>
          <t>technosphere</t>
        </is>
      </c>
      <c r="G3146" t="inlineStr">
        <is>
          <t>Electricity-only proxy: source amount / 0.29; 100% burden to electricity, before STEM efficiency adjustment.</t>
        </is>
      </c>
      <c r="H3146" t="inlineStr">
        <is>
          <t>chemical, organic</t>
        </is>
      </c>
    </row>
    <row r="3147">
      <c r="A3147" t="inlineStr">
        <is>
          <t>market for chromium trioxide, flakes</t>
        </is>
      </c>
      <c r="B3147">
        <v>6.550376657824934e-06</v>
      </c>
      <c r="C3147" t="inlineStr">
        <is>
          <t>GLO</t>
        </is>
      </c>
      <c r="D3147" t="inlineStr">
        <is>
          <t>kilogram</t>
        </is>
      </c>
      <c r="F3147" t="inlineStr">
        <is>
          <t>technosphere</t>
        </is>
      </c>
      <c r="G3147" t="inlineStr">
        <is>
          <t>Electricity-only proxy: source amount / 0.29; 100% burden to electricity, before STEM efficiency adjustment.</t>
        </is>
      </c>
      <c r="H3147" t="inlineStr">
        <is>
          <t>chromium trioxide, flakes</t>
        </is>
      </c>
    </row>
    <row r="3148">
      <c r="A3148" t="inlineStr">
        <is>
          <t>market for heat, district or industrial, natural gas</t>
        </is>
      </c>
      <c r="B3148">
        <v>0.9579628647214856</v>
      </c>
      <c r="C3148" t="inlineStr">
        <is>
          <t>CH</t>
        </is>
      </c>
      <c r="D3148" t="inlineStr">
        <is>
          <t>megajoule</t>
        </is>
      </c>
      <c r="F3148" t="inlineStr">
        <is>
          <t>technosphere</t>
        </is>
      </c>
      <c r="G3148" t="inlineStr">
        <is>
          <t>Electricity-only proxy: source amount / 0.29; 100% burden to electricity, before STEM efficiency adjustment.</t>
        </is>
      </c>
      <c r="H3148" t="inlineStr">
        <is>
          <t>heat, district or industrial, natural gas</t>
        </is>
      </c>
    </row>
    <row r="3149">
      <c r="A3149" t="inlineStr">
        <is>
          <t>market for hydrochloric acid, without water, in 30% solution state</t>
        </is>
      </c>
      <c r="B3149">
        <v>0.0036766790450928387</v>
      </c>
      <c r="C3149" t="inlineStr">
        <is>
          <t>RER</t>
        </is>
      </c>
      <c r="D3149" t="inlineStr">
        <is>
          <t>kilogram</t>
        </is>
      </c>
      <c r="F3149" t="inlineStr">
        <is>
          <t>technosphere</t>
        </is>
      </c>
      <c r="G3149" t="inlineStr">
        <is>
          <t>Electricity-only proxy: source amount / 0.29; 100% burden to electricity, before STEM efficiency adjustment.</t>
        </is>
      </c>
      <c r="H3149" t="inlineStr">
        <is>
          <t>hydrochloric acid, without water, in 30% solution state</t>
        </is>
      </c>
    </row>
    <row r="3150">
      <c r="A3150" t="inlineStr">
        <is>
          <t>market for hydrogen peroxide, without water, in 50% solution state</t>
        </is>
      </c>
      <c r="B3150">
        <v>0.008894769230769232</v>
      </c>
      <c r="C3150" t="inlineStr">
        <is>
          <t>RER</t>
        </is>
      </c>
      <c r="D3150" t="inlineStr">
        <is>
          <t>kilogram</t>
        </is>
      </c>
      <c r="F3150" t="inlineStr">
        <is>
          <t>technosphere</t>
        </is>
      </c>
      <c r="G3150" t="inlineStr">
        <is>
          <t>Electricity-only proxy: source amount / 0.29; 100% burden to electricity, before STEM efficiency adjustment.</t>
        </is>
      </c>
      <c r="H3150" t="inlineStr">
        <is>
          <t>hydrogen peroxide, without water, in 50% solution state</t>
        </is>
      </c>
    </row>
    <row r="3151">
      <c r="A3151" t="inlineStr">
        <is>
          <t>market for iron(III) chloride, without water, in 40% solution state</t>
        </is>
      </c>
      <c r="B3151">
        <v>1.0386525198938994e-05</v>
      </c>
      <c r="C3151" t="inlineStr">
        <is>
          <t>GLO</t>
        </is>
      </c>
      <c r="D3151" t="inlineStr">
        <is>
          <t>kilogram</t>
        </is>
      </c>
      <c r="F3151" t="inlineStr">
        <is>
          <t>technosphere</t>
        </is>
      </c>
      <c r="G3151" t="inlineStr">
        <is>
          <t>Electricity-only proxy: source amount / 0.29; 100% burden to electricity, before STEM efficiency adjustment.</t>
        </is>
      </c>
      <c r="H3151" t="inlineStr">
        <is>
          <t>iron(III) chloride, without water, in 40% solution state</t>
        </is>
      </c>
    </row>
    <row r="3152">
      <c r="A3152" t="inlineStr">
        <is>
          <t>metalliferous hydroxide sludge, Recycled Content cut-off</t>
        </is>
      </c>
      <c r="B3152">
        <v>-0.027672254641909817</v>
      </c>
      <c r="C3152" t="inlineStr">
        <is>
          <t>GLO</t>
        </is>
      </c>
      <c r="D3152" t="inlineStr">
        <is>
          <t>kilogram</t>
        </is>
      </c>
      <c r="F3152" t="inlineStr">
        <is>
          <t>technosphere</t>
        </is>
      </c>
      <c r="G3152" t="inlineStr">
        <is>
          <t>Electricity-only proxy: source amount / 0.29; 100% burden to electricity, before STEM efficiency adjustment.</t>
        </is>
      </c>
      <c r="H3152" t="inlineStr">
        <is>
          <t>metalliferous hydroxide sludge</t>
        </is>
      </c>
    </row>
    <row r="3153">
      <c r="A3153" t="inlineStr">
        <is>
          <t>municipal waste incineration facility construction</t>
        </is>
      </c>
      <c r="B3153">
        <v>2.387267904509284e-09</v>
      </c>
      <c r="C3153" t="inlineStr">
        <is>
          <t>CH</t>
        </is>
      </c>
      <c r="D3153" t="inlineStr">
        <is>
          <t>unit</t>
        </is>
      </c>
      <c r="F3153" t="inlineStr">
        <is>
          <t>technosphere</t>
        </is>
      </c>
      <c r="G3153" t="inlineStr">
        <is>
          <t>Electricity-only proxy: source amount / 0.29; 100% burden to electricity, before STEM efficiency adjustment.</t>
        </is>
      </c>
      <c r="H3153" t="inlineStr">
        <is>
          <t>municipal waste incineration facility</t>
        </is>
      </c>
    </row>
    <row r="3154">
      <c r="A3154" t="inlineStr">
        <is>
          <t>process-specific burdens, residual material landfill</t>
        </is>
      </c>
      <c r="B3154">
        <v>0.2513984084880637</v>
      </c>
      <c r="C3154" t="inlineStr">
        <is>
          <t>CH</t>
        </is>
      </c>
      <c r="D3154" t="inlineStr">
        <is>
          <t>kilogram</t>
        </is>
      </c>
      <c r="F3154" t="inlineStr">
        <is>
          <t>technosphere</t>
        </is>
      </c>
      <c r="G3154" t="inlineStr">
        <is>
          <t>Electricity-only proxy: source amount / 0.29; 100% burden to electricity, before STEM efficiency adjustment.</t>
        </is>
      </c>
      <c r="H3154" t="inlineStr">
        <is>
          <t>process-specific burdens, residual material landfill</t>
        </is>
      </c>
    </row>
    <row r="3155">
      <c r="A3155" t="inlineStr">
        <is>
          <t>process-specific burdens, slag landfill</t>
        </is>
      </c>
      <c r="B3155">
        <v>1.3623660477453583</v>
      </c>
      <c r="C3155" t="inlineStr">
        <is>
          <t>CH</t>
        </is>
      </c>
      <c r="D3155" t="inlineStr">
        <is>
          <t>kilogram</t>
        </is>
      </c>
      <c r="F3155" t="inlineStr">
        <is>
          <t>technosphere</t>
        </is>
      </c>
      <c r="G3155" t="inlineStr">
        <is>
          <t>Electricity-only proxy: source amount / 0.29; 100% burden to electricity, before STEM efficiency adjustment.</t>
        </is>
      </c>
      <c r="H3155" t="inlineStr">
        <is>
          <t>process-specific burdens, slag landfill</t>
        </is>
      </c>
    </row>
    <row r="3156">
      <c r="A3156" t="inlineStr">
        <is>
          <t>market for quicklime, milled, packed</t>
        </is>
      </c>
      <c r="B3156">
        <v>0.013177718832891249</v>
      </c>
      <c r="C3156" t="inlineStr">
        <is>
          <t>RER</t>
        </is>
      </c>
      <c r="D3156" t="inlineStr">
        <is>
          <t>kilogram</t>
        </is>
      </c>
      <c r="F3156" t="inlineStr">
        <is>
          <t>technosphere</t>
        </is>
      </c>
      <c r="G3156" t="inlineStr">
        <is>
          <t>Electricity-only proxy: source amount / 0.29; 100% burden to electricity, before STEM efficiency adjustment.</t>
        </is>
      </c>
      <c r="H3156" t="inlineStr">
        <is>
          <t>quicklime, milled, packed</t>
        </is>
      </c>
    </row>
    <row r="3157">
      <c r="A3157" t="inlineStr">
        <is>
          <t>residual material landfill construction</t>
        </is>
      </c>
      <c r="B3157">
        <v>5.237474801061009e-10</v>
      </c>
      <c r="C3157" t="inlineStr">
        <is>
          <t>CH</t>
        </is>
      </c>
      <c r="D3157" t="inlineStr">
        <is>
          <t>unit</t>
        </is>
      </c>
      <c r="F3157" t="inlineStr">
        <is>
          <t>technosphere</t>
        </is>
      </c>
      <c r="G3157" t="inlineStr">
        <is>
          <t>Electricity-only proxy: source amount / 0.29; 100% burden to electricity, before STEM efficiency adjustment.</t>
        </is>
      </c>
      <c r="H3157" t="inlineStr">
        <is>
          <t>residual material landfill</t>
        </is>
      </c>
    </row>
    <row r="3158">
      <c r="A3158" t="inlineStr">
        <is>
          <t>slag landfill construction</t>
        </is>
      </c>
      <c r="B3158">
        <v>2.421931034482759e-09</v>
      </c>
      <c r="C3158" t="inlineStr">
        <is>
          <t>CH</t>
        </is>
      </c>
      <c r="D3158" t="inlineStr">
        <is>
          <t>unit</t>
        </is>
      </c>
      <c r="F3158" t="inlineStr">
        <is>
          <t>technosphere</t>
        </is>
      </c>
      <c r="G3158" t="inlineStr">
        <is>
          <t>Electricity-only proxy: source amount / 0.29; 100% burden to electricity, before STEM efficiency adjustment.</t>
        </is>
      </c>
      <c r="H3158" t="inlineStr">
        <is>
          <t>slag landfill</t>
        </is>
      </c>
    </row>
    <row r="3159">
      <c r="A3159" t="inlineStr">
        <is>
          <t>market for sodium hydroxide, without water, in 50% solution state</t>
        </is>
      </c>
      <c r="B3159">
        <v>0.010321591511936342</v>
      </c>
      <c r="C3159" t="inlineStr">
        <is>
          <t>RoW</t>
        </is>
      </c>
      <c r="D3159" t="inlineStr">
        <is>
          <t>kilogram</t>
        </is>
      </c>
      <c r="F3159" t="inlineStr">
        <is>
          <t>technosphere</t>
        </is>
      </c>
      <c r="G3159" t="inlineStr">
        <is>
          <t>Electricity-only proxy: source amount / 0.29; 100% burden to electricity, before STEM efficiency adjustment.</t>
        </is>
      </c>
      <c r="H3159" t="inlineStr">
        <is>
          <t>sodium hydroxide, without water, in 50% solution state</t>
        </is>
      </c>
    </row>
    <row r="3160">
      <c r="A3160" t="inlineStr">
        <is>
          <t>market for spent activated carbon with mercury</t>
        </is>
      </c>
      <c r="B3160">
        <v>-3.110323607427056e-06</v>
      </c>
      <c r="C3160" t="inlineStr">
        <is>
          <t>GLO</t>
        </is>
      </c>
      <c r="D3160" t="inlineStr">
        <is>
          <t>kilogram</t>
        </is>
      </c>
      <c r="F3160" t="inlineStr">
        <is>
          <t>technosphere</t>
        </is>
      </c>
      <c r="G3160" t="inlineStr">
        <is>
          <t>Electricity-only proxy: source amount / 0.29; 100% burden to electricity, before STEM efficiency adjustment.</t>
        </is>
      </c>
      <c r="H3160" t="inlineStr">
        <is>
          <t>spent activated carbon with mercury</t>
        </is>
      </c>
    </row>
    <row r="3161">
      <c r="A3161" t="inlineStr">
        <is>
          <t>market for titanium dioxide</t>
        </is>
      </c>
      <c r="B3161">
        <v>0.00032097294429708225</v>
      </c>
      <c r="C3161" t="inlineStr">
        <is>
          <t>RER</t>
        </is>
      </c>
      <c r="D3161" t="inlineStr">
        <is>
          <t>kilogram</t>
        </is>
      </c>
      <c r="F3161" t="inlineStr">
        <is>
          <t>technosphere</t>
        </is>
      </c>
      <c r="G3161" t="inlineStr">
        <is>
          <t>Electricity-only proxy: source amount / 0.29; 100% burden to electricity, before STEM efficiency adjustment.</t>
        </is>
      </c>
      <c r="H3161" t="inlineStr">
        <is>
          <t>titanium dioxide</t>
        </is>
      </c>
    </row>
    <row r="3162">
      <c r="A3162" t="inlineStr">
        <is>
          <t>market for transport, freight, lorry, unspecified</t>
        </is>
      </c>
      <c r="B3162">
        <v>0.06234779840848807</v>
      </c>
      <c r="C3162" t="inlineStr">
        <is>
          <t>RER</t>
        </is>
      </c>
      <c r="D3162" t="inlineStr">
        <is>
          <t>ton kilometer</t>
        </is>
      </c>
      <c r="F3162" t="inlineStr">
        <is>
          <t>technosphere</t>
        </is>
      </c>
      <c r="G3162" t="inlineStr">
        <is>
          <t>Electricity-only proxy: source amount / 0.29; 100% burden to electricity, before STEM efficiency adjustment.</t>
        </is>
      </c>
      <c r="H3162" t="inlineStr">
        <is>
          <t>transport, freight, lorry, unspecified</t>
        </is>
      </c>
    </row>
    <row r="3163">
      <c r="A3163" t="inlineStr">
        <is>
          <t>market for waste cement, hydrated</t>
        </is>
      </c>
      <c r="B3163">
        <v>-0.12609549071618037</v>
      </c>
      <c r="C3163" t="inlineStr">
        <is>
          <t>CH</t>
        </is>
      </c>
      <c r="D3163" t="inlineStr">
        <is>
          <t>kilogram</t>
        </is>
      </c>
      <c r="F3163" t="inlineStr">
        <is>
          <t>technosphere</t>
        </is>
      </c>
      <c r="G3163" t="inlineStr">
        <is>
          <t>Electricity-only proxy: source amount / 0.29; 100% burden to electricity, before STEM efficiency adjustment.</t>
        </is>
      </c>
      <c r="H3163" t="inlineStr">
        <is>
          <t>waste cement, hydrated</t>
        </is>
      </c>
    </row>
    <row r="3164">
      <c r="A3164" t="inlineStr">
        <is>
          <t>market for water, decarbonised</t>
        </is>
      </c>
      <c r="B3164">
        <v>8.204848806366048</v>
      </c>
      <c r="C3164" t="inlineStr">
        <is>
          <t>CH</t>
        </is>
      </c>
      <c r="D3164" t="inlineStr">
        <is>
          <t>kilogram</t>
        </is>
      </c>
      <c r="F3164" t="inlineStr">
        <is>
          <t>technosphere</t>
        </is>
      </c>
      <c r="G3164" t="inlineStr">
        <is>
          <t>Electricity-only proxy: source amount / 0.29; 100% burden to electricity, before STEM efficiency adjustment.</t>
        </is>
      </c>
      <c r="H3164" t="inlineStr">
        <is>
          <t>water, decarbonised</t>
        </is>
      </c>
    </row>
    <row r="3165">
      <c r="A3165" t="inlineStr">
        <is>
          <t>Aluminium III</t>
        </is>
      </c>
      <c r="B3165">
        <v>6.787384615384616e-08</v>
      </c>
      <c r="D3165" t="inlineStr">
        <is>
          <t>kilogram</t>
        </is>
      </c>
      <c r="E3165" t="inlineStr">
        <is>
          <t>air::urban air close to ground</t>
        </is>
      </c>
      <c r="F3165" t="inlineStr">
        <is>
          <t>biosphere</t>
        </is>
      </c>
      <c r="G3165" t="inlineStr">
        <is>
          <t>Electricity-only proxy: source amount / 0.29; 100% burden to electricity, before STEM efficiency adjustment.</t>
        </is>
      </c>
    </row>
    <row r="3166">
      <c r="A3166" t="inlineStr">
        <is>
          <t>Ammonia</t>
        </is>
      </c>
      <c r="B3166">
        <v>6.023363395225466e-06</v>
      </c>
      <c r="D3166" t="inlineStr">
        <is>
          <t>kilogram</t>
        </is>
      </c>
      <c r="E3166" t="inlineStr">
        <is>
          <t>air::urban air close to ground</t>
        </is>
      </c>
      <c r="F3166" t="inlineStr">
        <is>
          <t>biosphere</t>
        </is>
      </c>
      <c r="G3166" t="inlineStr">
        <is>
          <t>Electricity-only proxy: source amount / 0.29; 100% burden to electricity, before STEM efficiency adjustment.</t>
        </is>
      </c>
    </row>
    <row r="3167">
      <c r="A3167" t="inlineStr">
        <is>
          <t>Arsenic ion</t>
        </is>
      </c>
      <c r="B3167">
        <v>1.3048806366047745e-07</v>
      </c>
      <c r="D3167" t="inlineStr">
        <is>
          <t>kilogram</t>
        </is>
      </c>
      <c r="E3167" t="inlineStr">
        <is>
          <t>air::urban air close to ground</t>
        </is>
      </c>
      <c r="F3167" t="inlineStr">
        <is>
          <t>biosphere</t>
        </is>
      </c>
      <c r="G3167" t="inlineStr">
        <is>
          <t>Electricity-only proxy: source amount / 0.29; 100% burden to electricity, before STEM efficiency adjustment.</t>
        </is>
      </c>
    </row>
    <row r="3168">
      <c r="A3168" t="inlineStr">
        <is>
          <t>Benzene</t>
        </is>
      </c>
      <c r="B3168">
        <v>3.974132625994696e-07</v>
      </c>
      <c r="D3168" t="inlineStr">
        <is>
          <t>kilogram</t>
        </is>
      </c>
      <c r="E3168" t="inlineStr">
        <is>
          <t>air::urban air close to ground</t>
        </is>
      </c>
      <c r="F3168" t="inlineStr">
        <is>
          <t>biosphere</t>
        </is>
      </c>
      <c r="G3168" t="inlineStr">
        <is>
          <t>Electricity-only proxy: source amount / 0.29; 100% burden to electricity, before STEM efficiency adjustment.</t>
        </is>
      </c>
    </row>
    <row r="3169">
      <c r="A3169" t="inlineStr">
        <is>
          <t>Benzene, hexachloro-</t>
        </is>
      </c>
      <c r="B3169">
        <v>8.309697612732097e-10</v>
      </c>
      <c r="D3169" t="inlineStr">
        <is>
          <t>kilogram</t>
        </is>
      </c>
      <c r="E3169" t="inlineStr">
        <is>
          <t>air::urban air close to ground</t>
        </is>
      </c>
      <c r="F3169" t="inlineStr">
        <is>
          <t>biosphere</t>
        </is>
      </c>
      <c r="G3169" t="inlineStr">
        <is>
          <t>Electricity-only proxy: source amount / 0.29; 100% burden to electricity, before STEM efficiency adjustment.</t>
        </is>
      </c>
    </row>
    <row r="3170">
      <c r="A3170" t="inlineStr">
        <is>
          <t>Pentachlorobenzene</t>
        </is>
      </c>
      <c r="B3170">
        <v>2.099649867374006e-09</v>
      </c>
      <c r="D3170" t="inlineStr">
        <is>
          <t>kilogram</t>
        </is>
      </c>
      <c r="E3170" t="inlineStr">
        <is>
          <t>air::urban air close to ground</t>
        </is>
      </c>
      <c r="F3170" t="inlineStr">
        <is>
          <t>biosphere</t>
        </is>
      </c>
      <c r="G3170" t="inlineStr">
        <is>
          <t>Electricity-only proxy: source amount / 0.29; 100% burden to electricity, before STEM efficiency adjustment.</t>
        </is>
      </c>
    </row>
    <row r="3171">
      <c r="A3171" t="inlineStr">
        <is>
          <t>Benzo(a)pyrene</t>
        </is>
      </c>
      <c r="B3171">
        <v>8.843681697612734e-12</v>
      </c>
      <c r="D3171" t="inlineStr">
        <is>
          <t>kilogram</t>
        </is>
      </c>
      <c r="E3171" t="inlineStr">
        <is>
          <t>air::urban air close to ground</t>
        </is>
      </c>
      <c r="F3171" t="inlineStr">
        <is>
          <t>biosphere</t>
        </is>
      </c>
      <c r="G3171" t="inlineStr">
        <is>
          <t>Electricity-only proxy: source amount / 0.29; 100% burden to electricity, before STEM efficiency adjustment.</t>
        </is>
      </c>
    </row>
    <row r="3172">
      <c r="A3172" t="inlineStr">
        <is>
          <t>Bromine</t>
        </is>
      </c>
      <c r="B3172">
        <v>2.4961273209549078e-08</v>
      </c>
      <c r="D3172" t="inlineStr">
        <is>
          <t>kilogram</t>
        </is>
      </c>
      <c r="E3172" t="inlineStr">
        <is>
          <t>air::urban air close to ground</t>
        </is>
      </c>
      <c r="F3172" t="inlineStr">
        <is>
          <t>biosphere</t>
        </is>
      </c>
      <c r="G3172" t="inlineStr">
        <is>
          <t>Electricity-only proxy: source amount / 0.29; 100% burden to electricity, before STEM efficiency adjustment.</t>
        </is>
      </c>
    </row>
    <row r="3173">
      <c r="A3173" t="inlineStr">
        <is>
          <t>Cadmium II</t>
        </is>
      </c>
      <c r="B3173">
        <v>5.858546419098144e-10</v>
      </c>
      <c r="D3173" t="inlineStr">
        <is>
          <t>kilogram</t>
        </is>
      </c>
      <c r="E3173" t="inlineStr">
        <is>
          <t>air::urban air close to ground</t>
        </is>
      </c>
      <c r="F3173" t="inlineStr">
        <is>
          <t>biosphere</t>
        </is>
      </c>
      <c r="G3173" t="inlineStr">
        <is>
          <t>Electricity-only proxy: source amount / 0.29; 100% burden to electricity, before STEM efficiency adjustment.</t>
        </is>
      </c>
    </row>
    <row r="3174">
      <c r="A3174" t="inlineStr">
        <is>
          <t>Calcium</t>
        </is>
      </c>
      <c r="B3174">
        <v>0.0014289230769230774</v>
      </c>
      <c r="D3174" t="inlineStr">
        <is>
          <t>kilogram</t>
        </is>
      </c>
      <c r="E3174" t="inlineStr">
        <is>
          <t>air::urban air close to ground</t>
        </is>
      </c>
      <c r="F3174" t="inlineStr">
        <is>
          <t>biosphere</t>
        </is>
      </c>
      <c r="G3174" t="inlineStr">
        <is>
          <t>Electricity-only proxy: source amount / 0.29; 100% burden to electricity, before STEM efficiency adjustment.</t>
        </is>
      </c>
    </row>
    <row r="3175">
      <c r="A3175" t="inlineStr">
        <is>
          <t>Carbon dioxide, non-fossil</t>
        </is>
      </c>
      <c r="B3175">
        <v>0.49286578249336876</v>
      </c>
      <c r="D3175" t="inlineStr">
        <is>
          <t>kilogram</t>
        </is>
      </c>
      <c r="E3175" t="inlineStr">
        <is>
          <t>air::urban air close to ground</t>
        </is>
      </c>
      <c r="F3175" t="inlineStr">
        <is>
          <t>biosphere</t>
        </is>
      </c>
      <c r="G3175" t="inlineStr">
        <is>
          <t>Electricity-only proxy: source amount / 0.29; 100% burden to electricity, before STEM efficiency adjustment.</t>
        </is>
      </c>
    </row>
    <row r="3176">
      <c r="A3176" t="inlineStr">
        <is>
          <t>Carbon monoxide, non-fossil</t>
        </is>
      </c>
      <c r="B3176">
        <v>0.0006755490716180372</v>
      </c>
      <c r="D3176" t="inlineStr">
        <is>
          <t>kilogram</t>
        </is>
      </c>
      <c r="E3176" t="inlineStr">
        <is>
          <t>air::urban air close to ground</t>
        </is>
      </c>
      <c r="F3176" t="inlineStr">
        <is>
          <t>biosphere</t>
        </is>
      </c>
      <c r="G3176" t="inlineStr">
        <is>
          <t>Electricity-only proxy: source amount / 0.29; 100% burden to electricity, before STEM efficiency adjustment.</t>
        </is>
      </c>
    </row>
    <row r="3177">
      <c r="A3177" t="inlineStr">
        <is>
          <t>Chromium III</t>
        </is>
      </c>
      <c r="B3177">
        <v>5.8183448275862083e-08</v>
      </c>
      <c r="D3177" t="inlineStr">
        <is>
          <t>kilogram</t>
        </is>
      </c>
      <c r="E3177" t="inlineStr">
        <is>
          <t>air::urban air close to ground</t>
        </is>
      </c>
      <c r="F3177" t="inlineStr">
        <is>
          <t>biosphere</t>
        </is>
      </c>
      <c r="G3177" t="inlineStr">
        <is>
          <t>Electricity-only proxy: source amount / 0.29; 100% burden to electricity, before STEM efficiency adjustment.</t>
        </is>
      </c>
    </row>
    <row r="3178">
      <c r="A3178" t="inlineStr">
        <is>
          <t>Cobalt II</t>
        </is>
      </c>
      <c r="B3178">
        <v>7.573750663129975e-08</v>
      </c>
      <c r="D3178" t="inlineStr">
        <is>
          <t>kilogram</t>
        </is>
      </c>
      <c r="E3178" t="inlineStr">
        <is>
          <t>air::urban air close to ground</t>
        </is>
      </c>
      <c r="F3178" t="inlineStr">
        <is>
          <t>biosphere</t>
        </is>
      </c>
      <c r="G3178" t="inlineStr">
        <is>
          <t>Electricity-only proxy: source amount / 0.29; 100% burden to electricity, before STEM efficiency adjustment.</t>
        </is>
      </c>
    </row>
    <row r="3179">
      <c r="A3179" t="inlineStr">
        <is>
          <t>Copper ion</t>
        </is>
      </c>
      <c r="B3179">
        <v>1.3731564986737403e-08</v>
      </c>
      <c r="D3179" t="inlineStr">
        <is>
          <t>kilogram</t>
        </is>
      </c>
      <c r="E3179" t="inlineStr">
        <is>
          <t>air::urban air close to ground</t>
        </is>
      </c>
      <c r="F3179" t="inlineStr">
        <is>
          <t>biosphere</t>
        </is>
      </c>
      <c r="G3179" t="inlineStr">
        <is>
          <t>Electricity-only proxy: source amount / 0.29; 100% burden to electricity, before STEM efficiency adjustment.</t>
        </is>
      </c>
    </row>
    <row r="3180">
      <c r="A3180" t="inlineStr">
        <is>
          <t>Cyanide</t>
        </is>
      </c>
      <c r="B3180">
        <v>0.00010674907161803713</v>
      </c>
      <c r="D3180" t="inlineStr">
        <is>
          <t>kilogram</t>
        </is>
      </c>
      <c r="E3180" t="inlineStr">
        <is>
          <t>air::urban air close to ground</t>
        </is>
      </c>
      <c r="F3180" t="inlineStr">
        <is>
          <t>biosphere</t>
        </is>
      </c>
      <c r="G3180" t="inlineStr">
        <is>
          <t>Electricity-only proxy: source amount / 0.29; 100% burden to electricity, before STEM efficiency adjustment.</t>
        </is>
      </c>
    </row>
    <row r="3181">
      <c r="A3181" t="inlineStr">
        <is>
          <t>Dinitrogen monoxide</t>
        </is>
      </c>
      <c r="B3181">
        <v>0.0004968954907161804</v>
      </c>
      <c r="D3181" t="inlineStr">
        <is>
          <t>kilogram</t>
        </is>
      </c>
      <c r="E3181" t="inlineStr">
        <is>
          <t>air::urban air close to ground</t>
        </is>
      </c>
      <c r="F3181" t="inlineStr">
        <is>
          <t>biosphere</t>
        </is>
      </c>
      <c r="G3181" t="inlineStr">
        <is>
          <t>Electricity-only proxy: source amount / 0.29; 100% burden to electricity, before STEM efficiency adjustment.</t>
        </is>
      </c>
    </row>
    <row r="3182">
      <c r="A3182" t="inlineStr">
        <is>
          <t>Dioxins, measured as 2,3,7,8-tetrachlorodibenzo-p-dioxin</t>
        </is>
      </c>
      <c r="B3182">
        <v>7.947692307692309e-13</v>
      </c>
      <c r="D3182" t="inlineStr">
        <is>
          <t>kilogram</t>
        </is>
      </c>
      <c r="E3182" t="inlineStr">
        <is>
          <t>air::urban air close to ground</t>
        </is>
      </c>
      <c r="F3182" t="inlineStr">
        <is>
          <t>biosphere</t>
        </is>
      </c>
      <c r="G3182" t="inlineStr">
        <is>
          <t>Electricity-only proxy: source amount / 0.29; 100% burden to electricity, before STEM efficiency adjustment.</t>
        </is>
      </c>
    </row>
    <row r="3183">
      <c r="A3183" t="inlineStr">
        <is>
          <t>Heat, waste</t>
        </is>
      </c>
      <c r="B3183">
        <v>42.43225464190982</v>
      </c>
      <c r="D3183" t="inlineStr">
        <is>
          <t>megajoule</t>
        </is>
      </c>
      <c r="E3183" t="inlineStr">
        <is>
          <t>air::urban air close to ground</t>
        </is>
      </c>
      <c r="F3183" t="inlineStr">
        <is>
          <t>biosphere</t>
        </is>
      </c>
      <c r="G3183" t="inlineStr">
        <is>
          <t>Electricity-only proxy: source amount / 0.29; 100% burden to electricity, before STEM efficiency adjustment.</t>
        </is>
      </c>
    </row>
    <row r="3184">
      <c r="A3184" t="inlineStr">
        <is>
          <t>Hydrochloric acid</t>
        </is>
      </c>
      <c r="B3184">
        <v>1.9011246684350137e-05</v>
      </c>
      <c r="D3184" t="inlineStr">
        <is>
          <t>kilogram</t>
        </is>
      </c>
      <c r="E3184" t="inlineStr">
        <is>
          <t>air::urban air close to ground</t>
        </is>
      </c>
      <c r="F3184" t="inlineStr">
        <is>
          <t>biosphere</t>
        </is>
      </c>
      <c r="G3184" t="inlineStr">
        <is>
          <t>Electricity-only proxy: source amount / 0.29; 100% burden to electricity, before STEM efficiency adjustment.</t>
        </is>
      </c>
    </row>
    <row r="3185">
      <c r="A3185" t="inlineStr">
        <is>
          <t>Hydrogen fluoride</t>
        </is>
      </c>
      <c r="B3185">
        <v>1.1238302387267906e-05</v>
      </c>
      <c r="D3185" t="inlineStr">
        <is>
          <t>kilogram</t>
        </is>
      </c>
      <c r="E3185" t="inlineStr">
        <is>
          <t>air::urban air close to ground</t>
        </is>
      </c>
      <c r="F3185" t="inlineStr">
        <is>
          <t>biosphere</t>
        </is>
      </c>
      <c r="G3185" t="inlineStr">
        <is>
          <t>Electricity-only proxy: source amount / 0.29; 100% burden to electricity, before STEM efficiency adjustment.</t>
        </is>
      </c>
    </row>
    <row r="3186">
      <c r="A3186" t="inlineStr">
        <is>
          <t>Iodine</t>
        </is>
      </c>
      <c r="B3186">
        <v>2.5424403183023875e-10</v>
      </c>
      <c r="D3186" t="inlineStr">
        <is>
          <t>kilogram</t>
        </is>
      </c>
      <c r="E3186" t="inlineStr">
        <is>
          <t>air::urban air close to ground</t>
        </is>
      </c>
      <c r="F3186" t="inlineStr">
        <is>
          <t>biosphere</t>
        </is>
      </c>
      <c r="G3186" t="inlineStr">
        <is>
          <t>Electricity-only proxy: source amount / 0.29; 100% burden to electricity, before STEM efficiency adjustment.</t>
        </is>
      </c>
    </row>
    <row r="3187">
      <c r="A3187" t="inlineStr">
        <is>
          <t>Iron ion</t>
        </is>
      </c>
      <c r="B3187">
        <v>8.95607427055703e-09</v>
      </c>
      <c r="D3187" t="inlineStr">
        <is>
          <t>kilogram</t>
        </is>
      </c>
      <c r="E3187" t="inlineStr">
        <is>
          <t>air::urban air close to ground</t>
        </is>
      </c>
      <c r="F3187" t="inlineStr">
        <is>
          <t>biosphere</t>
        </is>
      </c>
      <c r="G3187" t="inlineStr">
        <is>
          <t>Electricity-only proxy: source amount / 0.29; 100% burden to electricity, before STEM efficiency adjustment.</t>
        </is>
      </c>
    </row>
    <row r="3188">
      <c r="A3188" t="inlineStr">
        <is>
          <t>Lead II</t>
        </is>
      </c>
      <c r="B3188">
        <v>1.273559681697613e-08</v>
      </c>
      <c r="D3188" t="inlineStr">
        <is>
          <t>kilogram</t>
        </is>
      </c>
      <c r="E3188" t="inlineStr">
        <is>
          <t>air::urban air close to ground</t>
        </is>
      </c>
      <c r="F3188" t="inlineStr">
        <is>
          <t>biosphere</t>
        </is>
      </c>
      <c r="G3188" t="inlineStr">
        <is>
          <t>Electricity-only proxy: source amount / 0.29; 100% burden to electricity, before STEM efficiency adjustment.</t>
        </is>
      </c>
    </row>
    <row r="3189">
      <c r="A3189" t="inlineStr">
        <is>
          <t>Magnesium</t>
        </is>
      </c>
      <c r="B3189">
        <v>2.477411140583555e-05</v>
      </c>
      <c r="D3189" t="inlineStr">
        <is>
          <t>kilogram</t>
        </is>
      </c>
      <c r="E3189" t="inlineStr">
        <is>
          <t>air::urban air close to ground</t>
        </is>
      </c>
      <c r="F3189" t="inlineStr">
        <is>
          <t>biosphere</t>
        </is>
      </c>
      <c r="G3189" t="inlineStr">
        <is>
          <t>Electricity-only proxy: source amount / 0.29; 100% burden to electricity, before STEM efficiency adjustment.</t>
        </is>
      </c>
    </row>
    <row r="3190">
      <c r="A3190" t="inlineStr">
        <is>
          <t>Manganese II</t>
        </is>
      </c>
      <c r="B3190">
        <v>6.839713527851461e-09</v>
      </c>
      <c r="D3190" t="inlineStr">
        <is>
          <t>kilogram</t>
        </is>
      </c>
      <c r="E3190" t="inlineStr">
        <is>
          <t>air::urban air close to ground</t>
        </is>
      </c>
      <c r="F3190" t="inlineStr">
        <is>
          <t>biosphere</t>
        </is>
      </c>
      <c r="G3190" t="inlineStr">
        <is>
          <t>Electricity-only proxy: source amount / 0.29; 100% burden to electricity, before STEM efficiency adjustment.</t>
        </is>
      </c>
    </row>
    <row r="3191">
      <c r="A3191" t="inlineStr">
        <is>
          <t>Mercury II</t>
        </is>
      </c>
      <c r="B3191">
        <v>1.6530397877984088e-08</v>
      </c>
      <c r="D3191" t="inlineStr">
        <is>
          <t>kilogram</t>
        </is>
      </c>
      <c r="E3191" t="inlineStr">
        <is>
          <t>air::urban air close to ground</t>
        </is>
      </c>
      <c r="F3191" t="inlineStr">
        <is>
          <t>biosphere</t>
        </is>
      </c>
      <c r="G3191" t="inlineStr">
        <is>
          <t>Electricity-only proxy: source amount / 0.29; 100% burden to electricity, before STEM efficiency adjustment.</t>
        </is>
      </c>
    </row>
    <row r="3192">
      <c r="A3192" t="inlineStr">
        <is>
          <t>Methane, non-fossil</t>
        </is>
      </c>
      <c r="B3192">
        <v>5.961198938992043e-06</v>
      </c>
      <c r="D3192" t="inlineStr">
        <is>
          <t>kilogram</t>
        </is>
      </c>
      <c r="E3192" t="inlineStr">
        <is>
          <t>air::urban air close to ground</t>
        </is>
      </c>
      <c r="F3192" t="inlineStr">
        <is>
          <t>biosphere</t>
        </is>
      </c>
      <c r="G3192" t="inlineStr">
        <is>
          <t>Electricity-only proxy: source amount / 0.29; 100% burden to electricity, before STEM efficiency adjustment.</t>
        </is>
      </c>
    </row>
    <row r="3193">
      <c r="A3193" t="inlineStr">
        <is>
          <t>Molybdenum VI</t>
        </is>
      </c>
      <c r="B3193">
        <v>4.383596816976128e-09</v>
      </c>
      <c r="D3193" t="inlineStr">
        <is>
          <t>kilogram</t>
        </is>
      </c>
      <c r="E3193" t="inlineStr">
        <is>
          <t>air::urban air close to ground</t>
        </is>
      </c>
      <c r="F3193" t="inlineStr">
        <is>
          <t>biosphere</t>
        </is>
      </c>
      <c r="G3193" t="inlineStr">
        <is>
          <t>Electricity-only proxy: source amount / 0.29; 100% burden to electricity, before STEM efficiency adjustment.</t>
        </is>
      </c>
    </row>
    <row r="3194">
      <c r="A3194" t="inlineStr">
        <is>
          <t>NMVOC, non-methane volatile organic compounds</t>
        </is>
      </c>
      <c r="B3194">
        <v>1.8085941644562336e-05</v>
      </c>
      <c r="D3194" t="inlineStr">
        <is>
          <t>kilogram</t>
        </is>
      </c>
      <c r="E3194" t="inlineStr">
        <is>
          <t>air::urban air close to ground</t>
        </is>
      </c>
      <c r="F3194" t="inlineStr">
        <is>
          <t>biosphere</t>
        </is>
      </c>
      <c r="G3194" t="inlineStr">
        <is>
          <t>Electricity-only proxy: source amount / 0.29; 100% burden to electricity, before STEM efficiency adjustment.</t>
        </is>
      </c>
    </row>
    <row r="3195">
      <c r="A3195" t="inlineStr">
        <is>
          <t>Nickel II</t>
        </is>
      </c>
      <c r="B3195">
        <v>5.670907161803715e-08</v>
      </c>
      <c r="D3195" t="inlineStr">
        <is>
          <t>kilogram</t>
        </is>
      </c>
      <c r="E3195" t="inlineStr">
        <is>
          <t>air::urban air close to ground</t>
        </is>
      </c>
      <c r="F3195" t="inlineStr">
        <is>
          <t>biosphere</t>
        </is>
      </c>
      <c r="G3195" t="inlineStr">
        <is>
          <t>Electricity-only proxy: source amount / 0.29; 100% burden to electricity, before STEM efficiency adjustment.</t>
        </is>
      </c>
    </row>
    <row r="3196">
      <c r="A3196" t="inlineStr">
        <is>
          <t>Nitrogen oxides</t>
        </is>
      </c>
      <c r="B3196">
        <v>0.0019074270557029181</v>
      </c>
      <c r="D3196" t="inlineStr">
        <is>
          <t>kilogram</t>
        </is>
      </c>
      <c r="E3196" t="inlineStr">
        <is>
          <t>air::urban air close to ground</t>
        </is>
      </c>
      <c r="F3196" t="inlineStr">
        <is>
          <t>biosphere</t>
        </is>
      </c>
      <c r="G3196" t="inlineStr">
        <is>
          <t>Electricity-only proxy: source amount / 0.29; 100% burden to electricity, before STEM efficiency adjustment.</t>
        </is>
      </c>
    </row>
    <row r="3197">
      <c r="A3197" t="inlineStr">
        <is>
          <t>Particulate Matter, &lt; 2.5 um</t>
        </is>
      </c>
      <c r="B3197">
        <v>4.744742705570292e-05</v>
      </c>
      <c r="D3197" t="inlineStr">
        <is>
          <t>kilogram</t>
        </is>
      </c>
      <c r="E3197" t="inlineStr">
        <is>
          <t>air::urban air close to ground</t>
        </is>
      </c>
      <c r="F3197" t="inlineStr">
        <is>
          <t>biosphere</t>
        </is>
      </c>
      <c r="G3197" t="inlineStr">
        <is>
          <t>Electricity-only proxy: source amount / 0.29; 100% burden to electricity, before STEM efficiency adjustment.</t>
        </is>
      </c>
    </row>
    <row r="3198">
      <c r="A3198" t="inlineStr">
        <is>
          <t>Particulate Matter, &gt; 2.5 um and &lt; 10um</t>
        </is>
      </c>
      <c r="B3198">
        <v>2.384307692307693e-07</v>
      </c>
      <c r="D3198" t="inlineStr">
        <is>
          <t>kilogram</t>
        </is>
      </c>
      <c r="E3198" t="inlineStr">
        <is>
          <t>air::urban air close to ground</t>
        </is>
      </c>
      <c r="F3198" t="inlineStr">
        <is>
          <t>biosphere</t>
        </is>
      </c>
      <c r="G3198" t="inlineStr">
        <is>
          <t>Electricity-only proxy: source amount / 0.29; 100% burden to electricity, before STEM efficiency adjustment.</t>
        </is>
      </c>
    </row>
    <row r="3199">
      <c r="A3199" t="inlineStr">
        <is>
          <t>Phenol, pentachloro-</t>
        </is>
      </c>
      <c r="B3199">
        <v>1.7306737400530507e-10</v>
      </c>
      <c r="D3199" t="inlineStr">
        <is>
          <t>kilogram</t>
        </is>
      </c>
      <c r="E3199" t="inlineStr">
        <is>
          <t>air::urban air close to ground</t>
        </is>
      </c>
      <c r="F3199" t="inlineStr">
        <is>
          <t>biosphere</t>
        </is>
      </c>
      <c r="G3199" t="inlineStr">
        <is>
          <t>Electricity-only proxy: source amount / 0.29; 100% burden to electricity, before STEM efficiency adjustment.</t>
        </is>
      </c>
    </row>
    <row r="3200">
      <c r="A3200" t="inlineStr">
        <is>
          <t>Phosphorus</t>
        </is>
      </c>
      <c r="B3200">
        <v>9.564350132625996e-06</v>
      </c>
      <c r="D3200" t="inlineStr">
        <is>
          <t>kilogram</t>
        </is>
      </c>
      <c r="E3200" t="inlineStr">
        <is>
          <t>air::urban air close to ground</t>
        </is>
      </c>
      <c r="F3200" t="inlineStr">
        <is>
          <t>biosphere</t>
        </is>
      </c>
      <c r="G3200" t="inlineStr">
        <is>
          <t>Electricity-only proxy: source amount / 0.29; 100% burden to electricity, before STEM efficiency adjustment.</t>
        </is>
      </c>
    </row>
    <row r="3201">
      <c r="A3201" t="inlineStr">
        <is>
          <t>Potassium I</t>
        </is>
      </c>
      <c r="B3201">
        <v>0.00014401909814323608</v>
      </c>
      <c r="D3201" t="inlineStr">
        <is>
          <t>kilogram</t>
        </is>
      </c>
      <c r="E3201" t="inlineStr">
        <is>
          <t>air::urban air close to ground</t>
        </is>
      </c>
      <c r="F3201" t="inlineStr">
        <is>
          <t>biosphere</t>
        </is>
      </c>
      <c r="G3201" t="inlineStr">
        <is>
          <t>Electricity-only proxy: source amount / 0.29; 100% burden to electricity, before STEM efficiency adjustment.</t>
        </is>
      </c>
    </row>
    <row r="3202">
      <c r="A3202" t="inlineStr">
        <is>
          <t>Selenium IV</t>
        </is>
      </c>
      <c r="B3202">
        <v>4.9657082228116725e-08</v>
      </c>
      <c r="D3202" t="inlineStr">
        <is>
          <t>kilogram</t>
        </is>
      </c>
      <c r="E3202" t="inlineStr">
        <is>
          <t>air::urban air close to ground</t>
        </is>
      </c>
      <c r="F3202" t="inlineStr">
        <is>
          <t>biosphere</t>
        </is>
      </c>
      <c r="G3202" t="inlineStr">
        <is>
          <t>Electricity-only proxy: source amount / 0.29; 100% burden to electricity, before STEM efficiency adjustment.</t>
        </is>
      </c>
    </row>
    <row r="3203">
      <c r="A3203" t="inlineStr">
        <is>
          <t>Silicon</t>
        </is>
      </c>
      <c r="B3203">
        <v>5.186387267904509e-07</v>
      </c>
      <c r="D3203" t="inlineStr">
        <is>
          <t>kilogram</t>
        </is>
      </c>
      <c r="E3203" t="inlineStr">
        <is>
          <t>air::urban air close to ground</t>
        </is>
      </c>
      <c r="F3203" t="inlineStr">
        <is>
          <t>biosphere</t>
        </is>
      </c>
      <c r="G3203" t="inlineStr">
        <is>
          <t>Electricity-only proxy: source amount / 0.29; 100% burden to electricity, before STEM efficiency adjustment.</t>
        </is>
      </c>
    </row>
    <row r="3204">
      <c r="A3204" t="inlineStr">
        <is>
          <t>Sodium</t>
        </is>
      </c>
      <c r="B3204">
        <v>0.00010257612732095493</v>
      </c>
      <c r="D3204" t="inlineStr">
        <is>
          <t>kilogram</t>
        </is>
      </c>
      <c r="E3204" t="inlineStr">
        <is>
          <t>air::urban air close to ground</t>
        </is>
      </c>
      <c r="F3204" t="inlineStr">
        <is>
          <t>biosphere</t>
        </is>
      </c>
      <c r="G3204" t="inlineStr">
        <is>
          <t>Electricity-only proxy: source amount / 0.29; 100% burden to electricity, before STEM efficiency adjustment.</t>
        </is>
      </c>
    </row>
    <row r="3205">
      <c r="A3205" t="inlineStr">
        <is>
          <t>Sulfur dioxide</t>
        </is>
      </c>
      <c r="B3205">
        <v>0.00013279893899204246</v>
      </c>
      <c r="D3205" t="inlineStr">
        <is>
          <t>kilogram</t>
        </is>
      </c>
      <c r="E3205" t="inlineStr">
        <is>
          <t>air::urban air close to ground</t>
        </is>
      </c>
      <c r="F3205" t="inlineStr">
        <is>
          <t>biosphere</t>
        </is>
      </c>
      <c r="G3205" t="inlineStr">
        <is>
          <t>Electricity-only proxy: source amount / 0.29; 100% burden to electricity, before STEM efficiency adjustment.</t>
        </is>
      </c>
    </row>
    <row r="3206">
      <c r="A3206" t="inlineStr">
        <is>
          <t>Tin ion</t>
        </is>
      </c>
      <c r="B3206">
        <v>4.3502705570291785e-11</v>
      </c>
      <c r="D3206" t="inlineStr">
        <is>
          <t>kilogram</t>
        </is>
      </c>
      <c r="E3206" t="inlineStr">
        <is>
          <t>air::urban air close to ground</t>
        </is>
      </c>
      <c r="F3206" t="inlineStr">
        <is>
          <t>biosphere</t>
        </is>
      </c>
      <c r="G3206" t="inlineStr">
        <is>
          <t>Electricity-only proxy: source amount / 0.29; 100% burden to electricity, before STEM efficiency adjustment.</t>
        </is>
      </c>
    </row>
    <row r="3207">
      <c r="A3207" t="inlineStr">
        <is>
          <t>Toluene</t>
        </is>
      </c>
      <c r="B3207">
        <v>7.948169761273211e-07</v>
      </c>
      <c r="D3207" t="inlineStr">
        <is>
          <t>kilogram</t>
        </is>
      </c>
      <c r="E3207" t="inlineStr">
        <is>
          <t>air::urban air close to ground</t>
        </is>
      </c>
      <c r="F3207" t="inlineStr">
        <is>
          <t>biosphere</t>
        </is>
      </c>
      <c r="G3207" t="inlineStr">
        <is>
          <t>Electricity-only proxy: source amount / 0.29; 100% burden to electricity, before STEM efficiency adjustment.</t>
        </is>
      </c>
    </row>
    <row r="3208">
      <c r="A3208" t="inlineStr">
        <is>
          <t>Vanadium V</t>
        </is>
      </c>
      <c r="B3208">
        <v>5.296774535809019e-07</v>
      </c>
      <c r="D3208" t="inlineStr">
        <is>
          <t>kilogram</t>
        </is>
      </c>
      <c r="E3208" t="inlineStr">
        <is>
          <t>air::urban air close to ground</t>
        </is>
      </c>
      <c r="F3208" t="inlineStr">
        <is>
          <t>biosphere</t>
        </is>
      </c>
      <c r="G3208" t="inlineStr">
        <is>
          <t>Electricity-only proxy: source amount / 0.29; 100% burden to electricity, before STEM efficiency adjustment.</t>
        </is>
      </c>
    </row>
    <row r="3209">
      <c r="A3209" t="inlineStr">
        <is>
          <t>Water</t>
        </is>
      </c>
      <c r="B3209">
        <v>0.012937359151193636</v>
      </c>
      <c r="D3209" t="inlineStr">
        <is>
          <t>cubic meter</t>
        </is>
      </c>
      <c r="E3209" t="inlineStr">
        <is>
          <t>air::urban air close to ground</t>
        </is>
      </c>
      <c r="F3209" t="inlineStr">
        <is>
          <t>biosphere</t>
        </is>
      </c>
      <c r="G3209" t="inlineStr">
        <is>
          <t>Electricity-only proxy: source amount / 0.29; 100% burden to electricity, before STEM efficiency adjustment.</t>
        </is>
      </c>
    </row>
    <row r="3210">
      <c r="A3210" t="inlineStr">
        <is>
          <t>Zinc II</t>
        </is>
      </c>
      <c r="B3210">
        <v>3.251267904509284e-07</v>
      </c>
      <c r="D3210" t="inlineStr">
        <is>
          <t>kilogram</t>
        </is>
      </c>
      <c r="E3210" t="inlineStr">
        <is>
          <t>air::urban air close to ground</t>
        </is>
      </c>
      <c r="F3210" t="inlineStr">
        <is>
          <t>biosphere</t>
        </is>
      </c>
      <c r="G3210" t="inlineStr">
        <is>
          <t>Electricity-only proxy: source amount / 0.29; 100% burden to electricity, before STEM efficiency adjustment.</t>
        </is>
      </c>
    </row>
    <row r="3211">
      <c r="A3211" t="inlineStr">
        <is>
          <t>Aluminium III</t>
        </is>
      </c>
      <c r="B3211">
        <v>0.06426620689655174</v>
      </c>
      <c r="D3211" t="inlineStr">
        <is>
          <t>kilogram</t>
        </is>
      </c>
      <c r="E3211" t="inlineStr">
        <is>
          <t>water::ground-, long-term</t>
        </is>
      </c>
      <c r="F3211" t="inlineStr">
        <is>
          <t>biosphere</t>
        </is>
      </c>
      <c r="G3211" t="inlineStr">
        <is>
          <t>Electricity-only proxy: source amount / 0.29; 100% burden to electricity, before STEM efficiency adjustment.</t>
        </is>
      </c>
    </row>
    <row r="3212">
      <c r="A3212" t="inlineStr">
        <is>
          <t>Aluminium III</t>
        </is>
      </c>
      <c r="B3212">
        <v>6.183310344827588e-06</v>
      </c>
      <c r="D3212" t="inlineStr">
        <is>
          <t>kilogram</t>
        </is>
      </c>
      <c r="E3212" t="inlineStr">
        <is>
          <t>water::surface water</t>
        </is>
      </c>
      <c r="F3212" t="inlineStr">
        <is>
          <t>biosphere</t>
        </is>
      </c>
      <c r="G3212" t="inlineStr">
        <is>
          <t>Electricity-only proxy: source amount / 0.29; 100% burden to electricity, before STEM efficiency adjustment.</t>
        </is>
      </c>
    </row>
    <row r="3213">
      <c r="A3213" t="inlineStr">
        <is>
          <t>Antimony ion</t>
        </is>
      </c>
      <c r="B3213">
        <v>7.710206896551725e-09</v>
      </c>
      <c r="D3213" t="inlineStr">
        <is>
          <t>kilogram</t>
        </is>
      </c>
      <c r="E3213" t="inlineStr">
        <is>
          <t>water::ground-, long-term</t>
        </is>
      </c>
      <c r="F3213" t="inlineStr">
        <is>
          <t>biosphere</t>
        </is>
      </c>
      <c r="G3213" t="inlineStr">
        <is>
          <t>Electricity-only proxy: source amount / 0.29; 100% burden to electricity, before STEM efficiency adjustment.</t>
        </is>
      </c>
    </row>
    <row r="3214">
      <c r="A3214" t="inlineStr">
        <is>
          <t>Antimony ion</t>
        </is>
      </c>
      <c r="B3214">
        <v>4.2003501326259955e-09</v>
      </c>
      <c r="D3214" t="inlineStr">
        <is>
          <t>kilogram</t>
        </is>
      </c>
      <c r="E3214" t="inlineStr">
        <is>
          <t>water::surface water</t>
        </is>
      </c>
      <c r="F3214" t="inlineStr">
        <is>
          <t>biosphere</t>
        </is>
      </c>
      <c r="G3214" t="inlineStr">
        <is>
          <t>Electricity-only proxy: source amount / 0.29; 100% burden to electricity, before STEM efficiency adjustment.</t>
        </is>
      </c>
    </row>
    <row r="3215">
      <c r="A3215" t="inlineStr">
        <is>
          <t>Arsenic ion</t>
        </is>
      </c>
      <c r="B3215">
        <v>1.0155437665782495e-05</v>
      </c>
      <c r="D3215" t="inlineStr">
        <is>
          <t>kilogram</t>
        </is>
      </c>
      <c r="E3215" t="inlineStr">
        <is>
          <t>water::ground-, long-term</t>
        </is>
      </c>
      <c r="F3215" t="inlineStr">
        <is>
          <t>biosphere</t>
        </is>
      </c>
      <c r="G3215" t="inlineStr">
        <is>
          <t>Electricity-only proxy: source amount / 0.29; 100% burden to electricity, before STEM efficiency adjustment.</t>
        </is>
      </c>
    </row>
    <row r="3216">
      <c r="A3216" t="inlineStr">
        <is>
          <t>Arsenic ion</t>
        </is>
      </c>
      <c r="B3216">
        <v>6.690557029177721e-06</v>
      </c>
      <c r="D3216" t="inlineStr">
        <is>
          <t>kilogram</t>
        </is>
      </c>
      <c r="E3216" t="inlineStr">
        <is>
          <t>water::surface water</t>
        </is>
      </c>
      <c r="F3216" t="inlineStr">
        <is>
          <t>biosphere</t>
        </is>
      </c>
      <c r="G3216" t="inlineStr">
        <is>
          <t>Electricity-only proxy: source amount / 0.29; 100% burden to electricity, before STEM efficiency adjustment.</t>
        </is>
      </c>
    </row>
    <row r="3217">
      <c r="A3217" t="inlineStr">
        <is>
          <t>BOD5, Biological Oxygen Demand</t>
        </is>
      </c>
      <c r="B3217">
        <v>0.003278673740053051</v>
      </c>
      <c r="D3217" t="inlineStr">
        <is>
          <t>kilogram</t>
        </is>
      </c>
      <c r="E3217" t="inlineStr">
        <is>
          <t>water::ground-, long-term</t>
        </is>
      </c>
      <c r="F3217" t="inlineStr">
        <is>
          <t>biosphere</t>
        </is>
      </c>
      <c r="G3217" t="inlineStr">
        <is>
          <t>Electricity-only proxy: source amount / 0.29; 100% burden to electricity, before STEM efficiency adjustment.</t>
        </is>
      </c>
    </row>
    <row r="3218">
      <c r="A3218" t="inlineStr">
        <is>
          <t>BOD5, Biological Oxygen Demand</t>
        </is>
      </c>
      <c r="B3218">
        <v>0.0010062811671087534</v>
      </c>
      <c r="D3218" t="inlineStr">
        <is>
          <t>kilogram</t>
        </is>
      </c>
      <c r="E3218" t="inlineStr">
        <is>
          <t>water::surface water</t>
        </is>
      </c>
      <c r="F3218" t="inlineStr">
        <is>
          <t>biosphere</t>
        </is>
      </c>
      <c r="G3218" t="inlineStr">
        <is>
          <t>Electricity-only proxy: source amount / 0.29; 100% burden to electricity, before STEM efficiency adjustment.</t>
        </is>
      </c>
    </row>
    <row r="3219">
      <c r="A3219" t="inlineStr">
        <is>
          <t>Boron</t>
        </is>
      </c>
      <c r="B3219">
        <v>7.043108753315652e-05</v>
      </c>
      <c r="D3219" t="inlineStr">
        <is>
          <t>kilogram</t>
        </is>
      </c>
      <c r="E3219" t="inlineStr">
        <is>
          <t>water::ground-, long-term</t>
        </is>
      </c>
      <c r="F3219" t="inlineStr">
        <is>
          <t>biosphere</t>
        </is>
      </c>
      <c r="G3219" t="inlineStr">
        <is>
          <t>Electricity-only proxy: source amount / 0.29; 100% burden to electricity, before STEM efficiency adjustment.</t>
        </is>
      </c>
    </row>
    <row r="3220">
      <c r="A3220" t="inlineStr">
        <is>
          <t>Boron</t>
        </is>
      </c>
      <c r="B3220">
        <v>8.833846153846155e-07</v>
      </c>
      <c r="D3220" t="inlineStr">
        <is>
          <t>kilogram</t>
        </is>
      </c>
      <c r="E3220" t="inlineStr">
        <is>
          <t>water::surface water</t>
        </is>
      </c>
      <c r="F3220" t="inlineStr">
        <is>
          <t>biosphere</t>
        </is>
      </c>
      <c r="G3220" t="inlineStr">
        <is>
          <t>Electricity-only proxy: source amount / 0.29; 100% burden to electricity, before STEM efficiency adjustment.</t>
        </is>
      </c>
    </row>
    <row r="3221">
      <c r="A3221" t="inlineStr">
        <is>
          <t>Bromine</t>
        </is>
      </c>
      <c r="B3221">
        <v>2.590663129973475e-06</v>
      </c>
      <c r="D3221" t="inlineStr">
        <is>
          <t>kilogram</t>
        </is>
      </c>
      <c r="E3221" t="inlineStr">
        <is>
          <t>water::ground-, long-term</t>
        </is>
      </c>
      <c r="F3221" t="inlineStr">
        <is>
          <t>biosphere</t>
        </is>
      </c>
      <c r="G3221" t="inlineStr">
        <is>
          <t>Electricity-only proxy: source amount / 0.29; 100% burden to electricity, before STEM efficiency adjustment.</t>
        </is>
      </c>
    </row>
    <row r="3222">
      <c r="A3222" t="inlineStr">
        <is>
          <t>Bromine</t>
        </is>
      </c>
      <c r="B3222">
        <v>4.637124668435014e-05</v>
      </c>
      <c r="D3222" t="inlineStr">
        <is>
          <t>kilogram</t>
        </is>
      </c>
      <c r="E3222" t="inlineStr">
        <is>
          <t>water::surface water</t>
        </is>
      </c>
      <c r="F3222" t="inlineStr">
        <is>
          <t>biosphere</t>
        </is>
      </c>
      <c r="G3222" t="inlineStr">
        <is>
          <t>Electricity-only proxy: source amount / 0.29; 100% burden to electricity, before STEM efficiency adjustment.</t>
        </is>
      </c>
    </row>
    <row r="3223">
      <c r="A3223" t="inlineStr">
        <is>
          <t>COD, Chemical Oxygen Demand</t>
        </is>
      </c>
      <c r="B3223">
        <v>0.010023660477453582</v>
      </c>
      <c r="D3223" t="inlineStr">
        <is>
          <t>kilogram</t>
        </is>
      </c>
      <c r="E3223" t="inlineStr">
        <is>
          <t>water::ground-, long-term</t>
        </is>
      </c>
      <c r="F3223" t="inlineStr">
        <is>
          <t>biosphere</t>
        </is>
      </c>
      <c r="G3223" t="inlineStr">
        <is>
          <t>Electricity-only proxy: source amount / 0.29; 100% burden to electricity, before STEM efficiency adjustment.</t>
        </is>
      </c>
    </row>
    <row r="3224">
      <c r="A3224" t="inlineStr">
        <is>
          <t>COD, Chemical Oxygen Demand</t>
        </is>
      </c>
      <c r="B3224">
        <v>0.0010282440318302387</v>
      </c>
      <c r="D3224" t="inlineStr">
        <is>
          <t>kilogram</t>
        </is>
      </c>
      <c r="E3224" t="inlineStr">
        <is>
          <t>water::surface water</t>
        </is>
      </c>
      <c r="F3224" t="inlineStr">
        <is>
          <t>biosphere</t>
        </is>
      </c>
      <c r="G3224" t="inlineStr">
        <is>
          <t>Electricity-only proxy: source amount / 0.29; 100% burden to electricity, before STEM efficiency adjustment.</t>
        </is>
      </c>
    </row>
    <row r="3225">
      <c r="A3225" t="inlineStr">
        <is>
          <t>Cadmium II</t>
        </is>
      </c>
      <c r="B3225">
        <v>1.8434482758620692e-07</v>
      </c>
      <c r="D3225" t="inlineStr">
        <is>
          <t>kilogram</t>
        </is>
      </c>
      <c r="E3225" t="inlineStr">
        <is>
          <t>water::ground-, long-term</t>
        </is>
      </c>
      <c r="F3225" t="inlineStr">
        <is>
          <t>biosphere</t>
        </is>
      </c>
      <c r="G3225" t="inlineStr">
        <is>
          <t>Electricity-only proxy: source amount / 0.29; 100% burden to electricity, before STEM efficiency adjustment.</t>
        </is>
      </c>
    </row>
    <row r="3226">
      <c r="A3226" t="inlineStr">
        <is>
          <t>Cadmium II</t>
        </is>
      </c>
      <c r="B3226">
        <v>2.0440742705570295e-10</v>
      </c>
      <c r="D3226" t="inlineStr">
        <is>
          <t>kilogram</t>
        </is>
      </c>
      <c r="E3226" t="inlineStr">
        <is>
          <t>water::surface water</t>
        </is>
      </c>
      <c r="F3226" t="inlineStr">
        <is>
          <t>biosphere</t>
        </is>
      </c>
      <c r="G3226" t="inlineStr">
        <is>
          <t>Electricity-only proxy: source amount / 0.29; 100% burden to electricity, before STEM efficiency adjustment.</t>
        </is>
      </c>
    </row>
    <row r="3227">
      <c r="A3227" t="inlineStr">
        <is>
          <t>Calcium II</t>
        </is>
      </c>
      <c r="B3227">
        <v>0.1541315649867374</v>
      </c>
      <c r="D3227" t="inlineStr">
        <is>
          <t>kilogram</t>
        </is>
      </c>
      <c r="E3227" t="inlineStr">
        <is>
          <t>water::ground-, long-term</t>
        </is>
      </c>
      <c r="F3227" t="inlineStr">
        <is>
          <t>biosphere</t>
        </is>
      </c>
      <c r="G3227" t="inlineStr">
        <is>
          <t>Electricity-only proxy: source amount / 0.29; 100% burden to electricity, before STEM efficiency adjustment.</t>
        </is>
      </c>
    </row>
    <row r="3228">
      <c r="A3228" t="inlineStr">
        <is>
          <t>Calcium II</t>
        </is>
      </c>
      <c r="B3228">
        <v>0.003263490716180372</v>
      </c>
      <c r="D3228" t="inlineStr">
        <is>
          <t>kilogram</t>
        </is>
      </c>
      <c r="E3228" t="inlineStr">
        <is>
          <t>water::surface water</t>
        </is>
      </c>
      <c r="F3228" t="inlineStr">
        <is>
          <t>biosphere</t>
        </is>
      </c>
      <c r="G3228" t="inlineStr">
        <is>
          <t>Electricity-only proxy: source amount / 0.29; 100% burden to electricity, before STEM efficiency adjustment.</t>
        </is>
      </c>
    </row>
    <row r="3229">
      <c r="A3229" t="inlineStr">
        <is>
          <t>Chloride</t>
        </is>
      </c>
      <c r="B3229">
        <v>0.004196530503978781</v>
      </c>
      <c r="D3229" t="inlineStr">
        <is>
          <t>kilogram</t>
        </is>
      </c>
      <c r="E3229" t="inlineStr">
        <is>
          <t>water::ground-, long-term</t>
        </is>
      </c>
      <c r="F3229" t="inlineStr">
        <is>
          <t>biosphere</t>
        </is>
      </c>
      <c r="G3229" t="inlineStr">
        <is>
          <t>Electricity-only proxy: source amount / 0.29; 100% burden to electricity, before STEM efficiency adjustment.</t>
        </is>
      </c>
    </row>
    <row r="3230">
      <c r="A3230" t="inlineStr">
        <is>
          <t>Chloride</t>
        </is>
      </c>
      <c r="B3230">
        <v>0.028297718832891252</v>
      </c>
      <c r="D3230" t="inlineStr">
        <is>
          <t>kilogram</t>
        </is>
      </c>
      <c r="E3230" t="inlineStr">
        <is>
          <t>water::surface water</t>
        </is>
      </c>
      <c r="F3230" t="inlineStr">
        <is>
          <t>biosphere</t>
        </is>
      </c>
      <c r="G3230" t="inlineStr">
        <is>
          <t>Electricity-only proxy: source amount / 0.29; 100% burden to electricity, before STEM efficiency adjustment.</t>
        </is>
      </c>
    </row>
    <row r="3231">
      <c r="A3231" t="inlineStr">
        <is>
          <t>Chromium III</t>
        </is>
      </c>
      <c r="B3231">
        <v>8.650408488063662e-09</v>
      </c>
      <c r="D3231" t="inlineStr">
        <is>
          <t>kilogram</t>
        </is>
      </c>
      <c r="E3231" t="inlineStr">
        <is>
          <t>water::surface water</t>
        </is>
      </c>
      <c r="F3231" t="inlineStr">
        <is>
          <t>biosphere</t>
        </is>
      </c>
      <c r="G3231" t="inlineStr">
        <is>
          <t>Electricity-only proxy: source amount / 0.29; 100% burden to electricity, before STEM efficiency adjustment.</t>
        </is>
      </c>
    </row>
    <row r="3232">
      <c r="A3232" t="inlineStr">
        <is>
          <t>Chromium VI</t>
        </is>
      </c>
      <c r="B3232">
        <v>3.7976657824933694e-06</v>
      </c>
      <c r="D3232" t="inlineStr">
        <is>
          <t>kilogram</t>
        </is>
      </c>
      <c r="E3232" t="inlineStr">
        <is>
          <t>water::ground-, long-term</t>
        </is>
      </c>
      <c r="F3232" t="inlineStr">
        <is>
          <t>biosphere</t>
        </is>
      </c>
      <c r="G3232" t="inlineStr">
        <is>
          <t>Electricity-only proxy: source amount / 0.29; 100% burden to electricity, before STEM efficiency adjustment.</t>
        </is>
      </c>
    </row>
    <row r="3233">
      <c r="A3233" t="inlineStr">
        <is>
          <t>Chromium VI</t>
        </is>
      </c>
      <c r="B3233">
        <v>1.1009124668435015e-06</v>
      </c>
      <c r="D3233" t="inlineStr">
        <is>
          <t>kilogram</t>
        </is>
      </c>
      <c r="E3233" t="inlineStr">
        <is>
          <t>water::surface water</t>
        </is>
      </c>
      <c r="F3233" t="inlineStr">
        <is>
          <t>biosphere</t>
        </is>
      </c>
      <c r="G3233" t="inlineStr">
        <is>
          <t>Electricity-only proxy: source amount / 0.29; 100% burden to electricity, before STEM efficiency adjustment.</t>
        </is>
      </c>
    </row>
    <row r="3234">
      <c r="A3234" t="inlineStr">
        <is>
          <t>Cobalt II</t>
        </is>
      </c>
      <c r="B3234">
        <v>3.6466949602122026e-05</v>
      </c>
      <c r="D3234" t="inlineStr">
        <is>
          <t>kilogram</t>
        </is>
      </c>
      <c r="E3234" t="inlineStr">
        <is>
          <t>water::ground-, long-term</t>
        </is>
      </c>
      <c r="F3234" t="inlineStr">
        <is>
          <t>biosphere</t>
        </is>
      </c>
      <c r="G3234" t="inlineStr">
        <is>
          <t>Electricity-only proxy: source amount / 0.29; 100% burden to electricity, before STEM efficiency adjustment.</t>
        </is>
      </c>
    </row>
    <row r="3235">
      <c r="A3235" t="inlineStr">
        <is>
          <t>Cobalt II</t>
        </is>
      </c>
      <c r="B3235">
        <v>6.9205941644562344e-09</v>
      </c>
      <c r="D3235" t="inlineStr">
        <is>
          <t>kilogram</t>
        </is>
      </c>
      <c r="E3235" t="inlineStr">
        <is>
          <t>water::surface water</t>
        </is>
      </c>
      <c r="F3235" t="inlineStr">
        <is>
          <t>biosphere</t>
        </is>
      </c>
      <c r="G3235" t="inlineStr">
        <is>
          <t>Electricity-only proxy: source amount / 0.29; 100% burden to electricity, before STEM efficiency adjustment.</t>
        </is>
      </c>
    </row>
    <row r="3236">
      <c r="A3236" t="inlineStr">
        <is>
          <t>Copper ion</t>
        </is>
      </c>
      <c r="B3236">
        <v>0.00014125941644562337</v>
      </c>
      <c r="D3236" t="inlineStr">
        <is>
          <t>kilogram</t>
        </is>
      </c>
      <c r="E3236" t="inlineStr">
        <is>
          <t>water::ground-, long-term</t>
        </is>
      </c>
      <c r="F3236" t="inlineStr">
        <is>
          <t>biosphere</t>
        </is>
      </c>
      <c r="G3236" t="inlineStr">
        <is>
          <t>Electricity-only proxy: source amount / 0.29; 100% burden to electricity, before STEM efficiency adjustment.</t>
        </is>
      </c>
    </row>
    <row r="3237">
      <c r="A3237" t="inlineStr">
        <is>
          <t>Copper ion</t>
        </is>
      </c>
      <c r="B3237">
        <v>1.3002970822281168e-08</v>
      </c>
      <c r="D3237" t="inlineStr">
        <is>
          <t>kilogram</t>
        </is>
      </c>
      <c r="E3237" t="inlineStr">
        <is>
          <t>water::surface water</t>
        </is>
      </c>
      <c r="F3237" t="inlineStr">
        <is>
          <t>biosphere</t>
        </is>
      </c>
      <c r="G3237" t="inlineStr">
        <is>
          <t>Electricity-only proxy: source amount / 0.29; 100% burden to electricity, before STEM efficiency adjustment.</t>
        </is>
      </c>
    </row>
    <row r="3238">
      <c r="A3238" t="inlineStr">
        <is>
          <t>DOC, Dissolved Organic Carbon</t>
        </is>
      </c>
      <c r="B3238">
        <v>0.003966302387267905</v>
      </c>
      <c r="D3238" t="inlineStr">
        <is>
          <t>kilogram</t>
        </is>
      </c>
      <c r="E3238" t="inlineStr">
        <is>
          <t>water::ground-, long-term</t>
        </is>
      </c>
      <c r="F3238" t="inlineStr">
        <is>
          <t>biosphere</t>
        </is>
      </c>
      <c r="G3238" t="inlineStr">
        <is>
          <t>Electricity-only proxy: source amount / 0.29; 100% burden to electricity, before STEM efficiency adjustment.</t>
        </is>
      </c>
    </row>
    <row r="3239">
      <c r="A3239" t="inlineStr">
        <is>
          <t>DOC, Dissolved Organic Carbon</t>
        </is>
      </c>
      <c r="B3239">
        <v>0.00044851034482758624</v>
      </c>
      <c r="D3239" t="inlineStr">
        <is>
          <t>kilogram</t>
        </is>
      </c>
      <c r="E3239" t="inlineStr">
        <is>
          <t>water::surface water</t>
        </is>
      </c>
      <c r="F3239" t="inlineStr">
        <is>
          <t>biosphere</t>
        </is>
      </c>
      <c r="G3239" t="inlineStr">
        <is>
          <t>Electricity-only proxy: source amount / 0.29; 100% burden to electricity, before STEM efficiency adjustment.</t>
        </is>
      </c>
    </row>
    <row r="3240">
      <c r="A3240" t="inlineStr">
        <is>
          <t>Fluoride</t>
        </is>
      </c>
      <c r="B3240">
        <v>0.0011113209549071619</v>
      </c>
      <c r="D3240" t="inlineStr">
        <is>
          <t>kilogram</t>
        </is>
      </c>
      <c r="E3240" t="inlineStr">
        <is>
          <t>water::ground-, long-term</t>
        </is>
      </c>
      <c r="F3240" t="inlineStr">
        <is>
          <t>biosphere</t>
        </is>
      </c>
      <c r="G3240" t="inlineStr">
        <is>
          <t>Electricity-only proxy: source amount / 0.29; 100% burden to electricity, before STEM efficiency adjustment.</t>
        </is>
      </c>
    </row>
    <row r="3241">
      <c r="A3241" t="inlineStr">
        <is>
          <t>Fluoride</t>
        </is>
      </c>
      <c r="B3241">
        <v>0.0004848159151193635</v>
      </c>
      <c r="D3241" t="inlineStr">
        <is>
          <t>kilogram</t>
        </is>
      </c>
      <c r="E3241" t="inlineStr">
        <is>
          <t>water::surface water</t>
        </is>
      </c>
      <c r="F3241" t="inlineStr">
        <is>
          <t>biosphere</t>
        </is>
      </c>
      <c r="G3241" t="inlineStr">
        <is>
          <t>Electricity-only proxy: source amount / 0.29; 100% burden to electricity, before STEM efficiency adjustment.</t>
        </is>
      </c>
    </row>
    <row r="3242">
      <c r="A3242" t="inlineStr">
        <is>
          <t>Heat, waste</t>
        </is>
      </c>
      <c r="B3242">
        <v>14.238620689655177</v>
      </c>
      <c r="D3242" t="inlineStr">
        <is>
          <t>megajoule</t>
        </is>
      </c>
      <c r="E3242" t="inlineStr">
        <is>
          <t>water::surface water</t>
        </is>
      </c>
      <c r="F3242" t="inlineStr">
        <is>
          <t>biosphere</t>
        </is>
      </c>
      <c r="G3242" t="inlineStr">
        <is>
          <t>Electricity-only proxy: source amount / 0.29; 100% burden to electricity, before STEM efficiency adjustment.</t>
        </is>
      </c>
    </row>
    <row r="3243">
      <c r="A3243" t="inlineStr">
        <is>
          <t>Iodide</t>
        </is>
      </c>
      <c r="B3243">
        <v>8.591013262599472e-15</v>
      </c>
      <c r="D3243" t="inlineStr">
        <is>
          <t>kilogram</t>
        </is>
      </c>
      <c r="E3243" t="inlineStr">
        <is>
          <t>water::ground-, long-term</t>
        </is>
      </c>
      <c r="F3243" t="inlineStr">
        <is>
          <t>biosphere</t>
        </is>
      </c>
      <c r="G3243" t="inlineStr">
        <is>
          <t>Electricity-only proxy: source amount / 0.29; 100% burden to electricity, before STEM efficiency adjustment.</t>
        </is>
      </c>
    </row>
    <row r="3244">
      <c r="A3244" t="inlineStr">
        <is>
          <t>Iodide</t>
        </is>
      </c>
      <c r="B3244">
        <v>4.467915119363397e-07</v>
      </c>
      <c r="D3244" t="inlineStr">
        <is>
          <t>kilogram</t>
        </is>
      </c>
      <c r="E3244" t="inlineStr">
        <is>
          <t>water::surface water</t>
        </is>
      </c>
      <c r="F3244" t="inlineStr">
        <is>
          <t>biosphere</t>
        </is>
      </c>
      <c r="G3244" t="inlineStr">
        <is>
          <t>Electricity-only proxy: source amount / 0.29; 100% burden to electricity, before STEM efficiency adjustment.</t>
        </is>
      </c>
    </row>
    <row r="3245">
      <c r="A3245" t="inlineStr">
        <is>
          <t>Iron ion</t>
        </is>
      </c>
      <c r="B3245">
        <v>0.0025628753315649873</v>
      </c>
      <c r="D3245" t="inlineStr">
        <is>
          <t>kilogram</t>
        </is>
      </c>
      <c r="E3245" t="inlineStr">
        <is>
          <t>water::ground-, long-term</t>
        </is>
      </c>
      <c r="F3245" t="inlineStr">
        <is>
          <t>biosphere</t>
        </is>
      </c>
      <c r="G3245" t="inlineStr">
        <is>
          <t>Electricity-only proxy: source amount / 0.29; 100% burden to electricity, before STEM efficiency adjustment.</t>
        </is>
      </c>
    </row>
    <row r="3246">
      <c r="A3246" t="inlineStr">
        <is>
          <t>Iron ion</t>
        </is>
      </c>
      <c r="B3246">
        <v>1.0520212201591512e-07</v>
      </c>
      <c r="D3246" t="inlineStr">
        <is>
          <t>kilogram</t>
        </is>
      </c>
      <c r="E3246" t="inlineStr">
        <is>
          <t>water::surface water</t>
        </is>
      </c>
      <c r="F3246" t="inlineStr">
        <is>
          <t>biosphere</t>
        </is>
      </c>
      <c r="G3246" t="inlineStr">
        <is>
          <t>Electricity-only proxy: source amount / 0.29; 100% burden to electricity, before STEM efficiency adjustment.</t>
        </is>
      </c>
    </row>
    <row r="3247">
      <c r="A3247" t="inlineStr">
        <is>
          <t>Lead II</t>
        </is>
      </c>
      <c r="B3247">
        <v>0.00010884031830238728</v>
      </c>
      <c r="D3247" t="inlineStr">
        <is>
          <t>kilogram</t>
        </is>
      </c>
      <c r="E3247" t="inlineStr">
        <is>
          <t>water::ground-, long-term</t>
        </is>
      </c>
      <c r="F3247" t="inlineStr">
        <is>
          <t>biosphere</t>
        </is>
      </c>
      <c r="G3247" t="inlineStr">
        <is>
          <t>Electricity-only proxy: source amount / 0.29; 100% burden to electricity, before STEM efficiency adjustment.</t>
        </is>
      </c>
    </row>
    <row r="3248">
      <c r="A3248" t="inlineStr">
        <is>
          <t>Lead II</t>
        </is>
      </c>
      <c r="B3248">
        <v>1.0532625994694962e-08</v>
      </c>
      <c r="D3248" t="inlineStr">
        <is>
          <t>kilogram</t>
        </is>
      </c>
      <c r="E3248" t="inlineStr">
        <is>
          <t>water::surface water</t>
        </is>
      </c>
      <c r="F3248" t="inlineStr">
        <is>
          <t>biosphere</t>
        </is>
      </c>
      <c r="G3248" t="inlineStr">
        <is>
          <t>Electricity-only proxy: source amount / 0.29; 100% burden to electricity, before STEM efficiency adjustment.</t>
        </is>
      </c>
    </row>
    <row r="3249">
      <c r="A3249" t="inlineStr">
        <is>
          <t>Magnesium</t>
        </is>
      </c>
      <c r="B3249">
        <v>0.021875013262599472</v>
      </c>
      <c r="D3249" t="inlineStr">
        <is>
          <t>kilogram</t>
        </is>
      </c>
      <c r="E3249" t="inlineStr">
        <is>
          <t>water::ground-, long-term</t>
        </is>
      </c>
      <c r="F3249" t="inlineStr">
        <is>
          <t>biosphere</t>
        </is>
      </c>
      <c r="G3249" t="inlineStr">
        <is>
          <t>Electricity-only proxy: source amount / 0.29; 100% burden to electricity, before STEM efficiency adjustment.</t>
        </is>
      </c>
    </row>
    <row r="3250">
      <c r="A3250" t="inlineStr">
        <is>
          <t>Magnesium</t>
        </is>
      </c>
      <c r="B3250">
        <v>0.00017783236074270562</v>
      </c>
      <c r="D3250" t="inlineStr">
        <is>
          <t>kilogram</t>
        </is>
      </c>
      <c r="E3250" t="inlineStr">
        <is>
          <t>water::surface water</t>
        </is>
      </c>
      <c r="F3250" t="inlineStr">
        <is>
          <t>biosphere</t>
        </is>
      </c>
      <c r="G3250" t="inlineStr">
        <is>
          <t>Electricity-only proxy: source amount / 0.29; 100% burden to electricity, before STEM efficiency adjustment.</t>
        </is>
      </c>
    </row>
    <row r="3251">
      <c r="A3251" t="inlineStr">
        <is>
          <t>Manganese II</t>
        </is>
      </c>
      <c r="B3251">
        <v>2.846196286472149e-05</v>
      </c>
      <c r="D3251" t="inlineStr">
        <is>
          <t>kilogram</t>
        </is>
      </c>
      <c r="E3251" t="inlineStr">
        <is>
          <t>water::ground-, long-term</t>
        </is>
      </c>
      <c r="F3251" t="inlineStr">
        <is>
          <t>biosphere</t>
        </is>
      </c>
      <c r="G3251" t="inlineStr">
        <is>
          <t>Electricity-only proxy: source amount / 0.29; 100% burden to electricity, before STEM efficiency adjustment.</t>
        </is>
      </c>
    </row>
    <row r="3252">
      <c r="A3252" t="inlineStr">
        <is>
          <t>Manganese II</t>
        </is>
      </c>
      <c r="B3252">
        <v>4.487395225464193e-09</v>
      </c>
      <c r="D3252" t="inlineStr">
        <is>
          <t>kilogram</t>
        </is>
      </c>
      <c r="E3252" t="inlineStr">
        <is>
          <t>water::surface water</t>
        </is>
      </c>
      <c r="F3252" t="inlineStr">
        <is>
          <t>biosphere</t>
        </is>
      </c>
      <c r="G3252" t="inlineStr">
        <is>
          <t>Electricity-only proxy: source amount / 0.29; 100% burden to electricity, before STEM efficiency adjustment.</t>
        </is>
      </c>
    </row>
    <row r="3253">
      <c r="A3253" t="inlineStr">
        <is>
          <t>Mercury II</t>
        </is>
      </c>
      <c r="B3253">
        <v>1.2249549071618038e-07</v>
      </c>
      <c r="D3253" t="inlineStr">
        <is>
          <t>kilogram</t>
        </is>
      </c>
      <c r="E3253" t="inlineStr">
        <is>
          <t>water::ground-, long-term</t>
        </is>
      </c>
      <c r="F3253" t="inlineStr">
        <is>
          <t>biosphere</t>
        </is>
      </c>
      <c r="G3253" t="inlineStr">
        <is>
          <t>Electricity-only proxy: source amount / 0.29; 100% burden to electricity, before STEM efficiency adjustment.</t>
        </is>
      </c>
    </row>
    <row r="3254">
      <c r="A3254" t="inlineStr">
        <is>
          <t>Mercury II</t>
        </is>
      </c>
      <c r="B3254">
        <v>3.1023978779840856e-09</v>
      </c>
      <c r="D3254" t="inlineStr">
        <is>
          <t>kilogram</t>
        </is>
      </c>
      <c r="E3254" t="inlineStr">
        <is>
          <t>water::surface water</t>
        </is>
      </c>
      <c r="F3254" t="inlineStr">
        <is>
          <t>biosphere</t>
        </is>
      </c>
      <c r="G3254" t="inlineStr">
        <is>
          <t>Electricity-only proxy: source amount / 0.29; 100% burden to electricity, before STEM efficiency adjustment.</t>
        </is>
      </c>
    </row>
    <row r="3255">
      <c r="A3255" t="inlineStr">
        <is>
          <t>Molybdenum VI</t>
        </is>
      </c>
      <c r="B3255">
        <v>2.5686047745358093e-06</v>
      </c>
      <c r="D3255" t="inlineStr">
        <is>
          <t>kilogram</t>
        </is>
      </c>
      <c r="E3255" t="inlineStr">
        <is>
          <t>water::ground-, long-term</t>
        </is>
      </c>
      <c r="F3255" t="inlineStr">
        <is>
          <t>biosphere</t>
        </is>
      </c>
      <c r="G3255" t="inlineStr">
        <is>
          <t>Electricity-only proxy: source amount / 0.29; 100% burden to electricity, before STEM efficiency adjustment.</t>
        </is>
      </c>
    </row>
    <row r="3256">
      <c r="A3256" t="inlineStr">
        <is>
          <t>Molybdenum VI</t>
        </is>
      </c>
      <c r="B3256">
        <v>5.543522546419099e-07</v>
      </c>
      <c r="D3256" t="inlineStr">
        <is>
          <t>kilogram</t>
        </is>
      </c>
      <c r="E3256" t="inlineStr">
        <is>
          <t>water::surface water</t>
        </is>
      </c>
      <c r="F3256" t="inlineStr">
        <is>
          <t>biosphere</t>
        </is>
      </c>
      <c r="G3256" t="inlineStr">
        <is>
          <t>Electricity-only proxy: source amount / 0.29; 100% burden to electricity, before STEM efficiency adjustment.</t>
        </is>
      </c>
    </row>
    <row r="3257">
      <c r="A3257" t="inlineStr">
        <is>
          <t>Nickel II</t>
        </is>
      </c>
      <c r="B3257">
        <v>4.455023872679046e-05</v>
      </c>
      <c r="D3257" t="inlineStr">
        <is>
          <t>kilogram</t>
        </is>
      </c>
      <c r="E3257" t="inlineStr">
        <is>
          <t>water::ground-, long-term</t>
        </is>
      </c>
      <c r="F3257" t="inlineStr">
        <is>
          <t>biosphere</t>
        </is>
      </c>
      <c r="G3257" t="inlineStr">
        <is>
          <t>Electricity-only proxy: source amount / 0.29; 100% burden to electricity, before STEM efficiency adjustment.</t>
        </is>
      </c>
    </row>
    <row r="3258">
      <c r="A3258" t="inlineStr">
        <is>
          <t>Nickel II</t>
        </is>
      </c>
      <c r="B3258">
        <v>3.05723076923077e-08</v>
      </c>
      <c r="D3258" t="inlineStr">
        <is>
          <t>kilogram</t>
        </is>
      </c>
      <c r="E3258" t="inlineStr">
        <is>
          <t>water::surface water</t>
        </is>
      </c>
      <c r="F3258" t="inlineStr">
        <is>
          <t>biosphere</t>
        </is>
      </c>
      <c r="G3258" t="inlineStr">
        <is>
          <t>Electricity-only proxy: source amount / 0.29; 100% burden to electricity, before STEM efficiency adjustment.</t>
        </is>
      </c>
    </row>
    <row r="3259">
      <c r="A3259" t="inlineStr">
        <is>
          <t>Nitrate</t>
        </is>
      </c>
      <c r="B3259">
        <v>0.0011948753315649868</v>
      </c>
      <c r="D3259" t="inlineStr">
        <is>
          <t>kilogram</t>
        </is>
      </c>
      <c r="E3259" t="inlineStr">
        <is>
          <t>water::ground-, long-term</t>
        </is>
      </c>
      <c r="F3259" t="inlineStr">
        <is>
          <t>biosphere</t>
        </is>
      </c>
      <c r="G3259" t="inlineStr">
        <is>
          <t>Electricity-only proxy: source amount / 0.29; 100% burden to electricity, before STEM efficiency adjustment.</t>
        </is>
      </c>
    </row>
    <row r="3260">
      <c r="A3260" t="inlineStr">
        <is>
          <t>Nitrate</t>
        </is>
      </c>
      <c r="B3260">
        <v>0.00042802758620689665</v>
      </c>
      <c r="D3260" t="inlineStr">
        <is>
          <t>kilogram</t>
        </is>
      </c>
      <c r="E3260" t="inlineStr">
        <is>
          <t>water::surface water</t>
        </is>
      </c>
      <c r="F3260" t="inlineStr">
        <is>
          <t>biosphere</t>
        </is>
      </c>
      <c r="G3260" t="inlineStr">
        <is>
          <t>Electricity-only proxy: source amount / 0.29; 100% burden to electricity, before STEM efficiency adjustment.</t>
        </is>
      </c>
    </row>
    <row r="3261">
      <c r="A3261" t="inlineStr">
        <is>
          <t>Phosphate</t>
        </is>
      </c>
      <c r="B3261">
        <v>0.0008464392572944297</v>
      </c>
      <c r="D3261" t="inlineStr">
        <is>
          <t>kilogram</t>
        </is>
      </c>
      <c r="E3261" t="inlineStr">
        <is>
          <t>water::ground-, long-term</t>
        </is>
      </c>
      <c r="F3261" t="inlineStr">
        <is>
          <t>biosphere</t>
        </is>
      </c>
      <c r="G3261" t="inlineStr">
        <is>
          <t>Electricity-only proxy: source amount / 0.29; 100% burden to electricity, before STEM efficiency adjustment.</t>
        </is>
      </c>
    </row>
    <row r="3262">
      <c r="A3262" t="inlineStr">
        <is>
          <t>Phosphate</t>
        </is>
      </c>
      <c r="B3262">
        <v>1.4013262599469499e-05</v>
      </c>
      <c r="D3262" t="inlineStr">
        <is>
          <t>kilogram</t>
        </is>
      </c>
      <c r="E3262" t="inlineStr">
        <is>
          <t>water::surface water</t>
        </is>
      </c>
      <c r="F3262" t="inlineStr">
        <is>
          <t>biosphere</t>
        </is>
      </c>
      <c r="G3262" t="inlineStr">
        <is>
          <t>Electricity-only proxy: source amount / 0.29; 100% burden to electricity, before STEM efficiency adjustment.</t>
        </is>
      </c>
    </row>
    <row r="3263">
      <c r="A3263" t="inlineStr">
        <is>
          <t>Potassium I</t>
        </is>
      </c>
      <c r="B3263">
        <v>0.02091724137931035</v>
      </c>
      <c r="D3263" t="inlineStr">
        <is>
          <t>kilogram</t>
        </is>
      </c>
      <c r="E3263" t="inlineStr">
        <is>
          <t>water::ground-, long-term</t>
        </is>
      </c>
      <c r="F3263" t="inlineStr">
        <is>
          <t>biosphere</t>
        </is>
      </c>
      <c r="G3263" t="inlineStr">
        <is>
          <t>Electricity-only proxy: source amount / 0.29; 100% burden to electricity, before STEM efficiency adjustment.</t>
        </is>
      </c>
    </row>
    <row r="3264">
      <c r="A3264" t="inlineStr">
        <is>
          <t>Potassium I</t>
        </is>
      </c>
      <c r="B3264">
        <v>0.007904816976127323</v>
      </c>
      <c r="D3264" t="inlineStr">
        <is>
          <t>kilogram</t>
        </is>
      </c>
      <c r="E3264" t="inlineStr">
        <is>
          <t>water::surface water</t>
        </is>
      </c>
      <c r="F3264" t="inlineStr">
        <is>
          <t>biosphere</t>
        </is>
      </c>
      <c r="G3264" t="inlineStr">
        <is>
          <t>Electricity-only proxy: source amount / 0.29; 100% burden to electricity, before STEM efficiency adjustment.</t>
        </is>
      </c>
    </row>
    <row r="3265">
      <c r="A3265" t="inlineStr">
        <is>
          <t>Selenium IV</t>
        </is>
      </c>
      <c r="B3265">
        <v>3.194164456233422e-06</v>
      </c>
      <c r="D3265" t="inlineStr">
        <is>
          <t>kilogram</t>
        </is>
      </c>
      <c r="E3265" t="inlineStr">
        <is>
          <t>water::ground-, long-term</t>
        </is>
      </c>
      <c r="F3265" t="inlineStr">
        <is>
          <t>biosphere</t>
        </is>
      </c>
      <c r="G3265" t="inlineStr">
        <is>
          <t>Electricity-only proxy: source amount / 0.29; 100% burden to electricity, before STEM efficiency adjustment.</t>
        </is>
      </c>
    </row>
    <row r="3266">
      <c r="A3266" t="inlineStr">
        <is>
          <t>Selenium IV</t>
        </is>
      </c>
      <c r="B3266">
        <v>8.293177718832893e-07</v>
      </c>
      <c r="D3266" t="inlineStr">
        <is>
          <t>kilogram</t>
        </is>
      </c>
      <c r="E3266" t="inlineStr">
        <is>
          <t>water::surface water</t>
        </is>
      </c>
      <c r="F3266" t="inlineStr">
        <is>
          <t>biosphere</t>
        </is>
      </c>
      <c r="G3266" t="inlineStr">
        <is>
          <t>Electricity-only proxy: source amount / 0.29; 100% burden to electricity, before STEM efficiency adjustment.</t>
        </is>
      </c>
    </row>
    <row r="3267">
      <c r="A3267" t="inlineStr">
        <is>
          <t>Silicon</t>
        </is>
      </c>
      <c r="B3267">
        <v>0.024588859416445626</v>
      </c>
      <c r="D3267" t="inlineStr">
        <is>
          <t>kilogram</t>
        </is>
      </c>
      <c r="E3267" t="inlineStr">
        <is>
          <t>water::ground-, long-term</t>
        </is>
      </c>
      <c r="F3267" t="inlineStr">
        <is>
          <t>biosphere</t>
        </is>
      </c>
      <c r="G3267" t="inlineStr">
        <is>
          <t>Electricity-only proxy: source amount / 0.29; 100% burden to electricity, before STEM efficiency adjustment.</t>
        </is>
      </c>
    </row>
    <row r="3268">
      <c r="A3268" t="inlineStr">
        <is>
          <t>Silicon</t>
        </is>
      </c>
      <c r="B3268">
        <v>7.89116180371353e-05</v>
      </c>
      <c r="D3268" t="inlineStr">
        <is>
          <t>kilogram</t>
        </is>
      </c>
      <c r="E3268" t="inlineStr">
        <is>
          <t>water::surface water</t>
        </is>
      </c>
      <c r="F3268" t="inlineStr">
        <is>
          <t>biosphere</t>
        </is>
      </c>
      <c r="G3268" t="inlineStr">
        <is>
          <t>Electricity-only proxy: source amount / 0.29; 100% burden to electricity, before STEM efficiency adjustment.</t>
        </is>
      </c>
    </row>
    <row r="3269">
      <c r="A3269" t="inlineStr">
        <is>
          <t>Sodium I</t>
        </is>
      </c>
      <c r="B3269">
        <v>0.00817667904509284</v>
      </c>
      <c r="D3269" t="inlineStr">
        <is>
          <t>kilogram</t>
        </is>
      </c>
      <c r="E3269" t="inlineStr">
        <is>
          <t>water::ground-, long-term</t>
        </is>
      </c>
      <c r="F3269" t="inlineStr">
        <is>
          <t>biosphere</t>
        </is>
      </c>
      <c r="G3269" t="inlineStr">
        <is>
          <t>Electricity-only proxy: source amount / 0.29; 100% burden to electricity, before STEM efficiency adjustment.</t>
        </is>
      </c>
    </row>
    <row r="3270">
      <c r="A3270" t="inlineStr">
        <is>
          <t>Sodium I</t>
        </is>
      </c>
      <c r="B3270">
        <v>0.00411154376657825</v>
      </c>
      <c r="D3270" t="inlineStr">
        <is>
          <t>kilogram</t>
        </is>
      </c>
      <c r="E3270" t="inlineStr">
        <is>
          <t>water::surface water</t>
        </is>
      </c>
      <c r="F3270" t="inlineStr">
        <is>
          <t>biosphere</t>
        </is>
      </c>
      <c r="G3270" t="inlineStr">
        <is>
          <t>Electricity-only proxy: source amount / 0.29; 100% burden to electricity, before STEM efficiency adjustment.</t>
        </is>
      </c>
    </row>
    <row r="3271">
      <c r="A3271" t="inlineStr">
        <is>
          <t>Sulfate</t>
        </is>
      </c>
      <c r="B3271">
        <v>0.029856127320954915</v>
      </c>
      <c r="D3271" t="inlineStr">
        <is>
          <t>kilogram</t>
        </is>
      </c>
      <c r="E3271" t="inlineStr">
        <is>
          <t>water::ground-, long-term</t>
        </is>
      </c>
      <c r="F3271" t="inlineStr">
        <is>
          <t>biosphere</t>
        </is>
      </c>
      <c r="G3271" t="inlineStr">
        <is>
          <t>Electricity-only proxy: source amount / 0.29; 100% burden to electricity, before STEM efficiency adjustment.</t>
        </is>
      </c>
    </row>
    <row r="3272">
      <c r="A3272" t="inlineStr">
        <is>
          <t>Sulfate</t>
        </is>
      </c>
      <c r="B3272">
        <v>0.005102832891246686</v>
      </c>
      <c r="D3272" t="inlineStr">
        <is>
          <t>kilogram</t>
        </is>
      </c>
      <c r="E3272" t="inlineStr">
        <is>
          <t>water::surface water</t>
        </is>
      </c>
      <c r="F3272" t="inlineStr">
        <is>
          <t>biosphere</t>
        </is>
      </c>
      <c r="G3272" t="inlineStr">
        <is>
          <t>Electricity-only proxy: source amount / 0.29; 100% burden to electricity, before STEM efficiency adjustment.</t>
        </is>
      </c>
    </row>
    <row r="3273">
      <c r="A3273" t="inlineStr">
        <is>
          <t>TOC, Total Organic Carbon</t>
        </is>
      </c>
      <c r="B3273">
        <v>0.003966302387267905</v>
      </c>
      <c r="D3273" t="inlineStr">
        <is>
          <t>kilogram</t>
        </is>
      </c>
      <c r="E3273" t="inlineStr">
        <is>
          <t>water::ground-, long-term</t>
        </is>
      </c>
      <c r="F3273" t="inlineStr">
        <is>
          <t>biosphere</t>
        </is>
      </c>
      <c r="G3273" t="inlineStr">
        <is>
          <t>Electricity-only proxy: source amount / 0.29; 100% burden to electricity, before STEM efficiency adjustment.</t>
        </is>
      </c>
    </row>
    <row r="3274">
      <c r="A3274" t="inlineStr">
        <is>
          <t>TOC, Total Organic Carbon</t>
        </is>
      </c>
      <c r="B3274">
        <v>0.00044851034482758624</v>
      </c>
      <c r="D3274" t="inlineStr">
        <is>
          <t>kilogram</t>
        </is>
      </c>
      <c r="E3274" t="inlineStr">
        <is>
          <t>water::surface water</t>
        </is>
      </c>
      <c r="F3274" t="inlineStr">
        <is>
          <t>biosphere</t>
        </is>
      </c>
      <c r="G3274" t="inlineStr">
        <is>
          <t>Electricity-only proxy: source amount / 0.29; 100% burden to electricity, before STEM efficiency adjustment.</t>
        </is>
      </c>
    </row>
    <row r="3275">
      <c r="A3275" t="inlineStr">
        <is>
          <t>Thallium I</t>
        </is>
      </c>
      <c r="B3275">
        <v>9.425029177718834e-09</v>
      </c>
      <c r="D3275" t="inlineStr">
        <is>
          <t>kilogram</t>
        </is>
      </c>
      <c r="E3275" t="inlineStr">
        <is>
          <t>water::ground-, long-term</t>
        </is>
      </c>
      <c r="F3275" t="inlineStr">
        <is>
          <t>biosphere</t>
        </is>
      </c>
      <c r="G3275" t="inlineStr">
        <is>
          <t>Electricity-only proxy: source amount / 0.29; 100% burden to electricity, before STEM efficiency adjustment.</t>
        </is>
      </c>
    </row>
    <row r="3276">
      <c r="A3276" t="inlineStr">
        <is>
          <t>Thallium I</t>
        </is>
      </c>
      <c r="B3276">
        <v>1.5734960212201593e-11</v>
      </c>
      <c r="D3276" t="inlineStr">
        <is>
          <t>kilogram</t>
        </is>
      </c>
      <c r="E3276" t="inlineStr">
        <is>
          <t>water::surface water</t>
        </is>
      </c>
      <c r="F3276" t="inlineStr">
        <is>
          <t>biosphere</t>
        </is>
      </c>
      <c r="G3276" t="inlineStr">
        <is>
          <t>Electricity-only proxy: source amount / 0.29; 100% burden to electricity, before STEM efficiency adjustment.</t>
        </is>
      </c>
    </row>
    <row r="3277">
      <c r="A3277" t="inlineStr">
        <is>
          <t>Tin ion</t>
        </is>
      </c>
      <c r="B3277">
        <v>4.420265251989391e-05</v>
      </c>
      <c r="D3277" t="inlineStr">
        <is>
          <t>kilogram</t>
        </is>
      </c>
      <c r="E3277" t="inlineStr">
        <is>
          <t>water::ground-, long-term</t>
        </is>
      </c>
      <c r="F3277" t="inlineStr">
        <is>
          <t>biosphere</t>
        </is>
      </c>
      <c r="G3277" t="inlineStr">
        <is>
          <t>Electricity-only proxy: source amount / 0.29; 100% burden to electricity, before STEM efficiency adjustment.</t>
        </is>
      </c>
    </row>
    <row r="3278">
      <c r="A3278" t="inlineStr">
        <is>
          <t>Tin ion</t>
        </is>
      </c>
      <c r="B3278">
        <v>6.020594164456234e-08</v>
      </c>
      <c r="D3278" t="inlineStr">
        <is>
          <t>kilogram</t>
        </is>
      </c>
      <c r="E3278" t="inlineStr">
        <is>
          <t>water::surface water</t>
        </is>
      </c>
      <c r="F3278" t="inlineStr">
        <is>
          <t>biosphere</t>
        </is>
      </c>
      <c r="G3278" t="inlineStr">
        <is>
          <t>Electricity-only proxy: source amount / 0.29; 100% burden to electricity, before STEM efficiency adjustment.</t>
        </is>
      </c>
    </row>
    <row r="3279">
      <c r="A3279" t="inlineStr">
        <is>
          <t>Vanadium V</t>
        </is>
      </c>
      <c r="B3279">
        <v>9.75533156498674e-06</v>
      </c>
      <c r="D3279" t="inlineStr">
        <is>
          <t>kilogram</t>
        </is>
      </c>
      <c r="E3279" t="inlineStr">
        <is>
          <t>water::ground-, long-term</t>
        </is>
      </c>
      <c r="F3279" t="inlineStr">
        <is>
          <t>biosphere</t>
        </is>
      </c>
      <c r="G3279" t="inlineStr">
        <is>
          <t>Electricity-only proxy: source amount / 0.29; 100% burden to electricity, before STEM efficiency adjustment.</t>
        </is>
      </c>
    </row>
    <row r="3280">
      <c r="A3280" t="inlineStr">
        <is>
          <t>Vanadium V</t>
        </is>
      </c>
      <c r="B3280">
        <v>3.6682758620689664e-08</v>
      </c>
      <c r="D3280" t="inlineStr">
        <is>
          <t>kilogram</t>
        </is>
      </c>
      <c r="E3280" t="inlineStr">
        <is>
          <t>water::surface water</t>
        </is>
      </c>
      <c r="F3280" t="inlineStr">
        <is>
          <t>biosphere</t>
        </is>
      </c>
      <c r="G3280" t="inlineStr">
        <is>
          <t>Electricity-only proxy: source amount / 0.29; 100% burden to electricity, before STEM efficiency adjustment.</t>
        </is>
      </c>
    </row>
    <row r="3281">
      <c r="A3281" t="inlineStr">
        <is>
          <t>Water</t>
        </is>
      </c>
      <c r="B3281">
        <v>0.0027719618037135283</v>
      </c>
      <c r="D3281" t="inlineStr">
        <is>
          <t>cubic meter</t>
        </is>
      </c>
      <c r="E3281" t="inlineStr">
        <is>
          <t>water::surface water</t>
        </is>
      </c>
      <c r="F3281" t="inlineStr">
        <is>
          <t>biosphere</t>
        </is>
      </c>
      <c r="G3281" t="inlineStr">
        <is>
          <t>Electricity-only proxy: source amount / 0.29; 100% burden to electricity, before STEM efficiency adjustment.</t>
        </is>
      </c>
    </row>
    <row r="3282">
      <c r="A3282" t="inlineStr">
        <is>
          <t>Zinc II</t>
        </is>
      </c>
      <c r="B3282">
        <v>0.00021783342175066316</v>
      </c>
      <c r="D3282" t="inlineStr">
        <is>
          <t>kilogram</t>
        </is>
      </c>
      <c r="E3282" t="inlineStr">
        <is>
          <t>water::ground-, long-term</t>
        </is>
      </c>
      <c r="F3282" t="inlineStr">
        <is>
          <t>biosphere</t>
        </is>
      </c>
      <c r="G3282" t="inlineStr">
        <is>
          <t>Electricity-only proxy: source amount / 0.29; 100% burden to electricity, before STEM efficiency adjustment.</t>
        </is>
      </c>
    </row>
    <row r="3283">
      <c r="A3283" t="inlineStr">
        <is>
          <t>Zinc II</t>
        </is>
      </c>
      <c r="B3283">
        <v>2.967755968169762e-08</v>
      </c>
      <c r="D3283" t="inlineStr">
        <is>
          <t>kilogram</t>
        </is>
      </c>
      <c r="E3283" t="inlineStr">
        <is>
          <t>water::surface water</t>
        </is>
      </c>
      <c r="F3283" t="inlineStr">
        <is>
          <t>biosphere</t>
        </is>
      </c>
      <c r="G3283" t="inlineStr">
        <is>
          <t>Electricity-only proxy: source amount / 0.29; 100% burden to electricity, before STEM efficiency adjustment.</t>
        </is>
      </c>
    </row>
    <row r="3284">
      <c r="A3284" t="inlineStr">
        <is>
          <t>Oxygen</t>
        </is>
      </c>
      <c r="B3284">
        <v>4.589092838196287</v>
      </c>
      <c r="D3284" t="inlineStr">
        <is>
          <t>kilogram</t>
        </is>
      </c>
      <c r="E3284" t="inlineStr">
        <is>
          <t>natural resource::in air</t>
        </is>
      </c>
      <c r="F3284" t="inlineStr">
        <is>
          <t>biosphere</t>
        </is>
      </c>
      <c r="G3284" t="inlineStr">
        <is>
          <t>Electricity-only proxy: source amount / 0.29; 100% burden to electricity, before STEM efficiency adjustment.</t>
        </is>
      </c>
    </row>
    <row r="3285">
      <c r="A3285" t="inlineStr">
        <is>
          <t>Energy, gross calorific value, in biomass</t>
        </is>
      </c>
      <c r="B3285">
        <v>15.950000000000003</v>
      </c>
      <c r="D3285" t="inlineStr">
        <is>
          <t>megajoule</t>
        </is>
      </c>
      <c r="E3285" t="inlineStr">
        <is>
          <t>natural resource::biotic</t>
        </is>
      </c>
      <c r="F3285" t="inlineStr">
        <is>
          <t>biosphere</t>
        </is>
      </c>
      <c r="G3285" t="inlineStr">
        <is>
          <t>Electricity-only proxy: source amount / 0.29; 100% burden to electricity, before STEM efficiency adjustment.</t>
        </is>
      </c>
    </row>
    <row r="3286"/>
    <row r="3287"/>
    <row r="3288">
      <c r="A3288" t="inlineStr">
        <is>
          <t>Activity</t>
        </is>
      </c>
      <c r="B3288" t="inlineStr">
        <is>
          <t>electricity, used in light duty vehicle</t>
        </is>
      </c>
    </row>
    <row r="3289">
      <c r="A3289" t="inlineStr">
        <is>
          <t>location</t>
        </is>
      </c>
      <c r="B3289" t="inlineStr">
        <is>
          <t>CH</t>
        </is>
      </c>
    </row>
    <row r="3290">
      <c r="A3290" t="inlineStr">
        <is>
          <t>comment</t>
        </is>
      </c>
      <c r="B3290" t="inlineStr">
        <is>
          <t>Produces consumption of 1 MJ of purchased energy. Representative powertrain carrier: electricity. energy-specific equipment; excludes chassis, body, roads and whole-vehicle maintenance. Source transport, freight, lorry, battery electric, 3.5 metric ton [RER]; 1.44914059638977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750 kg payload, 22660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272000 km. Km per year: 22660 km/year. Tank-to-wheel efficiency: 70.8 \%. Tank-to-wheel energy consumption: 963 kj/km. Fuel consumption: 0.0 l/100km. Electricity consumption: 30.2 kWh/100km. Battery capacity: 133 kWh. Fuel tank capacity: 0.0 kWh. Power share from combustion engine: 0.0 \%. Combustion engine power: 0.0 kW. Electric motor power: 63 kW. Curb mass (excl. driver and cargo): 2459 kg. Driving mass (incl. driver and cargo): 3284 kg. Battery mass: 796 kg. Fuel cell system efficiency: 0.0 \%. Number of passengers onboard: 1.0 passenger(s). Available payload: 965 kg. Payload: 750 kg. Load factor: 77.7 \%. Autonomy on a full tank/battery: 400 km.  Carbon accounting: full-oxidation CO2 plus separately estimated pollutants; not a closed elemental carbon balance.</t>
        </is>
      </c>
    </row>
    <row r="3291">
      <c r="A3291" t="inlineStr">
        <is>
          <t>production amount</t>
        </is>
      </c>
      <c r="B3291">
        <v>1</v>
      </c>
    </row>
    <row r="3292">
      <c r="A3292" t="inlineStr">
        <is>
          <t>reference product</t>
        </is>
      </c>
      <c r="B3292" t="inlineStr">
        <is>
          <t>electricity, low voltage</t>
        </is>
      </c>
    </row>
    <row r="3293">
      <c r="A3293" t="inlineStr">
        <is>
          <t>type</t>
        </is>
      </c>
      <c r="B3293" t="inlineStr">
        <is>
          <t>process</t>
        </is>
      </c>
    </row>
    <row r="3294">
      <c r="A3294" t="inlineStr">
        <is>
          <t>unit</t>
        </is>
      </c>
      <c r="B3294" t="inlineStr">
        <is>
          <t>megajoule</t>
        </is>
      </c>
    </row>
    <row r="3295">
      <c r="A3295" t="inlineStr">
        <is>
          <t>energy use source</t>
        </is>
      </c>
      <c r="B3295" t="inlineStr">
        <is>
          <t>{"source": ["transport, freight, lorry, battery electric, 3.5 metric ton", "transport, freight, lorry", "RER", "ton kilometer"], "source unit": "ton kilometer", "purchased MJ per source service": 1.4491405963897703, "boundary": "energy-specific equipment; excludes chassis, body, roads and whole-vehicle maintenance", "retained equipment": [{"supplier": ["EV charger, level 3, plugin, 200 kW", "EV charger, level 3, plugin, 200 kW", "RER", "unit"], "amount per vehicle": 0.07202117890119553, "vehicle per source service": 4.901960892311763e-06, "replacement correction factor": 1.0, "amount per MJ": 2.4362370585116933e-07}, {"supplier": ["gearbox, for lorry", "gearbox, for lorry", "RER", "kilogram"], "amount per vehicle": 29.73600006103516, "vehicle per source service": 4.901960892311763e-06, "replacement correction factor": 1.0, "amount per MJ": 0.00010058700291477357}, {"supplier": ["power electronics, for lorry", "power electronics, for lorry", "RER", "kilogram"], "amount per vehicle": 24.0, "vehicle per source service": 4.901960892311763e-06, "replacement correction factor": 1.0, "amount per MJ": 8.118402155634537e-05}, {"supplier": ["retarder, for lorry", "retarder, for lorry", "RER", "kilogram"], "amount per vehicle": 9.911999702453613, "vehicle per source service": 4.901960892311763e-06, "replacement correction factor": 1.0, "amount per MJ": 3.3528999896270126e-05}, {"supplier": ["transmission, for lorry", "transmission, for lorry", "RER", "kilogram"], "amount per vehicle": 42.95199584960938, "vehicle per source service": 4.901960892311763e-06, "replacement correction factor": 1.0, "amount per MJ": 0.00014529232320594773}, {"supplier": ["market for converter, for electric passenger car", "converter, for electric passenger car", "GLO", "kilogram"], "amount per vehicle": 25.0, "vehicle per source service": 4.901960892311763e-06, "replacement correction factor": 1.0, "amount per MJ": 8.45666891211931e-05}, {"supplier": ["market for electric motor, electric passenger car", "electric motor, electric passenger car", "GLO", "kilogram"], "amount per vehicle": 40.44268035888672, "vehicle per source service": 4.901960892311763e-06, "replacement correction factor": 1.0, "amount per MJ": 0.0001368041430855102}, {"supplier": ["market for inverter, for electric passenger car", "inverter, for electric passenger car", "GLO", "kilogram"], "amount per vehicle": 7.489055156707764, "vehicle per source service": 4.901960892311763e-06, "replacement correction factor": 1.0, "amount per MJ": 2.533298396995094e-05}, {"supplier": ["market for power distribution unit, for electric passenger car", "power distribution unit, for electric passenger car", "GLO", "kilogram"], "amount per vehicle": 4.0, "vehicle per source service": 4.901960892311763e-06, "replacement correction factor": 1.0, "amount per MJ": 1.3530670259390896e-05}, {"supplier": ["market for battery capacity (MIX scenario)", "electricity storage capacity", "GLO", "kilowatt hour"], "amount per vehicle": 133.8035583496094, "vehicle per source service": 4.901960892311763e-06, "replacement correction factor": 1.0, "amount per MJ": 0.0004526129568904336}], "excluded": [{"supplier": "market for road", "amount per source service": 0.002351631410419941}, {"supplier": "market for road maintenance", "amount per source service": 0.00172}, {"supplier": ["assembly operation, for lorry", "assembly operation, for lorry", "RER", "kilogram"], "amount per vehicle": 2459.4013671875, "vehicle per source service": 4.901960892311763e-06}, {"supplier": ["frame, blanks and saddle, for lorry", "frame, blanks and saddle, for lorry", "RER", "kilogram"], "amount per vehicle": 703.0, "vehicle per source service": 4.901960892311763e-06}, {"supplier": ["glider lightweighting, carculator regional truck 2020", "glider lightweighting", "GLO", "kilogram"], "amount per vehicle": 35.15000152587891, "vehicle per source service": 4.901960892311763e-06}, {"supplier": ["other components, for electric lorry", "other components, for electric lorry", "RER", "kilogram"], "amount per vehicle": 119.0, "vehicle per source service": 4.901960892311763e-06}, {"supplier": ["suspension, for lorry", "suspension, for lorry", "RER", "kilogram"], "amount per vehicle": 334.0, "vehicle per source service": 4.901960892311763e-06}, {"supplier": ["tires and wheels, for lorry", "tires and wheels, for lorry", "RER", "kilogram"], "amount per vehicle": 194.0, "vehicle per source service": 4.901960892311763e-06}, {"supplier": ["maintenance, lorry 16 metric ton", "maintenance, lorry 16 metric ton", "CH", "unit"], "amount per vehicle": 0.21875, "vehicle per source service": 4.901960892311763e-06}, {"supplier": ["treatment of used lorry, 16 metric ton", "used lorry, 16 metric ton", "CH", "unit"], "amount per vehicle": -0.21875, "vehicle per source service": 4.901960892311763e-06}], "alternative fuel recipe retained": false}</t>
        </is>
      </c>
    </row>
    <row r="3296">
      <c r="A3296" t="inlineStr">
        <is>
          <t>Exchanges</t>
        </is>
      </c>
    </row>
    <row r="3297">
      <c r="A3297" t="inlineStr">
        <is>
          <t>name</t>
        </is>
      </c>
      <c r="B3297" t="inlineStr">
        <is>
          <t>amount</t>
        </is>
      </c>
      <c r="C3297" t="inlineStr">
        <is>
          <t>location</t>
        </is>
      </c>
      <c r="D3297" t="inlineStr">
        <is>
          <t>unit</t>
        </is>
      </c>
      <c r="E3297" t="inlineStr">
        <is>
          <t>categories</t>
        </is>
      </c>
      <c r="F3297" t="inlineStr">
        <is>
          <t>type</t>
        </is>
      </c>
      <c r="G3297" t="inlineStr">
        <is>
          <t>reference product</t>
        </is>
      </c>
      <c r="H3297" t="inlineStr">
        <is>
          <t>comment</t>
        </is>
      </c>
      <c r="I3297" t="inlineStr">
        <is>
          <t>uncertainty type</t>
        </is>
      </c>
    </row>
    <row r="3298">
      <c r="A3298" t="inlineStr">
        <is>
          <t>electricity, used in light duty vehicle</t>
        </is>
      </c>
      <c r="B3298">
        <v>1.0</v>
      </c>
      <c r="C3298" t="inlineStr">
        <is>
          <t>CH</t>
        </is>
      </c>
      <c r="D3298" t="inlineStr">
        <is>
          <t>megajoule</t>
        </is>
      </c>
      <c r="F3298" t="inlineStr">
        <is>
          <t>production</t>
        </is>
      </c>
      <c r="G3298" t="inlineStr">
        <is>
          <t>electricity, low voltage</t>
        </is>
      </c>
      <c r="I3298">
        <v>0</v>
      </c>
    </row>
    <row r="3299">
      <c r="A3299" t="inlineStr">
        <is>
          <t>market group for electricity, low voltage</t>
        </is>
      </c>
      <c r="B3299">
        <v>0.2777777777777778</v>
      </c>
      <c r="C3299" t="inlineStr">
        <is>
          <t>RER</t>
        </is>
      </c>
      <c r="D3299" t="inlineStr">
        <is>
          <t>kilowatt hour</t>
        </is>
      </c>
      <c r="F3299" t="inlineStr">
        <is>
          <t>technosphere</t>
        </is>
      </c>
      <c r="G3299" t="inlineStr">
        <is>
          <t>electricity, low voltage</t>
        </is>
      </c>
      <c r="H3299" t="inlineStr">
        <is>
          <t>Grid purchase including model charging losses; Premise regional electricity.</t>
        </is>
      </c>
      <c r="I3299">
        <v>0</v>
      </c>
    </row>
    <row r="3300">
      <c r="A3300" t="inlineStr">
        <is>
          <t>market for tetrafluoroethane, R134a</t>
        </is>
      </c>
      <c r="B3300">
        <v>6.900641505932311e-06</v>
      </c>
      <c r="C3300" t="inlineStr">
        <is>
          <t>GLO</t>
        </is>
      </c>
      <c r="D3300" t="inlineStr">
        <is>
          <t>kilogram</t>
        </is>
      </c>
      <c r="F3300" t="inlineStr">
        <is>
          <t>technosphere</t>
        </is>
      </c>
      <c r="G3300" t="inlineStr">
        <is>
          <t>tetrafluoroethane, R134a</t>
        </is>
      </c>
      <c r="I3300">
        <v>0</v>
      </c>
    </row>
    <row r="3301">
      <c r="A3301" t="inlineStr">
        <is>
          <t>treatment of brake wear emissions, lorry</t>
        </is>
      </c>
      <c r="B3301">
        <v>-1.0611843295291073e-05</v>
      </c>
      <c r="C3301" t="inlineStr">
        <is>
          <t>RER</t>
        </is>
      </c>
      <c r="D3301" t="inlineStr">
        <is>
          <t>kilogram</t>
        </is>
      </c>
      <c r="F3301" t="inlineStr">
        <is>
          <t>technosphere</t>
        </is>
      </c>
      <c r="G3301" t="inlineStr">
        <is>
          <t>brake wear emissions, lorry</t>
        </is>
      </c>
      <c r="I3301">
        <v>0</v>
      </c>
    </row>
    <row r="3302">
      <c r="A3302" t="inlineStr">
        <is>
          <t>treatment of road wear emissions, lorry</t>
        </is>
      </c>
      <c r="B3302">
        <v>-2.5273031099827693e-05</v>
      </c>
      <c r="C3302" t="inlineStr">
        <is>
          <t>RER</t>
        </is>
      </c>
      <c r="D3302" t="inlineStr">
        <is>
          <t>kilogram</t>
        </is>
      </c>
      <c r="F3302" t="inlineStr">
        <is>
          <t>technosphere</t>
        </is>
      </c>
      <c r="G3302" t="inlineStr">
        <is>
          <t>road wear emissions, lorry</t>
        </is>
      </c>
      <c r="I3302">
        <v>0</v>
      </c>
    </row>
    <row r="3303">
      <c r="A3303" t="inlineStr">
        <is>
          <t>treatment of tyre wear emissions, lorry</t>
        </is>
      </c>
      <c r="B3303">
        <v>-2.5271252035518102e-05</v>
      </c>
      <c r="C3303" t="inlineStr">
        <is>
          <t>RER</t>
        </is>
      </c>
      <c r="D3303" t="inlineStr">
        <is>
          <t>kilogram</t>
        </is>
      </c>
      <c r="F3303" t="inlineStr">
        <is>
          <t>technosphere</t>
        </is>
      </c>
      <c r="G3303" t="inlineStr">
        <is>
          <t>tyre wear emissions, lorry</t>
        </is>
      </c>
      <c r="I3303">
        <v>0</v>
      </c>
    </row>
    <row r="3304">
      <c r="A3304" t="inlineStr">
        <is>
          <t>1,1,1,2-Tetrafluoroethane</t>
        </is>
      </c>
      <c r="B3304">
        <v>3.1797073728827255e-06</v>
      </c>
      <c r="D3304" t="inlineStr">
        <is>
          <t>kilogram</t>
        </is>
      </c>
      <c r="E3304" t="inlineStr">
        <is>
          <t>air</t>
        </is>
      </c>
      <c r="F3304" t="inlineStr">
        <is>
          <t>biosphere</t>
        </is>
      </c>
      <c r="I3304">
        <v>0</v>
      </c>
    </row>
    <row r="3305">
      <c r="A3305" t="inlineStr">
        <is>
          <t>EV charger, level 3, plugin, 200 kW</t>
        </is>
      </c>
      <c r="B3305">
        <v>2.4362370585116933e-07</v>
      </c>
      <c r="C3305" t="inlineStr">
        <is>
          <t>RER</t>
        </is>
      </c>
      <c r="D3305" t="inlineStr">
        <is>
          <t>unit</t>
        </is>
      </c>
      <c r="F3305" t="inlineStr">
        <is>
          <t>technosphere</t>
        </is>
      </c>
      <c r="G3305" t="inlineStr">
        <is>
          <t>EV charger, level 3, plugin, 200 kW</t>
        </is>
      </c>
      <c r="H3305" t="inlineStr">
        <is>
          <t> Energy-use allocation: 0.07202117890119553 * 4.901960892311763e-06 / 1.4491405963897703 MJ per ton kilometer.</t>
        </is>
      </c>
      <c r="I3305">
        <v>0</v>
      </c>
    </row>
    <row r="3306">
      <c r="A3306" t="inlineStr">
        <is>
          <t>gearbox, for lorry</t>
        </is>
      </c>
      <c r="B3306">
        <v>0.00010058700291477357</v>
      </c>
      <c r="C3306" t="inlineStr">
        <is>
          <t>RER</t>
        </is>
      </c>
      <c r="D3306" t="inlineStr">
        <is>
          <t>kilogram</t>
        </is>
      </c>
      <c r="F3306" t="inlineStr">
        <is>
          <t>technosphere</t>
        </is>
      </c>
      <c r="G3306" t="inlineStr">
        <is>
          <t>gearbox, for lorry</t>
        </is>
      </c>
      <c r="H3306" t="inlineStr">
        <is>
          <t> Energy-use allocation: 29.73600006103516 * 4.901960892311763e-06 / 1.4491405963897703 MJ per ton kilometer.</t>
        </is>
      </c>
      <c r="I3306">
        <v>0</v>
      </c>
    </row>
    <row r="3307">
      <c r="A3307" t="inlineStr">
        <is>
          <t>power electronics, for lorry</t>
        </is>
      </c>
      <c r="B3307">
        <v>8.118402155634537e-05</v>
      </c>
      <c r="C3307" t="inlineStr">
        <is>
          <t>RER</t>
        </is>
      </c>
      <c r="D3307" t="inlineStr">
        <is>
          <t>kilogram</t>
        </is>
      </c>
      <c r="F3307" t="inlineStr">
        <is>
          <t>technosphere</t>
        </is>
      </c>
      <c r="G3307" t="inlineStr">
        <is>
          <t>power electronics, for lorry</t>
        </is>
      </c>
      <c r="H3307" t="inlineStr">
        <is>
          <t> Energy-use allocation: 24 * 4.901960892311763e-06 / 1.4491405963897703 MJ per ton kilometer.</t>
        </is>
      </c>
      <c r="I3307">
        <v>0</v>
      </c>
    </row>
    <row r="3308">
      <c r="A3308" t="inlineStr">
        <is>
          <t>retarder, for lorry</t>
        </is>
      </c>
      <c r="B3308">
        <v>3.3528999896270126e-05</v>
      </c>
      <c r="C3308" t="inlineStr">
        <is>
          <t>RER</t>
        </is>
      </c>
      <c r="D3308" t="inlineStr">
        <is>
          <t>kilogram</t>
        </is>
      </c>
      <c r="F3308" t="inlineStr">
        <is>
          <t>technosphere</t>
        </is>
      </c>
      <c r="G3308" t="inlineStr">
        <is>
          <t>retarder, for lorry</t>
        </is>
      </c>
      <c r="H3308" t="inlineStr">
        <is>
          <t> Energy-use allocation: 9.911999702453613 * 4.901960892311763e-06 / 1.4491405963897703 MJ per ton kilometer.</t>
        </is>
      </c>
      <c r="I3308">
        <v>0</v>
      </c>
    </row>
    <row r="3309">
      <c r="A3309" t="inlineStr">
        <is>
          <t>transmission, for lorry</t>
        </is>
      </c>
      <c r="B3309">
        <v>0.00014529232320594773</v>
      </c>
      <c r="C3309" t="inlineStr">
        <is>
          <t>RER</t>
        </is>
      </c>
      <c r="D3309" t="inlineStr">
        <is>
          <t>kilogram</t>
        </is>
      </c>
      <c r="F3309" t="inlineStr">
        <is>
          <t>technosphere</t>
        </is>
      </c>
      <c r="G3309" t="inlineStr">
        <is>
          <t>transmission, for lorry</t>
        </is>
      </c>
      <c r="H3309" t="inlineStr">
        <is>
          <t> Energy-use allocation: 42.95199584960938 * 4.901960892311763e-06 / 1.4491405963897703 MJ per ton kilometer.</t>
        </is>
      </c>
      <c r="I3309">
        <v>0</v>
      </c>
    </row>
    <row r="3310">
      <c r="A3310" t="inlineStr">
        <is>
          <t>market for converter, for electric passenger car</t>
        </is>
      </c>
      <c r="B3310">
        <v>8.45666891211931e-05</v>
      </c>
      <c r="C3310" t="inlineStr">
        <is>
          <t>GLO</t>
        </is>
      </c>
      <c r="D3310" t="inlineStr">
        <is>
          <t>kilogram</t>
        </is>
      </c>
      <c r="F3310" t="inlineStr">
        <is>
          <t>technosphere</t>
        </is>
      </c>
      <c r="G3310" t="inlineStr">
        <is>
          <t>converter, for electric passenger car</t>
        </is>
      </c>
      <c r="H3310" t="inlineStr">
        <is>
          <t> Energy-use allocation: 25 * 4.901960892311763e-06 / 1.4491405963897703 MJ per ton kilometer.</t>
        </is>
      </c>
      <c r="I3310">
        <v>0</v>
      </c>
    </row>
    <row r="3311">
      <c r="A3311" t="inlineStr">
        <is>
          <t>market for electric motor, electric passenger car</t>
        </is>
      </c>
      <c r="B3311">
        <v>0.0001368041430855102</v>
      </c>
      <c r="C3311" t="inlineStr">
        <is>
          <t>GLO</t>
        </is>
      </c>
      <c r="D3311" t="inlineStr">
        <is>
          <t>kilogram</t>
        </is>
      </c>
      <c r="F3311" t="inlineStr">
        <is>
          <t>technosphere</t>
        </is>
      </c>
      <c r="G3311" t="inlineStr">
        <is>
          <t>electric motor, electric passenger car</t>
        </is>
      </c>
      <c r="H3311" t="inlineStr">
        <is>
          <t> Energy-use allocation: 40.44268035888672 * 4.901960892311763e-06 / 1.4491405963897703 MJ per ton kilometer.</t>
        </is>
      </c>
      <c r="I3311">
        <v>0</v>
      </c>
    </row>
    <row r="3312">
      <c r="A3312" t="inlineStr">
        <is>
          <t>market for inverter, for electric passenger car</t>
        </is>
      </c>
      <c r="B3312">
        <v>2.533298396995094e-05</v>
      </c>
      <c r="C3312" t="inlineStr">
        <is>
          <t>GLO</t>
        </is>
      </c>
      <c r="D3312" t="inlineStr">
        <is>
          <t>kilogram</t>
        </is>
      </c>
      <c r="F3312" t="inlineStr">
        <is>
          <t>technosphere</t>
        </is>
      </c>
      <c r="G3312" t="inlineStr">
        <is>
          <t>inverter, for electric passenger car</t>
        </is>
      </c>
      <c r="H3312" t="inlineStr">
        <is>
          <t> Energy-use allocation: 7.489055156707764 * 4.901960892311763e-06 / 1.4491405963897703 MJ per ton kilometer.</t>
        </is>
      </c>
      <c r="I3312">
        <v>0</v>
      </c>
    </row>
    <row r="3313">
      <c r="A3313" t="inlineStr">
        <is>
          <t>market for power distribution unit, for electric passenger car</t>
        </is>
      </c>
      <c r="B3313">
        <v>1.3530670259390896e-05</v>
      </c>
      <c r="C3313" t="inlineStr">
        <is>
          <t>GLO</t>
        </is>
      </c>
      <c r="D3313" t="inlineStr">
        <is>
          <t>kilogram</t>
        </is>
      </c>
      <c r="F3313" t="inlineStr">
        <is>
          <t>technosphere</t>
        </is>
      </c>
      <c r="G3313" t="inlineStr">
        <is>
          <t>power distribution unit, for electric passenger car</t>
        </is>
      </c>
      <c r="H3313" t="inlineStr">
        <is>
          <t> Energy-use allocation: 4 * 4.901960892311763e-06 / 1.4491405963897703 MJ per ton kilometer.</t>
        </is>
      </c>
      <c r="I3313">
        <v>0</v>
      </c>
    </row>
    <row r="3314">
      <c r="A3314" t="inlineStr">
        <is>
          <t>market for battery capacity (MIX scenario)</t>
        </is>
      </c>
      <c r="B3314">
        <v>0.0004526129568904336</v>
      </c>
      <c r="C3314" t="inlineStr">
        <is>
          <t>GLO</t>
        </is>
      </c>
      <c r="D3314" t="inlineStr">
        <is>
          <t>kilowatt hour</t>
        </is>
      </c>
      <c r="F3314" t="inlineStr">
        <is>
          <t>technosphere</t>
        </is>
      </c>
      <c r="G3314" t="inlineStr">
        <is>
          <t>electricity storage capacity</t>
        </is>
      </c>
      <c r="H3314" t="inlineStr">
        <is>
          <t>133.80355835 kWh nominal * (1 + 0 replacements); capacity market includes manufacture and end of life, replacing kg pack and disposal exchanges. Energy-use allocation: 133.8035583496094 * 4.901960892311763e-06 / 1.4491405963897703 MJ per ton kilometer.</t>
        </is>
      </c>
      <c r="I3314">
        <v>0</v>
      </c>
    </row>
    <row r="3315"/>
    <row r="3316">
      <c r="A3316" t="inlineStr">
        <is>
          <t>Activity</t>
        </is>
      </c>
      <c r="B3316" t="inlineStr">
        <is>
          <t>hydrogen, used in light duty vehicle</t>
        </is>
      </c>
    </row>
    <row r="3317">
      <c r="A3317" t="inlineStr">
        <is>
          <t>location</t>
        </is>
      </c>
      <c r="B3317" t="inlineStr">
        <is>
          <t>CH</t>
        </is>
      </c>
    </row>
    <row r="3318">
      <c r="A3318" t="inlineStr">
        <is>
          <t>production amount</t>
        </is>
      </c>
      <c r="B3318">
        <v>1</v>
      </c>
    </row>
    <row r="3319">
      <c r="A3319" t="inlineStr">
        <is>
          <t>reference product</t>
        </is>
      </c>
      <c r="B3319" t="inlineStr">
        <is>
          <t>heat</t>
        </is>
      </c>
    </row>
    <row r="3320">
      <c r="A3320" t="inlineStr">
        <is>
          <t>type</t>
        </is>
      </c>
      <c r="B3320" t="inlineStr">
        <is>
          <t>process</t>
        </is>
      </c>
    </row>
    <row r="3321">
      <c r="A3321" t="inlineStr">
        <is>
          <t>comment</t>
        </is>
      </c>
      <c r="B3321" t="inlineStr">
        <is>
          <t>Produces consumption of 1 MJ of purchased energy. Representative powertrain carrier: hydrogen. energy-specific equipment; excludes chassis, body, roads and whole-vehicle maintenance. Source transport, freight, lorry, fuel cell electric, 3.5 metric ton [RER]; 2.57135752432557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750 kg payload, 22660 km/year; Swiss climate. Combustion factors: EURO-VI. Operating fuel blends and electricity supplied by Premise regional scenario markets. Energy-battery capacity includes replacements and end of life through Premise capacity markets. Noise retained in companion audit only. Documented motor-only proxy: Renault Master Z.E. (1 July 2020), 57 kW mechanical shaft output; source: https://www.renaultgroup.com/magazine/energies-et-motorisations/master-z-e/. This electric-commercial-vehicle motor is transferred to the FCEV; it is not a complete FCEV calibration. The original fuel-cell/battery DC shares are retained and component mass, storage and consumption are recalculated together. Regional-delivery shaft-power feasibility is checked at the stated payload; other loads and cycles may exceed the rating. Future Premise scenarios retain this baseline FCEV hardware. Manufacture year: 2020. Km over lifetime: 272000 km. Km per year: 22660 km/year. Tank-to-wheel efficiency: 34.5 \%. Tank-to-wheel energy consumption: 1928 kj/km. Fuel consumption: 17876.5 l/100km. Electricity consumption: 0.0 kWh/100km. Battery capacity: 32 kWh. Fuel tank capacity: 214 kWh. Power share from combustion engine: 0.0 \%. Combustion engine power: 0.0 kW. Electric motor power: 57 kW. Curb mass (excl. driver and cargo): 2173 kg. Driving mass (incl. driver and cargo): 2998 kg. Battery mass: 312 kg. Fuel cell system efficiency: 47.8 \%. Number of passengers onboard: 1.0 passenger(s). Available payload: 1251 kg. Payload: 750 kg. Load factor: 59.9 \%. Autonomy on a full tank/battery: 400 km.  Carbon accounting: full-oxidation CO2 plus separately estimated pollutants; not a closed elemental carbon balance.</t>
        </is>
      </c>
    </row>
    <row r="3322">
      <c r="A3322" t="inlineStr">
        <is>
          <t>unit</t>
        </is>
      </c>
      <c r="B3322" t="inlineStr">
        <is>
          <t>megajoule</t>
        </is>
      </c>
    </row>
    <row r="3323">
      <c r="A3323" t="inlineStr">
        <is>
          <t>energy use source</t>
        </is>
      </c>
      <c r="B3323" t="inlineStr">
        <is>
          <t>{"source": ["transport, freight, lorry, fuel cell electric, 3.5 metric ton", "transport, freight, lorry", "RER", "ton kilometer"], "source unit": "ton kilometer", "purchased MJ per source service": 2.57135752432557,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6.379218101501465, "vehicle per source service": 4.901960892311763e-06, "replacement correction factor": 1.0, "amount per MJ": 1.2161155094637927e-05}, {"supplier": ["fuel cell stack production, 1 kWe, proton exchange membrane (PEM), carculator regional truck 2020", "fuel cell stack, 1 kWe, proton exchange membrane (PEM)", "GLO", "unit"], "amount per vehicle": 30.07345771789551, "vehicle per source service": 4.901960892311763e-06, "replacement correction factor": 1.0, "amount per MJ": 5.7331161549921387e-05}, {"supplier": ["fuel tank, compressed hydrogen gas, 700bar, with HDPE liner", "hydrogen tank", "RER", "kilogram"], "amount per vehicle": 181.1132202148438, "vehicle per source service": 4.901960892311763e-06, "replacement correction factor": 1.0, "amount per MJ": 0.00034526895391828966}, {"supplier": ["gearbox, for lorry", "gearbox, for lorry", "RER", "kilogram"], "amount per vehicle": 29.73600006103516, "vehicle per source service": 4.901960892311763e-06, "replacement correction factor": 1.0, "amount per MJ": 5.668784212775178e-05}, {"supplier": ["power electronics, for lorry", "power electronics, for lorry", "RER", "kilogram"], "amount per vehicle": 24.0, "vehicle per source service": 4.901960892311763e-06, "replacement correction factor": 1.0, "amount per MJ": 4.575289912138509e-05}, {"supplier": ["retarder, for lorry", "retarder, for lorry", "RER", "kilogram"], "amount per vehicle": 9.911999702453613, "vehicle per source service": 4.901960892311763e-06, "replacement correction factor": 1.0, "amount per MJ": 1.88959467698983e-05}, {"supplier": ["transmission, for lorry", "transmission, for lorry", "RER", "kilogram"], "amount per vehicle": 42.95199584960938, "vehicle per source service": 4.901960892311763e-06, "replacement correction factor": 1.0, "amount per MJ": 8.188243054872205e-05}, {"supplier": ["market for converter, for electric passenger car", "converter, for electric passenger car", "GLO", "kilogram"], "amount per vehicle": 25.0, "vehicle per source service": 4.901960892311763e-06, "replacement correction factor": 1.0, "amount per MJ": 4.765926991810947e-05}, {"supplier": ["market for electric motor, electric passenger car", "electric motor, electric passenger car", "GLO", "kilogram"], "amount per vehicle": 38.31031036376953, "vehicle per source service": 4.901960892311763e-06, "replacement correction factor": 1.0, "amount per MJ": 7.303365689093755e-05}, {"supplier": ["market for inverter, for electric passenger car", "inverter, for electric passenger car", "GLO", "kilogram"], "amount per vehicle": 7.120999813079834, "vehicle per source service": 4.901960892311763e-06, "replacement correction factor": 1.0, "amount per MJ": 1.3575266087135156e-05}, {"supplier": ["market for power distribution unit, for electric passenger car", "power distribution unit, for electric passenger car", "GLO", "kilogram"], "amount per vehicle": 4.0, "vehicle per source service": 4.901960892311763e-06, "replacement correction factor": 1.0, "amount per MJ": 7.625483186897515e-06}, {"supplier": ["market for battery capacity (MIX scenario)", "electricity storage capacity", "GLO", "kilowatt hour"], "amount per vehicle": 32.85678863525391, "vehicle per source service": 4.901960892311763e-06, "coefficient limitation": "Native nominal-kWh MIX market is a manufacturing proxy; it does not reproduce the heavier high-power physical battery pack mass.", "replacement correction factor": 1.0, "amount per MJ": 6.263722232839352e-05}], "excluded": [{"supplier": "market for road", "amount per source service": 0.002146644983440638}, {"supplier": "market for road maintenance", "amount per source service": 0.00172}, {"supplier": ["assembly operation, for lorry", "assembly operation, for lorry", "RER", "kilogram"], "amount per vehicle": 2173.107421875, "vehicle per source service": 4.901960892311763e-06}, {"supplier": ["frame, blanks and saddle, for lorry", "frame, blanks and saddle, for lorry", "RER", "kilogram"], "amount per vehicle": 703.0, "vehicle per source service": 4.901960892311763e-06}, {"supplier": ["glider lightweighting, carculator regional truck 2020", "glider lightweighting", "GLO", "kilogram"], "amount per vehicle": 35.15000152587891, "vehicle per source service": 4.901960892311763e-06}, {"supplier": ["other components, for electric lorry", "other components, for electric lorry", "RER", "kilogram"], "amount per vehicle": 119.0, "vehicle per source service": 4.901960892311763e-06}, {"supplier": ["suspension, for lorry", "suspension, for lorry", "RER", "kilogram"], "amount per vehicle": 334.0, "vehicle per source service": 4.901960892311763e-06}, {"supplier": ["tires and wheels, for lorry", "tires and wheels, for lorry", "RER", "kilogram"], "amount per vehicle": 194.0, "vehicle per source service": 4.901960892311763e-06}, {"supplier": ["maintenance, lorry 16 metric ton", "maintenance, lorry 16 metric ton", "CH", "unit"], "amount per vehicle": 0.21875, "vehicle per source service": 4.901960892311763e-06}, {"supplier": ["treatment of used lorry, 16 metric ton", "used lorry, 16 metric ton", "CH", "unit"], "amount per vehicle": -0.21875, "vehicle per source service": 4.901960892311763e-06}], "alternative fuel recipe retained": false}</t>
        </is>
      </c>
    </row>
    <row r="3324">
      <c r="A3324" t="inlineStr">
        <is>
          <t>Exchanges</t>
        </is>
      </c>
    </row>
    <row r="3325">
      <c r="A3325" t="inlineStr">
        <is>
          <t>name</t>
        </is>
      </c>
      <c r="B3325" t="inlineStr">
        <is>
          <t>amount</t>
        </is>
      </c>
      <c r="C3325" t="inlineStr">
        <is>
          <t>location</t>
        </is>
      </c>
      <c r="D3325" t="inlineStr">
        <is>
          <t>unit</t>
        </is>
      </c>
      <c r="E3325" t="inlineStr">
        <is>
          <t>categories</t>
        </is>
      </c>
      <c r="F3325" t="inlineStr">
        <is>
          <t>type</t>
        </is>
      </c>
      <c r="G3325" t="inlineStr">
        <is>
          <t>reference product</t>
        </is>
      </c>
      <c r="H3325" t="inlineStr">
        <is>
          <t>comment</t>
        </is>
      </c>
      <c r="I3325" t="inlineStr">
        <is>
          <t>uncertainty type</t>
        </is>
      </c>
    </row>
    <row r="3326">
      <c r="A3326" t="inlineStr">
        <is>
          <t>hydrogen, used in light duty vehicle</t>
        </is>
      </c>
      <c r="B3326">
        <v>1.0</v>
      </c>
      <c r="C3326" t="inlineStr">
        <is>
          <t>CH</t>
        </is>
      </c>
      <c r="D3326" t="inlineStr">
        <is>
          <t>megajoule</t>
        </is>
      </c>
      <c r="F3326" t="inlineStr">
        <is>
          <t>production</t>
        </is>
      </c>
      <c r="G3326" t="inlineStr">
        <is>
          <t>heat</t>
        </is>
      </c>
      <c r="I3326">
        <v>0</v>
      </c>
    </row>
    <row r="3327">
      <c r="A3327" t="inlineStr">
        <is>
          <t>market for hydrogen, gaseous, low pressure</t>
        </is>
      </c>
      <c r="B3327">
        <v>0.008333333333333333</v>
      </c>
      <c r="C3327" t="inlineStr">
        <is>
          <t>RER</t>
        </is>
      </c>
      <c r="D3327" t="inlineStr">
        <is>
          <t>kilogram</t>
        </is>
      </c>
      <c r="F3327" t="inlineStr">
        <is>
          <t>technosphere</t>
        </is>
      </c>
      <c r="G3327" t="inlineStr">
        <is>
          <t>hydrogen, gaseous, low pressure</t>
        </is>
      </c>
      <c r="H3327" t="inlineStr">
        <is>
          <t>Model fuel energy retained: 2.57135752433 MJ/tkm; reference LHV 120.0 MJ/kg. Premise determines regional blends.</t>
        </is>
      </c>
      <c r="I3327">
        <v>0</v>
      </c>
    </row>
    <row r="3328">
      <c r="A3328" t="inlineStr">
        <is>
          <t>market for tetrafluoroethane, R134a</t>
        </is>
      </c>
      <c r="B3328">
        <v>3.888996241392611e-06</v>
      </c>
      <c r="C3328" t="inlineStr">
        <is>
          <t>GLO</t>
        </is>
      </c>
      <c r="D3328" t="inlineStr">
        <is>
          <t>kilogram</t>
        </is>
      </c>
      <c r="F3328" t="inlineStr">
        <is>
          <t>technosphere</t>
        </is>
      </c>
      <c r="G3328" t="inlineStr">
        <is>
          <t>tetrafluoroethane, R134a</t>
        </is>
      </c>
      <c r="I3328">
        <v>0</v>
      </c>
    </row>
    <row r="3329">
      <c r="A3329" t="inlineStr">
        <is>
          <t>treatment of brake wear emissions, lorry</t>
        </is>
      </c>
      <c r="B3329">
        <v>-5.523248759843096e-06</v>
      </c>
      <c r="C3329" t="inlineStr">
        <is>
          <t>RER</t>
        </is>
      </c>
      <c r="D3329" t="inlineStr">
        <is>
          <t>kilogram</t>
        </is>
      </c>
      <c r="F3329" t="inlineStr">
        <is>
          <t>technosphere</t>
        </is>
      </c>
      <c r="G3329" t="inlineStr">
        <is>
          <t>brake wear emissions, lorry</t>
        </is>
      </c>
      <c r="I3329">
        <v>0</v>
      </c>
    </row>
    <row r="3330">
      <c r="A3330" t="inlineStr">
        <is>
          <t>treatment of road wear emissions, lorry</t>
        </is>
      </c>
      <c r="B3330">
        <v>-1.32960828503763e-05</v>
      </c>
      <c r="C3330" t="inlineStr">
        <is>
          <t>RER</t>
        </is>
      </c>
      <c r="D3330" t="inlineStr">
        <is>
          <t>kilogram</t>
        </is>
      </c>
      <c r="F3330" t="inlineStr">
        <is>
          <t>technosphere</t>
        </is>
      </c>
      <c r="G3330" t="inlineStr">
        <is>
          <t>road wear emissions, lorry</t>
        </is>
      </c>
      <c r="I3330">
        <v>0</v>
      </c>
    </row>
    <row r="3331">
      <c r="A3331" t="inlineStr">
        <is>
          <t>treatment of tyre wear emissions, lorry</t>
        </is>
      </c>
      <c r="B3331">
        <v>-1.3477165149680826e-05</v>
      </c>
      <c r="C3331" t="inlineStr">
        <is>
          <t>RER</t>
        </is>
      </c>
      <c r="D3331" t="inlineStr">
        <is>
          <t>kilogram</t>
        </is>
      </c>
      <c r="F3331" t="inlineStr">
        <is>
          <t>technosphere</t>
        </is>
      </c>
      <c r="G3331" t="inlineStr">
        <is>
          <t>tyre wear emissions, lorry</t>
        </is>
      </c>
      <c r="I3331">
        <v>0</v>
      </c>
    </row>
    <row r="3332">
      <c r="A3332" t="inlineStr">
        <is>
          <t>1,1,1,2-Tetrafluoroethane</t>
        </is>
      </c>
      <c r="B3332">
        <v>1.7919884711064415e-06</v>
      </c>
      <c r="D3332" t="inlineStr">
        <is>
          <t>kilogram</t>
        </is>
      </c>
      <c r="E3332" t="inlineStr">
        <is>
          <t>air</t>
        </is>
      </c>
      <c r="F3332" t="inlineStr">
        <is>
          <t>biosphere</t>
        </is>
      </c>
      <c r="I3332">
        <v>0</v>
      </c>
    </row>
    <row r="3333">
      <c r="A3333" t="inlineStr">
        <is>
          <t>fuel cell Balance of Plant production, 1 kWe, proton exchange membrane (PEM), carculator regional truck 2020</t>
        </is>
      </c>
      <c r="B3333">
        <v>1.2161155094637927e-05</v>
      </c>
      <c r="C3333" t="inlineStr">
        <is>
          <t>GLO</t>
        </is>
      </c>
      <c r="D3333" t="inlineStr">
        <is>
          <t>unit</t>
        </is>
      </c>
      <c r="F3333" t="inlineStr">
        <is>
          <t>technosphere</t>
        </is>
      </c>
      <c r="G3333" t="inlineStr">
        <is>
          <t>fuel cell Balance of Plant, 1 kWe, proton exchange membrane (PEM)</t>
        </is>
      </c>
      <c r="H3333" t="inlineStr">
        <is>
          <t> Energy-use allocation: 6.379218101501465 * 4.901960892311763e-06 / 2.57135752432557 MJ per ton kilometer.</t>
        </is>
      </c>
      <c r="I3333">
        <v>0</v>
      </c>
    </row>
    <row r="3334">
      <c r="A3334" t="inlineStr">
        <is>
          <t>fuel cell stack production, 1 kWe, proton exchange membrane (PEM), carculator regional truck 2020</t>
        </is>
      </c>
      <c r="B3334">
        <v>5.7331161549921387e-05</v>
      </c>
      <c r="C3334" t="inlineStr">
        <is>
          <t>GLO</t>
        </is>
      </c>
      <c r="D3334" t="inlineStr">
        <is>
          <t>unit</t>
        </is>
      </c>
      <c r="F3334" t="inlineStr">
        <is>
          <t>technosphere</t>
        </is>
      </c>
      <c r="G3334" t="inlineStr">
        <is>
          <t>fuel cell stack, 1 kWe, proton exchange membrane (PEM)</t>
        </is>
      </c>
      <c r="H3334" t="inlineStr">
        <is>
          <t> Energy-use allocation: 30.07345771789551 * 4.901960892311763e-06 / 2.57135752432557 MJ per ton kilometer.</t>
        </is>
      </c>
      <c r="I3334">
        <v>0</v>
      </c>
    </row>
    <row r="3335">
      <c r="A3335" t="inlineStr">
        <is>
          <t>fuel tank, compressed hydrogen gas, 700bar, with HDPE liner</t>
        </is>
      </c>
      <c r="B3335">
        <v>0.00034526895391828966</v>
      </c>
      <c r="C3335" t="inlineStr">
        <is>
          <t>RER</t>
        </is>
      </c>
      <c r="D3335" t="inlineStr">
        <is>
          <t>kilogram</t>
        </is>
      </c>
      <c r="F3335" t="inlineStr">
        <is>
          <t>technosphere</t>
        </is>
      </c>
      <c r="G3335" t="inlineStr">
        <is>
          <t>hydrogen tank</t>
        </is>
      </c>
      <c r="H3335" t="inlineStr">
        <is>
          <t> Energy-use allocation: 181.1132202148438 * 4.901960892311763e-06 / 2.57135752432557 MJ per ton kilometer.</t>
        </is>
      </c>
      <c r="I3335">
        <v>0</v>
      </c>
    </row>
    <row r="3336">
      <c r="A3336" t="inlineStr">
        <is>
          <t>gearbox, for lorry</t>
        </is>
      </c>
      <c r="B3336">
        <v>5.668784212775178e-05</v>
      </c>
      <c r="C3336" t="inlineStr">
        <is>
          <t>RER</t>
        </is>
      </c>
      <c r="D3336" t="inlineStr">
        <is>
          <t>kilogram</t>
        </is>
      </c>
      <c r="F3336" t="inlineStr">
        <is>
          <t>technosphere</t>
        </is>
      </c>
      <c r="G3336" t="inlineStr">
        <is>
          <t>gearbox, for lorry</t>
        </is>
      </c>
      <c r="H3336" t="inlineStr">
        <is>
          <t> Energy-use allocation: 29.73600006103516 * 4.901960892311763e-06 / 2.57135752432557 MJ per ton kilometer.</t>
        </is>
      </c>
      <c r="I3336">
        <v>0</v>
      </c>
    </row>
    <row r="3337">
      <c r="A3337" t="inlineStr">
        <is>
          <t>power electronics, for lorry</t>
        </is>
      </c>
      <c r="B3337">
        <v>4.575289912138509e-05</v>
      </c>
      <c r="C3337" t="inlineStr">
        <is>
          <t>RER</t>
        </is>
      </c>
      <c r="D3337" t="inlineStr">
        <is>
          <t>kilogram</t>
        </is>
      </c>
      <c r="F3337" t="inlineStr">
        <is>
          <t>technosphere</t>
        </is>
      </c>
      <c r="G3337" t="inlineStr">
        <is>
          <t>power electronics, for lorry</t>
        </is>
      </c>
      <c r="H3337" t="inlineStr">
        <is>
          <t> Energy-use allocation: 24 * 4.901960892311763e-06 / 2.57135752432557 MJ per ton kilometer.</t>
        </is>
      </c>
      <c r="I3337">
        <v>0</v>
      </c>
    </row>
    <row r="3338">
      <c r="A3338" t="inlineStr">
        <is>
          <t>retarder, for lorry</t>
        </is>
      </c>
      <c r="B3338">
        <v>1.88959467698983e-05</v>
      </c>
      <c r="C3338" t="inlineStr">
        <is>
          <t>RER</t>
        </is>
      </c>
      <c r="D3338" t="inlineStr">
        <is>
          <t>kilogram</t>
        </is>
      </c>
      <c r="F3338" t="inlineStr">
        <is>
          <t>technosphere</t>
        </is>
      </c>
      <c r="G3338" t="inlineStr">
        <is>
          <t>retarder, for lorry</t>
        </is>
      </c>
      <c r="H3338" t="inlineStr">
        <is>
          <t> Energy-use allocation: 9.911999702453613 * 4.901960892311763e-06 / 2.57135752432557 MJ per ton kilometer.</t>
        </is>
      </c>
      <c r="I3338">
        <v>0</v>
      </c>
    </row>
    <row r="3339">
      <c r="A3339" t="inlineStr">
        <is>
          <t>transmission, for lorry</t>
        </is>
      </c>
      <c r="B3339">
        <v>8.188243054872205e-05</v>
      </c>
      <c r="C3339" t="inlineStr">
        <is>
          <t>RER</t>
        </is>
      </c>
      <c r="D3339" t="inlineStr">
        <is>
          <t>kilogram</t>
        </is>
      </c>
      <c r="F3339" t="inlineStr">
        <is>
          <t>technosphere</t>
        </is>
      </c>
      <c r="G3339" t="inlineStr">
        <is>
          <t>transmission, for lorry</t>
        </is>
      </c>
      <c r="H3339" t="inlineStr">
        <is>
          <t> Energy-use allocation: 42.95199584960938 * 4.901960892311763e-06 / 2.57135752432557 MJ per ton kilometer.</t>
        </is>
      </c>
      <c r="I3339">
        <v>0</v>
      </c>
    </row>
    <row r="3340">
      <c r="A3340" t="inlineStr">
        <is>
          <t>market for converter, for electric passenger car</t>
        </is>
      </c>
      <c r="B3340">
        <v>4.765926991810947e-05</v>
      </c>
      <c r="C3340" t="inlineStr">
        <is>
          <t>GLO</t>
        </is>
      </c>
      <c r="D3340" t="inlineStr">
        <is>
          <t>kilogram</t>
        </is>
      </c>
      <c r="F3340" t="inlineStr">
        <is>
          <t>technosphere</t>
        </is>
      </c>
      <c r="G3340" t="inlineStr">
        <is>
          <t>converter, for electric passenger car</t>
        </is>
      </c>
      <c r="H3340" t="inlineStr">
        <is>
          <t> Energy-use allocation: 25 * 4.901960892311763e-06 / 2.57135752432557 MJ per ton kilometer.</t>
        </is>
      </c>
      <c r="I3340">
        <v>0</v>
      </c>
    </row>
    <row r="3341">
      <c r="A3341" t="inlineStr">
        <is>
          <t>market for electric motor, electric passenger car</t>
        </is>
      </c>
      <c r="B3341">
        <v>7.303365689093755e-05</v>
      </c>
      <c r="C3341" t="inlineStr">
        <is>
          <t>GLO</t>
        </is>
      </c>
      <c r="D3341" t="inlineStr">
        <is>
          <t>kilogram</t>
        </is>
      </c>
      <c r="F3341" t="inlineStr">
        <is>
          <t>technosphere</t>
        </is>
      </c>
      <c r="G3341" t="inlineStr">
        <is>
          <t>electric motor, electric passenger car</t>
        </is>
      </c>
      <c r="H3341" t="inlineStr">
        <is>
          <t> Energy-use allocation: 38.31031036376953 * 4.901960892311763e-06 / 2.57135752432557 MJ per ton kilometer.</t>
        </is>
      </c>
      <c r="I3341">
        <v>0</v>
      </c>
    </row>
    <row r="3342">
      <c r="A3342" t="inlineStr">
        <is>
          <t>market for inverter, for electric passenger car</t>
        </is>
      </c>
      <c r="B3342">
        <v>1.3575266087135156e-05</v>
      </c>
      <c r="C3342" t="inlineStr">
        <is>
          <t>GLO</t>
        </is>
      </c>
      <c r="D3342" t="inlineStr">
        <is>
          <t>kilogram</t>
        </is>
      </c>
      <c r="F3342" t="inlineStr">
        <is>
          <t>technosphere</t>
        </is>
      </c>
      <c r="G3342" t="inlineStr">
        <is>
          <t>inverter, for electric passenger car</t>
        </is>
      </c>
      <c r="H3342" t="inlineStr">
        <is>
          <t> Energy-use allocation: 7.120999813079834 * 4.901960892311763e-06 / 2.57135752432557 MJ per ton kilometer.</t>
        </is>
      </c>
      <c r="I3342">
        <v>0</v>
      </c>
    </row>
    <row r="3343">
      <c r="A3343" t="inlineStr">
        <is>
          <t>market for power distribution unit, for electric passenger car</t>
        </is>
      </c>
      <c r="B3343">
        <v>7.625483186897515e-06</v>
      </c>
      <c r="C3343" t="inlineStr">
        <is>
          <t>GLO</t>
        </is>
      </c>
      <c r="D3343" t="inlineStr">
        <is>
          <t>kilogram</t>
        </is>
      </c>
      <c r="F3343" t="inlineStr">
        <is>
          <t>technosphere</t>
        </is>
      </c>
      <c r="G3343" t="inlineStr">
        <is>
          <t>power distribution unit, for electric passenger car</t>
        </is>
      </c>
      <c r="H3343" t="inlineStr">
        <is>
          <t> Energy-use allocation: 4 * 4.901960892311763e-06 / 2.57135752432557 MJ per ton kilometer.</t>
        </is>
      </c>
      <c r="I3343">
        <v>0</v>
      </c>
    </row>
    <row r="3344">
      <c r="A3344" t="inlineStr">
        <is>
          <t>market for battery capacity (MIX scenario)</t>
        </is>
      </c>
      <c r="B3344">
        <v>6.263722232839352e-05</v>
      </c>
      <c r="C3344" t="inlineStr">
        <is>
          <t>GLO</t>
        </is>
      </c>
      <c r="D3344" t="inlineStr">
        <is>
          <t>kilowatt hour</t>
        </is>
      </c>
      <c r="F3344" t="inlineStr">
        <is>
          <t>technosphere</t>
        </is>
      </c>
      <c r="G3344" t="inlineStr">
        <is>
          <t>electricity storage capacity</t>
        </is>
      </c>
      <c r="H3344" t="inlineStr">
        <is>
          <t>32.8567886353 kWh nominal * (1 + 0 replacements); capacity market includes manufacture and end of life, replacing kg pack and disposal exchanges. Energy-use allocation: 32.85678863525391 * 4.901960892311763e-06 / 2.57135752432557 MJ per ton kilometer.</t>
        </is>
      </c>
      <c r="I3344">
        <v>0</v>
      </c>
    </row>
    <row r="3345">
      <c r="A3345" t="inlineStr">
        <is>
          <t>market group for electricity, low voltage</t>
        </is>
      </c>
      <c r="B3345">
        <v>0.020421827056420448</v>
      </c>
      <c r="C3345" t="inlineStr">
        <is>
          <t>RER</t>
        </is>
      </c>
      <c r="D3345" t="inlineStr">
        <is>
          <t>kilowatt hour</t>
        </is>
      </c>
      <c r="F3345" t="inlineStr">
        <is>
          <t>technosphere</t>
        </is>
      </c>
      <c r="G3345" t="inlineStr">
        <is>
          <t>electricity, low voltage</t>
        </is>
      </c>
      <c r="H3345" t="inlineStr">
        <is>
          <t>Hydrogen tank compression, 30 to 700 bar: 2.45061924677 kWh/kg H2; model compressor assumptions and Premise delivery pressure.</t>
        </is>
      </c>
      <c r="I3345">
        <v>0</v>
      </c>
    </row>
    <row r="3346"/>
    <row r="3347">
      <c r="A3347" t="inlineStr">
        <is>
          <t>Activity</t>
        </is>
      </c>
      <c r="B3347" t="inlineStr">
        <is>
          <t>hydrogen, used in dedicated coach</t>
        </is>
      </c>
    </row>
    <row r="3348">
      <c r="A3348" t="inlineStr">
        <is>
          <t>comment</t>
        </is>
      </c>
      <c r="B3348" t="inlineStr">
        <is>
          <t>Produces consumption of 1 MJ of purchased energy. Representative powertrain carrier: hydrogen. energy-specific equipment; excludes chassis, body, roads and whole-vehicle maintenance. Source transport, passenger bus, fuel cell electric, 13m single deck coach bus [RER]; 0.301110770579026 purchased MJ per person kilometer. All retained exchanges divided by this energy; lifetime, occupancy/payload and replacement allocation are carried by source production links. Baseline source specifications: 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is>
      </c>
    </row>
    <row r="3349">
      <c r="A3349" t="inlineStr">
        <is>
          <t>description</t>
        </is>
      </c>
      <c r="B334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350">
      <c r="A3350" t="inlineStr">
        <is>
          <t>location</t>
        </is>
      </c>
      <c r="B3350" t="inlineStr">
        <is>
          <t>CH</t>
        </is>
      </c>
    </row>
    <row r="3351">
      <c r="A3351" t="inlineStr">
        <is>
          <t>production amount</t>
        </is>
      </c>
      <c r="B3351">
        <v>1</v>
      </c>
    </row>
    <row r="3352">
      <c r="A3352" t="inlineStr">
        <is>
          <t>reference product</t>
        </is>
      </c>
      <c r="B3352" t="inlineStr">
        <is>
          <t>heat</t>
        </is>
      </c>
    </row>
    <row r="3353">
      <c r="A3353" t="inlineStr">
        <is>
          <t>source</t>
        </is>
      </c>
      <c r="B3353" t="inlineStr">
        <is>
          <t>Sacchi, R., Bauer, C., and Cox, B. Does size matter? The influence of size, load factor, range autonomy and application type on the Life Cycle Assessment of current and future trucks. 2021. Environmental Science and Technology.</t>
        </is>
      </c>
    </row>
    <row r="3354">
      <c r="A3354" t="inlineStr">
        <is>
          <t>type</t>
        </is>
      </c>
      <c r="B3354" t="inlineStr">
        <is>
          <t>process</t>
        </is>
      </c>
    </row>
    <row r="3355">
      <c r="A3355" t="inlineStr">
        <is>
          <t>unit</t>
        </is>
      </c>
      <c r="B3355" t="inlineStr">
        <is>
          <t>megajoule</t>
        </is>
      </c>
    </row>
    <row r="3356">
      <c r="A3356" t="inlineStr">
        <is>
          <t>energy use source</t>
        </is>
      </c>
      <c r="B3356" t="inlineStr">
        <is>
          <t>{"source": ["transport, passenger bus, fuel cell electric, 13m single deck coach bus", "transport, passenger bus", "RER", "person kilometer"], "source unit": "person kilometer", "purchased MJ per source service": 0.3011107705790258, "boundary": "energy-specific equipment; excludes chassis, body, roads and whole-vehicle maintenance", "retained equipment": [{"supplier": ["market for battery capacity (MIX scenario)", "electricity storage capacity", "GLO", "kilowatt hour"], "amount per vehicle": 80.0, "vehicle per source service": 6.802721088435375e-08, "coefficient limitation": "Native nominal-kWh MIX market is a manufacturing proxy; it does not reproduce the heavier high-power physical battery pack mass.", "replacement correction factor": 1.0, "amount per MJ": 1.80736705641023e-05}, {"supplier": ["fuel tank, compressed hydrogen gas, 700bar, with HDPE liner", "hydrogen tank", "RER", "kilogram"], "amount per vehicle": 264.6691867960618, "vehicle per source service": 6.802721088435375e-08, "replacement correction factor": 1.0, "amount per MJ": 5.979429613276095e-05}, {"supplier": ["fuel cell system assembly, 1 kWe, proton exchange membrane (PEM)", "fuel cell system, 1 kWe, proton exchange membrane (PEM)", "GLO", "unit"], "amount per vehicle": 95.83274160265344, "vehicle per source service": 6.802721088435375e-08, "replacement correction factor": 1.0, "amount per MJ": 2.1650617512263743e-05}, {"supplier": ["gearbox, for lorry", "gearbox, for lorry", "RER", "kilogram"], "amount per vehicle": 157.6079986953735, "vehicle per source service": 6.802721088435375e-08, "replacement correction factor": 1.0, "amount per MJ": 3.5606938083595576e-05}, {"supplier": ["market for converter, for electric passenger car", "converter, for electric passenger car", "GLO", "kilogram"], "amount per vehicle": 25.0, "vehicle per source service": 6.802721088435375e-08, "replacement correction factor": 1.0, "amount per MJ": 5.648022051281969e-06}, {"supplier": ["market for electric motor, electric passenger car", "electric motor, electric passenger car", "GLO", "kilogram"], "amount per vehicle": 106.0181285212618, "vehicle per source service": 6.802721088435375e-08, "replacement correction factor": 1.0, "amount per MJ": 2.39517091089493e-05}, {"supplier": ["market for inverter, for electric passenger car", "inverter, for electric passenger car", "GLO", "kilogram"], "amount per vehicle": 14.03743863341137, "vehicle per source service": 6.802721088435375e-08, "replacement correction factor": 1.0, "amount per MJ": 3.1713505178009935e-06}, {"supplier": ["market for power distribution unit, for electric passenger car", "power distribution unit, for electric passenger car", "GLO", "kilogram"], "amount per vehicle": 36.0, "vehicle per source service": 6.802721088435375e-08, "replacement correction factor": 1.0, "amount per MJ": 8.133151753846036e-06}, {"supplier": ["power electronics, for lorry", "power electronics, for lorry", "RER", "kilogram"], "amount per vehicle": 220.0, "vehicle per source service": 6.802721088435375e-08, "replacement correction factor": 1.0, "amount per MJ": 4.970259405128133e-05}, {"supplier": ["retarder, for lorry", "retarder, for lorry", "RER", "kilogram"], "amount per vehicle": 52.53599956512451, "vehicle per source service": 6.802721088435375e-08, "replacement correction factor": 1.0, "amount per MJ": 1.1868979361198527e-05}, {"supplier": ["transmission, for lorry", "transmission, for lorry", "RER", "kilogram"], "amount per vehicle": 227.6559981155395, "vehicle per source service": 6.802721088435375e-08, "replacement correction factor": 1.0, "amount per MJ": 5.1432243898526936e-05}], "excluded": [{"supplier": ["Glider lightweighting", "Glider lightweighting", "GLO", "kilogram"], "amount per vehicle": 150.9199978894758, "vehicle per source service": 6.802721088435375e-08}, {"supplier": ["assembly operation, for lorry", "assembly operation, for lorry", "RER", "kilogram"], "amount per vehicle": 13392.0, "vehicle per source service": 6.802721088435375e-08}, {"supplier": ["frame, blanks and saddle, for lorry", "frame, blanks and saddle, for lorry", "RER", "kilogram"], "amount per vehicle": 7546.0, "vehicle per source service": 6.802721088435375e-08}, {"supplier": ["maintenance, bus", "maintenance, bus", "CH", "unit"], "amount per vehicle": 1.0, "vehicle per source service": 6.802721088435375e-08}, {"supplier": ["market group for electricity, low voltage", "electricity, low voltage", "CN", "kilowatt hour"], "amount per vehicle": 1616.029213794705, "vehicle per source service": 6.802721088435375e-08}, {"supplier": ["other components, for electric lorry", "other components, for electric lorry", "RER", "kilogram"], "amount per vehicle": 1033.0, "vehicle per source service": 6.802721088435375e-08}, {"supplier": ["suspension, for lorry", "suspension, for lorry", "RER", "kilogram"], "amount per vehicle": 2123.0, "vehicle per source service": 6.802721088435375e-08}, {"supplier": ["tires and wheels, for lorry", "tires and wheels, for lorry", "RER", "kilogram"], "amount per vehicle": 694.0, "vehicle per source service": 6.802721088435375e-08}, {"supplier": ["treatment of used bus", "used bus", "CH", "unit"], "amount per vehicle": -1.0, "vehicle per source service": 6.802721088435375e-08}, {"supplier": "market for road", "amount per source service": 0.0003918763822595928}, {"supplier": "market for road maintenance", "amount per source service": 6.142857142857142e-05}], "alternative fuel recipe retained": false}</t>
        </is>
      </c>
    </row>
    <row r="3357">
      <c r="A3357" t="inlineStr">
        <is>
          <t>Exchanges</t>
        </is>
      </c>
    </row>
    <row r="3358">
      <c r="A3358" t="inlineStr">
        <is>
          <t>name</t>
        </is>
      </c>
      <c r="B3358" t="inlineStr">
        <is>
          <t>amount</t>
        </is>
      </c>
      <c r="C3358" t="inlineStr">
        <is>
          <t>location</t>
        </is>
      </c>
      <c r="D3358" t="inlineStr">
        <is>
          <t>unit</t>
        </is>
      </c>
      <c r="E3358" t="inlineStr">
        <is>
          <t>categories</t>
        </is>
      </c>
      <c r="F3358" t="inlineStr">
        <is>
          <t>type</t>
        </is>
      </c>
      <c r="G3358" t="inlineStr">
        <is>
          <t>reference product</t>
        </is>
      </c>
      <c r="H3358" t="inlineStr">
        <is>
          <t>comment</t>
        </is>
      </c>
      <c r="I3358" t="inlineStr">
        <is>
          <t>uncertainty type</t>
        </is>
      </c>
    </row>
    <row r="3359">
      <c r="A3359" t="inlineStr">
        <is>
          <t>hydrogen, used in dedicated coach</t>
        </is>
      </c>
      <c r="B3359">
        <v>1.0</v>
      </c>
      <c r="C3359" t="inlineStr">
        <is>
          <t>CH</t>
        </is>
      </c>
      <c r="D3359" t="inlineStr">
        <is>
          <t>megajoule</t>
        </is>
      </c>
      <c r="F3359" t="inlineStr">
        <is>
          <t>production</t>
        </is>
      </c>
      <c r="G3359" t="inlineStr">
        <is>
          <t>heat</t>
        </is>
      </c>
      <c r="I3359">
        <v>0</v>
      </c>
    </row>
    <row r="3360">
      <c r="A3360" t="inlineStr">
        <is>
          <t>market for hydrogen, gaseous, low pressure</t>
        </is>
      </c>
      <c r="B3360">
        <v>0.0012945987175919265</v>
      </c>
      <c r="C3360" t="inlineStr">
        <is>
          <t>CN</t>
        </is>
      </c>
      <c r="D3360" t="inlineStr">
        <is>
          <t>kilogram</t>
        </is>
      </c>
      <c r="F3360" t="inlineStr">
        <is>
          <t>technosphere</t>
        </is>
      </c>
      <c r="G3360" t="inlineStr">
        <is>
          <t>hydrogen, gaseous, low pressure</t>
        </is>
      </c>
      <c r="I3360">
        <v>0</v>
      </c>
    </row>
    <row r="3361">
      <c r="A3361" t="inlineStr">
        <is>
          <t>market for hydrogen, gaseous, low pressure</t>
        </is>
      </c>
      <c r="B3361">
        <v>0.005469534948887208</v>
      </c>
      <c r="C3361" t="inlineStr">
        <is>
          <t>RoW</t>
        </is>
      </c>
      <c r="D3361" t="inlineStr">
        <is>
          <t>kilogram</t>
        </is>
      </c>
      <c r="F3361" t="inlineStr">
        <is>
          <t>technosphere</t>
        </is>
      </c>
      <c r="G3361" t="inlineStr">
        <is>
          <t>hydrogen, gaseous, low pressure</t>
        </is>
      </c>
      <c r="I3361">
        <v>0</v>
      </c>
    </row>
    <row r="3362">
      <c r="A3362" t="inlineStr">
        <is>
          <t>market for hydrogen, gaseous, low pressure</t>
        </is>
      </c>
      <c r="B3362">
        <v>0.0007686670431839547</v>
      </c>
      <c r="C3362" t="inlineStr">
        <is>
          <t>RER</t>
        </is>
      </c>
      <c r="D3362" t="inlineStr">
        <is>
          <t>kilogram</t>
        </is>
      </c>
      <c r="F3362" t="inlineStr">
        <is>
          <t>technosphere</t>
        </is>
      </c>
      <c r="G3362" t="inlineStr">
        <is>
          <t>hydrogen, gaseous, low pressure</t>
        </is>
      </c>
      <c r="I3362">
        <v>0</v>
      </c>
    </row>
    <row r="3363">
      <c r="A3363" t="inlineStr">
        <is>
          <t>market for hydrogen, gaseous, low pressure</t>
        </is>
      </c>
      <c r="B3363">
        <v>0.000800532623670244</v>
      </c>
      <c r="C3363" t="inlineStr">
        <is>
          <t>US</t>
        </is>
      </c>
      <c r="D3363" t="inlineStr">
        <is>
          <t>kilogram</t>
        </is>
      </c>
      <c r="F3363" t="inlineStr">
        <is>
          <t>technosphere</t>
        </is>
      </c>
      <c r="G3363" t="inlineStr">
        <is>
          <t>hydrogen, gaseous, low pressure</t>
        </is>
      </c>
      <c r="I3363">
        <v>0</v>
      </c>
    </row>
    <row r="3364">
      <c r="A3364" t="inlineStr">
        <is>
          <t>1,1,1,2-Tetrafluoroethane</t>
        </is>
      </c>
      <c r="B3364">
        <v>3.61473411282046e-06</v>
      </c>
      <c r="D3364" t="inlineStr">
        <is>
          <t>kilogram</t>
        </is>
      </c>
      <c r="E3364" t="inlineStr">
        <is>
          <t>air::unspecified</t>
        </is>
      </c>
      <c r="F3364" t="inlineStr">
        <is>
          <t>biosphere</t>
        </is>
      </c>
      <c r="I3364">
        <v>0</v>
      </c>
    </row>
    <row r="3365">
      <c r="A3365" t="inlineStr">
        <is>
          <t>market for battery capacity (MIX scenario)</t>
        </is>
      </c>
      <c r="B3365">
        <v>1.80736705641023e-05</v>
      </c>
      <c r="C3365" t="inlineStr">
        <is>
          <t>GLO</t>
        </is>
      </c>
      <c r="D3365" t="inlineStr">
        <is>
          <t>kilowatt hour</t>
        </is>
      </c>
      <c r="F3365" t="inlineStr">
        <is>
          <t>technosphere</t>
        </is>
      </c>
      <c r="G3365" t="inlineStr">
        <is>
          <t>electricity storage capacity</t>
        </is>
      </c>
      <c r="H3365" t="inlineStr">
        <is>
          <t> Energy-use allocation: 80 * 6.802721088435375e-08 / 0.3011107705790258 MJ per person kilometer.</t>
        </is>
      </c>
      <c r="I3365">
        <v>0</v>
      </c>
    </row>
    <row r="3366">
      <c r="A3366" t="inlineStr">
        <is>
          <t>fuel tank, compressed hydrogen gas, 700bar, with HDPE liner</t>
        </is>
      </c>
      <c r="B3366">
        <v>5.979429613276095e-05</v>
      </c>
      <c r="C3366" t="inlineStr">
        <is>
          <t>RER</t>
        </is>
      </c>
      <c r="D3366" t="inlineStr">
        <is>
          <t>kilogram</t>
        </is>
      </c>
      <c r="F3366" t="inlineStr">
        <is>
          <t>technosphere</t>
        </is>
      </c>
      <c r="G3366" t="inlineStr">
        <is>
          <t>hydrogen tank</t>
        </is>
      </c>
      <c r="H3366" t="inlineStr">
        <is>
          <t> Energy-use allocation: 264.6691867960618 * 6.802721088435375e-08 / 0.3011107705790258 MJ per person kilometer.</t>
        </is>
      </c>
      <c r="I3366">
        <v>0</v>
      </c>
    </row>
    <row r="3367">
      <c r="A3367" t="inlineStr">
        <is>
          <t>fuel cell system assembly, 1 kWe, proton exchange membrane (PEM)</t>
        </is>
      </c>
      <c r="B3367">
        <v>2.1650617512263743e-05</v>
      </c>
      <c r="C3367" t="inlineStr">
        <is>
          <t>GLO</t>
        </is>
      </c>
      <c r="D3367" t="inlineStr">
        <is>
          <t>unit</t>
        </is>
      </c>
      <c r="F3367" t="inlineStr">
        <is>
          <t>technosphere</t>
        </is>
      </c>
      <c r="G3367" t="inlineStr">
        <is>
          <t>fuel cell system, 1 kWe, proton exchange membrane (PEM)</t>
        </is>
      </c>
      <c r="H3367" t="inlineStr">
        <is>
          <t> Energy-use allocation: 95.83274160265344 * 6.802721088435375e-08 / 0.3011107705790258 MJ per person kilometer.</t>
        </is>
      </c>
      <c r="I3367">
        <v>0</v>
      </c>
    </row>
    <row r="3368">
      <c r="A3368" t="inlineStr">
        <is>
          <t>gearbox, for lorry</t>
        </is>
      </c>
      <c r="B3368">
        <v>3.5606938083595576e-05</v>
      </c>
      <c r="C3368" t="inlineStr">
        <is>
          <t>RER</t>
        </is>
      </c>
      <c r="D3368" t="inlineStr">
        <is>
          <t>kilogram</t>
        </is>
      </c>
      <c r="F3368" t="inlineStr">
        <is>
          <t>technosphere</t>
        </is>
      </c>
      <c r="G3368" t="inlineStr">
        <is>
          <t>gearbox, for lorry</t>
        </is>
      </c>
      <c r="H3368" t="inlineStr">
        <is>
          <t> Energy-use allocation: 157.6079986953735 * 6.802721088435375e-08 / 0.3011107705790258 MJ per person kilometer.</t>
        </is>
      </c>
      <c r="I3368">
        <v>0</v>
      </c>
    </row>
    <row r="3369">
      <c r="A3369" t="inlineStr">
        <is>
          <t>market for converter, for electric passenger car</t>
        </is>
      </c>
      <c r="B3369">
        <v>5.648022051281969e-06</v>
      </c>
      <c r="C3369" t="inlineStr">
        <is>
          <t>GLO</t>
        </is>
      </c>
      <c r="D3369" t="inlineStr">
        <is>
          <t>kilogram</t>
        </is>
      </c>
      <c r="F3369" t="inlineStr">
        <is>
          <t>technosphere</t>
        </is>
      </c>
      <c r="G3369" t="inlineStr">
        <is>
          <t>converter, for electric passenger car</t>
        </is>
      </c>
      <c r="H3369" t="inlineStr">
        <is>
          <t> Energy-use allocation: 25 * 6.802721088435375e-08 / 0.3011107705790258 MJ per person kilometer.</t>
        </is>
      </c>
      <c r="I3369">
        <v>0</v>
      </c>
    </row>
    <row r="3370">
      <c r="A3370" t="inlineStr">
        <is>
          <t>market for electric motor, electric passenger car</t>
        </is>
      </c>
      <c r="B3370">
        <v>2.39517091089493e-05</v>
      </c>
      <c r="C3370" t="inlineStr">
        <is>
          <t>GLO</t>
        </is>
      </c>
      <c r="D3370" t="inlineStr">
        <is>
          <t>kilogram</t>
        </is>
      </c>
      <c r="F3370" t="inlineStr">
        <is>
          <t>technosphere</t>
        </is>
      </c>
      <c r="G3370" t="inlineStr">
        <is>
          <t>electric motor, electric passenger car</t>
        </is>
      </c>
      <c r="H3370" t="inlineStr">
        <is>
          <t> Energy-use allocation: 106.0181285212618 * 6.802721088435375e-08 / 0.3011107705790258 MJ per person kilometer.</t>
        </is>
      </c>
      <c r="I3370">
        <v>0</v>
      </c>
    </row>
    <row r="3371">
      <c r="A3371" t="inlineStr">
        <is>
          <t>market for inverter, for electric passenger car</t>
        </is>
      </c>
      <c r="B3371">
        <v>3.1713505178009935e-06</v>
      </c>
      <c r="C3371" t="inlineStr">
        <is>
          <t>GLO</t>
        </is>
      </c>
      <c r="D3371" t="inlineStr">
        <is>
          <t>kilogram</t>
        </is>
      </c>
      <c r="F3371" t="inlineStr">
        <is>
          <t>technosphere</t>
        </is>
      </c>
      <c r="G3371" t="inlineStr">
        <is>
          <t>inverter, for electric passenger car</t>
        </is>
      </c>
      <c r="H3371" t="inlineStr">
        <is>
          <t> Energy-use allocation: 14.03743863341137 * 6.802721088435375e-08 / 0.3011107705790258 MJ per person kilometer.</t>
        </is>
      </c>
      <c r="I3371">
        <v>0</v>
      </c>
    </row>
    <row r="3372">
      <c r="A3372" t="inlineStr">
        <is>
          <t>market for power distribution unit, for electric passenger car</t>
        </is>
      </c>
      <c r="B3372">
        <v>8.133151753846036e-06</v>
      </c>
      <c r="C3372" t="inlineStr">
        <is>
          <t>GLO</t>
        </is>
      </c>
      <c r="D3372" t="inlineStr">
        <is>
          <t>kilogram</t>
        </is>
      </c>
      <c r="F3372" t="inlineStr">
        <is>
          <t>technosphere</t>
        </is>
      </c>
      <c r="G3372" t="inlineStr">
        <is>
          <t>power distribution unit, for electric passenger car</t>
        </is>
      </c>
      <c r="H3372" t="inlineStr">
        <is>
          <t> Energy-use allocation: 36 * 6.802721088435375e-08 / 0.3011107705790258 MJ per person kilometer.</t>
        </is>
      </c>
      <c r="I3372">
        <v>0</v>
      </c>
    </row>
    <row r="3373">
      <c r="A3373" t="inlineStr">
        <is>
          <t>power electronics, for lorry</t>
        </is>
      </c>
      <c r="B3373">
        <v>4.970259405128133e-05</v>
      </c>
      <c r="C3373" t="inlineStr">
        <is>
          <t>RER</t>
        </is>
      </c>
      <c r="D3373" t="inlineStr">
        <is>
          <t>kilogram</t>
        </is>
      </c>
      <c r="F3373" t="inlineStr">
        <is>
          <t>technosphere</t>
        </is>
      </c>
      <c r="G3373" t="inlineStr">
        <is>
          <t>power electronics, for lorry</t>
        </is>
      </c>
      <c r="H3373" t="inlineStr">
        <is>
          <t> Energy-use allocation: 220 * 6.802721088435375e-08 / 0.3011107705790258 MJ per person kilometer.</t>
        </is>
      </c>
      <c r="I3373">
        <v>0</v>
      </c>
    </row>
    <row r="3374">
      <c r="A3374" t="inlineStr">
        <is>
          <t>retarder, for lorry</t>
        </is>
      </c>
      <c r="B3374">
        <v>1.1868979361198527e-05</v>
      </c>
      <c r="C3374" t="inlineStr">
        <is>
          <t>RER</t>
        </is>
      </c>
      <c r="D3374" t="inlineStr">
        <is>
          <t>kilogram</t>
        </is>
      </c>
      <c r="F3374" t="inlineStr">
        <is>
          <t>technosphere</t>
        </is>
      </c>
      <c r="G3374" t="inlineStr">
        <is>
          <t>retarder, for lorry</t>
        </is>
      </c>
      <c r="H3374" t="inlineStr">
        <is>
          <t> Energy-use allocation: 52.53599956512451 * 6.802721088435375e-08 / 0.3011107705790258 MJ per person kilometer.</t>
        </is>
      </c>
      <c r="I3374">
        <v>0</v>
      </c>
    </row>
    <row r="3375">
      <c r="A3375" t="inlineStr">
        <is>
          <t>transmission, for lorry</t>
        </is>
      </c>
      <c r="B3375">
        <v>5.1432243898526936e-05</v>
      </c>
      <c r="C3375" t="inlineStr">
        <is>
          <t>RER</t>
        </is>
      </c>
      <c r="D3375" t="inlineStr">
        <is>
          <t>kilogram</t>
        </is>
      </c>
      <c r="F3375" t="inlineStr">
        <is>
          <t>technosphere</t>
        </is>
      </c>
      <c r="G3375" t="inlineStr">
        <is>
          <t>transmission, for lorry</t>
        </is>
      </c>
      <c r="H3375" t="inlineStr">
        <is>
          <t> Energy-use allocation: 227.6559981155395 * 6.802721088435375e-08 / 0.3011107705790258 MJ per person kilometer.</t>
        </is>
      </c>
      <c r="I3375">
        <v>0</v>
      </c>
    </row>
    <row r="3376">
      <c r="A3376" t="inlineStr">
        <is>
          <t>market for refrigerant R134a</t>
        </is>
      </c>
      <c r="B3376">
        <v>5.309140728205051e-06</v>
      </c>
      <c r="C3376" t="inlineStr">
        <is>
          <t>GLO</t>
        </is>
      </c>
      <c r="D3376" t="inlineStr">
        <is>
          <t>kilogram</t>
        </is>
      </c>
      <c r="F3376" t="inlineStr">
        <is>
          <t>technosphere</t>
        </is>
      </c>
      <c r="G3376" t="inlineStr">
        <is>
          <t>refrigerant R134a</t>
        </is>
      </c>
      <c r="I3376">
        <v>0</v>
      </c>
    </row>
    <row r="3377">
      <c r="A3377" t="inlineStr">
        <is>
          <t>treatment of brake wear emissions, lorry</t>
        </is>
      </c>
      <c r="B3377">
        <v>-6.976567328559644e-06</v>
      </c>
      <c r="C3377" t="inlineStr">
        <is>
          <t>RER</t>
        </is>
      </c>
      <c r="D3377" t="inlineStr">
        <is>
          <t>kilogram</t>
        </is>
      </c>
      <c r="F3377" t="inlineStr">
        <is>
          <t>technosphere</t>
        </is>
      </c>
      <c r="G3377" t="inlineStr">
        <is>
          <t>brake wear emissions, lorry</t>
        </is>
      </c>
      <c r="I3377">
        <v>0</v>
      </c>
    </row>
    <row r="3378">
      <c r="A3378" t="inlineStr">
        <is>
          <t>treatment of road wear emissions, lorry</t>
        </is>
      </c>
      <c r="B3378">
        <v>-1.413092512481602e-05</v>
      </c>
      <c r="C3378" t="inlineStr">
        <is>
          <t>RER</t>
        </is>
      </c>
      <c r="D3378" t="inlineStr">
        <is>
          <t>kilogram</t>
        </is>
      </c>
      <c r="F3378" t="inlineStr">
        <is>
          <t>technosphere</t>
        </is>
      </c>
      <c r="G3378" t="inlineStr">
        <is>
          <t>road wear emissions, lorry</t>
        </is>
      </c>
      <c r="I3378">
        <v>0</v>
      </c>
    </row>
    <row r="3379">
      <c r="A3379" t="inlineStr">
        <is>
          <t>treatment of tyre wear emissions, lorry</t>
        </is>
      </c>
      <c r="B3379">
        <v>-1.1899051805640736e-05</v>
      </c>
      <c r="C3379" t="inlineStr">
        <is>
          <t>RER</t>
        </is>
      </c>
      <c r="D3379" t="inlineStr">
        <is>
          <t>kilogram</t>
        </is>
      </c>
      <c r="F3379" t="inlineStr">
        <is>
          <t>technosphere</t>
        </is>
      </c>
      <c r="G3379" t="inlineStr">
        <is>
          <t>tyre wear emissions, lorry</t>
        </is>
      </c>
      <c r="I3379">
        <v>0</v>
      </c>
    </row>
    <row r="3380"/>
    <row r="3381">
      <c r="A3381" t="inlineStr">
        <is>
          <t>Activity</t>
        </is>
      </c>
      <c r="B3381" t="inlineStr">
        <is>
          <t>petrol, burned in light duty vehicle</t>
        </is>
      </c>
    </row>
    <row r="3382">
      <c r="A3382" t="inlineStr">
        <is>
          <t>location</t>
        </is>
      </c>
      <c r="B3382" t="inlineStr">
        <is>
          <t>CH</t>
        </is>
      </c>
    </row>
    <row r="3383">
      <c r="A3383" t="inlineStr">
        <is>
          <t>production amount</t>
        </is>
      </c>
      <c r="B3383">
        <v>1</v>
      </c>
    </row>
    <row r="3384">
      <c r="A3384" t="inlineStr">
        <is>
          <t>reference product</t>
        </is>
      </c>
      <c r="B3384" t="inlineStr">
        <is>
          <t>heat</t>
        </is>
      </c>
    </row>
    <row r="3385">
      <c r="A3385" t="inlineStr">
        <is>
          <t>type</t>
        </is>
      </c>
      <c r="B3385" t="inlineStr">
        <is>
          <t>process</t>
        </is>
      </c>
    </row>
    <row r="3386">
      <c r="A3386" t="inlineStr">
        <is>
          <t>unit</t>
        </is>
      </c>
      <c r="B3386" t="inlineStr">
        <is>
          <t>megajoule</t>
        </is>
      </c>
    </row>
    <row r="3387">
      <c r="A3387" t="inlineStr">
        <is>
          <t>energy use source</t>
        </is>
      </c>
      <c r="B3387" t="inlineStr">
        <is>
          <t>{"source": ["transport, freight, lorry, gasoline, 3.5 metric ton", "transport, freight, lorry", "RER", "ton kilometer"], "source unit": "ton kilometer", "purchased MJ per source service": 3.9910248862093187, "boundary": "energy-specific equipment; excludes chassis, body, roads and whole-vehicle maintenance", "retained equipment": [{"supplier": ["exhaust system, for lorry", "exhaust system, for lorry", "RER", "kilogram"], "amount per vehicle": 44.0, "vehicle per source service": 4.901960892311763e-06, "replacement correction factor": 1.0, "amount per MJ": 5.404282995252799e-05}, {"supplier": ["fuel tank, for diesel vehicle", "fuel tank", "RER", "kilogram"], "amount per vehicle": 30.33377456665039, "vehicle per source service": 4.901960892311763e-06, "replacement correction factor": 1.0, "amount per MJ": 3.725734138008649e-05}, {"supplier": ["gearbox, for lorry", "gearbox, for lorry", "RER", "kilogram"], "amount per vehicle": 29.73600006103516, "vehicle per source service": 4.901960892311763e-06, "replacement correction factor": 1.0, "amount per MJ": 3.652312715379284e-05}, {"supplier": ["internal combustion engine, for lorry", "internal combustion engine, for lorry", "RER", "kilogram"], "amount per vehicle": 444.209716796875, "vehicle per source service": 4.901960892311763e-06, "replacement correction factor": 1.0, "amount per MJ": 0.0005455988679116848}, {"supplier": ["lead acid battery, for lorry", "lead acid battery, for lorry", "RER", "kilogram"], "amount per vehicle": 38.41129684448242, "vehicle per source service": 4.901960892311763e-06, "replacement correction factor": 1.0, "amount per MJ": 4.7178526900509966e-05}, {"supplier": ["power electronics, for lorry", "power electronics, for lorry", "RER", "kilogram"], "amount per vehicle": 24.0, "vehicle per source service": 4.901960892311763e-06, "replacement correction factor": 1.0, "amount per MJ": 2.9477907246833448e-05}, {"supplier": ["retarder, for lorry", "retarder, for lorry", "RER", "kilogram"], "amount per vehicle": 9.911999702453613, "vehicle per source service": 4.901960892311763e-06, "replacement correction factor": 1.0, "amount per MJ": 1.2174375327482016e-05}, {"supplier": ["transmission, for lorry", "transmission, for lorry", "RER", "kilogram"], "amount per vehicle": 42.95199584960938, "vehicle per source service": 4.901960892311763e-06, "replacement correction factor": 1.0, "amount per MJ": 5.275562290504836e-05}], "excluded": [{"supplier": "market for road", "amount per source service": 0.002118049344668786}, {"supplier": "market for road maintenance", "amount per source service": 0.00172}, {"supplier": ["assembly operation, for lorry", "assembly operation, for lorry", "RER", "kilogram"], "amount per vehicle": 2133.16943359375, "vehicle per source service": 4.901960892311763e-06}, {"supplier": ["frame, blanks and saddle, for lorry", "frame, blanks and saddle, for lorry", "RER", "kilogram"], "amount per vehicle": 703.0, "vehicle per source service": 4.901960892311763e-06}, {"supplier": ["glider lightweighting, carculator regional truck 2020", "glider lightweighting", "GLO", "kilogram"], "amount per vehicle": 35.15000152587891, "vehicle per source service": 4.901960892311763e-06}, {"supplier": ["other components, for hybrid electric lorry", "other components, for hybrid electric lorry", "RER", "kilogram"], "amount per vehicle": 119.0, "vehicle per source service": 4.901960892311763e-06}, {"supplier": ["suspension, for lorry", "suspension, for lorry", "RER", "kilogram"], "amount per vehicle": 334.0, "vehicle per source service": 4.901960892311763e-06}, {"supplier": ["tires and wheels, for lorry", "tires and wheels, for lorry", "RER", "kilogram"], "amount per vehicle": 194.0, "vehicle per source service": 4.901960892311763e-06}, {"supplier": ["maintenance, lorry 16 metric ton", "maintenance, lorry 16 metric ton", "CH", "unit"], "amount per vehicle": 0.21875, "vehicle per source service": 4.901960892311763e-06}, {"supplier": ["treatment of used lorry, 16 metric ton", "used lorry, 16 metric ton", "CH", "unit"], "amount per vehicle": -0.21875, "vehicle per source service": 4.901960892311763e-06}], "alternative fuel recipe retained": false}</t>
        </is>
      </c>
    </row>
    <row r="3388">
      <c r="A3388" t="inlineStr">
        <is>
          <t>comment</t>
        </is>
      </c>
      <c r="B3388" t="inlineStr">
        <is>
          <t>Produces consumption of 1 MJ of purchased energy. Representative powertrain carrier: gasoline. energy-specific equipment; excludes chassis, body, roads and whole-vehicle maintenance. Source transport, freight, lorry, gasoline, 3.5 metric ton [RER]; 3.99102488620932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750 kg payload, 22660 km/year; Swiss climate. Combustion factors: EURO-VI. Operating fuel blends and electricity supplied by Premise regional scenario markets. Energy-battery capacity includes replacements and end of life through Premise capacity markets. Noise retained in companion audit only. Explicit gasoline proxy: diesel vehicle manufacture (including tank), efficiency, maintenance and non-CO2 combustion factors. Fuel energy preserved with target-fuel-specific LHV and CO2; this is not an independently modelled gasoline/LPG vehicle. Manufacture year: 2020. Km over lifetime: 272000 km. Km per year: 22660 km/year. Tank-to-wheel efficiency: 22.2 \%. Tank-to-wheel energy consumption: 2993 kj/km. Fuel consumption: 8.4 l/100km. Electricity consumption: 0.0 kWh/100km. Battery capacity: 0.0 kWh. Fuel tank capacity: 332 kWh. Power share from combustion engine: 100.0 \%. Combustion engine power: 140 kW. Electric motor power: 0.0 kW. Curb mass (excl. driver and cargo): 2133 kg. Driving mass (incl. driver and cargo): 2958 kg. Battery mass: 0.0 kg. Fuel cell system efficiency: 0.0 \%. Number of passengers onboard: 1.0 passenger(s). Available payload: 1291 kg. Payload: 750 kg. Load factor: 58.1 \%. Autonomy on a full tank/battery: 400 km.  Carbon accounting: full-oxidation CO2 plus separately estimated pollutants; not a closed elemental carbon balance.</t>
        </is>
      </c>
    </row>
    <row r="3389">
      <c r="A3389" t="inlineStr">
        <is>
          <t>Exchanges</t>
        </is>
      </c>
    </row>
    <row r="3390">
      <c r="A3390" t="inlineStr">
        <is>
          <t>name</t>
        </is>
      </c>
      <c r="B3390" t="inlineStr">
        <is>
          <t>amount</t>
        </is>
      </c>
      <c r="C3390" t="inlineStr">
        <is>
          <t>location</t>
        </is>
      </c>
      <c r="D3390" t="inlineStr">
        <is>
          <t>unit</t>
        </is>
      </c>
      <c r="E3390" t="inlineStr">
        <is>
          <t>categories</t>
        </is>
      </c>
      <c r="F3390" t="inlineStr">
        <is>
          <t>type</t>
        </is>
      </c>
      <c r="G3390" t="inlineStr">
        <is>
          <t>reference product</t>
        </is>
      </c>
      <c r="H3390" t="inlineStr">
        <is>
          <t>comment</t>
        </is>
      </c>
      <c r="I3390" t="inlineStr">
        <is>
          <t>uncertainty type</t>
        </is>
      </c>
    </row>
    <row r="3391">
      <c r="A3391" t="inlineStr">
        <is>
          <t>petrol, burned in light duty vehicle</t>
        </is>
      </c>
      <c r="B3391">
        <v>1.0</v>
      </c>
      <c r="C3391" t="inlineStr">
        <is>
          <t>CH</t>
        </is>
      </c>
      <c r="D3391" t="inlineStr">
        <is>
          <t>megajoule</t>
        </is>
      </c>
      <c r="F3391" t="inlineStr">
        <is>
          <t>production</t>
        </is>
      </c>
      <c r="G3391" t="inlineStr">
        <is>
          <t>heat</t>
        </is>
      </c>
      <c r="I3391">
        <v>0</v>
      </c>
    </row>
    <row r="3392">
      <c r="A3392" t="inlineStr">
        <is>
          <t>market for petrol, low-sulfur</t>
        </is>
      </c>
      <c r="B3392">
        <v>0.023474178403755867</v>
      </c>
      <c r="C3392" t="inlineStr">
        <is>
          <t>Europe without Switzerland</t>
        </is>
      </c>
      <c r="D3392" t="inlineStr">
        <is>
          <t>kilogram</t>
        </is>
      </c>
      <c r="F3392" t="inlineStr">
        <is>
          <t>technosphere</t>
        </is>
      </c>
      <c r="G3392" t="inlineStr">
        <is>
          <t>petrol, low-sulfur</t>
        </is>
      </c>
      <c r="H3392" t="inlineStr">
        <is>
          <t>Model fuel energy retained: 3.99102488621 MJ/tkm; reference LHV 42.6 MJ/kg. Premise determines regional blends.</t>
        </is>
      </c>
      <c r="I3392">
        <v>0</v>
      </c>
    </row>
    <row r="3393">
      <c r="A3393" t="inlineStr">
        <is>
          <t>market for tetrafluoroethane, R134a</t>
        </is>
      </c>
      <c r="B3393">
        <v>2.5056219974806436e-06</v>
      </c>
      <c r="C3393" t="inlineStr">
        <is>
          <t>GLO</t>
        </is>
      </c>
      <c r="D3393" t="inlineStr">
        <is>
          <t>kilogram</t>
        </is>
      </c>
      <c r="F3393" t="inlineStr">
        <is>
          <t>technosphere</t>
        </is>
      </c>
      <c r="G3393" t="inlineStr">
        <is>
          <t>tetrafluoroethane, R134a</t>
        </is>
      </c>
      <c r="I3393">
        <v>0</v>
      </c>
    </row>
    <row r="3394">
      <c r="A3394" t="inlineStr">
        <is>
          <t>treatment of brake wear emissions, lorry</t>
        </is>
      </c>
      <c r="B3394">
        <v>-6.146224928097693e-06</v>
      </c>
      <c r="C3394" t="inlineStr">
        <is>
          <t>RER</t>
        </is>
      </c>
      <c r="D3394" t="inlineStr">
        <is>
          <t>kilogram</t>
        </is>
      </c>
      <c r="F3394" t="inlineStr">
        <is>
          <t>technosphere</t>
        </is>
      </c>
      <c r="G3394" t="inlineStr">
        <is>
          <t>brake wear emissions, lorry</t>
        </is>
      </c>
      <c r="I3394">
        <v>0</v>
      </c>
    </row>
    <row r="3395">
      <c r="A3395" t="inlineStr">
        <is>
          <t>treatment of road wear emissions, lorry</t>
        </is>
      </c>
      <c r="B3395">
        <v>-8.480316063832114e-06</v>
      </c>
      <c r="C3395" t="inlineStr">
        <is>
          <t>RER</t>
        </is>
      </c>
      <c r="D3395" t="inlineStr">
        <is>
          <t>kilogram</t>
        </is>
      </c>
      <c r="F3395" t="inlineStr">
        <is>
          <t>technosphere</t>
        </is>
      </c>
      <c r="G3395" t="inlineStr">
        <is>
          <t>road wear emissions, lorry</t>
        </is>
      </c>
      <c r="I3395">
        <v>0</v>
      </c>
    </row>
    <row r="3396">
      <c r="A3396" t="inlineStr">
        <is>
          <t>treatment of tyre wear emissions, lorry</t>
        </is>
      </c>
      <c r="B3396">
        <v>-8.613245941385969e-06</v>
      </c>
      <c r="C3396" t="inlineStr">
        <is>
          <t>RER</t>
        </is>
      </c>
      <c r="D3396" t="inlineStr">
        <is>
          <t>kilogram</t>
        </is>
      </c>
      <c r="F3396" t="inlineStr">
        <is>
          <t>technosphere</t>
        </is>
      </c>
      <c r="G3396" t="inlineStr">
        <is>
          <t>tyre wear emissions, lorry</t>
        </is>
      </c>
      <c r="I3396">
        <v>0</v>
      </c>
    </row>
    <row r="3397">
      <c r="A3397" t="inlineStr">
        <is>
          <t>Toluene</t>
        </is>
      </c>
      <c r="B3397">
        <v>9.243643685354034e-11</v>
      </c>
      <c r="D3397" t="inlineStr">
        <is>
          <t>kilogram</t>
        </is>
      </c>
      <c r="E3397" t="inlineStr">
        <is>
          <t>air::non-urban air or from high stacks</t>
        </is>
      </c>
      <c r="F3397" t="inlineStr">
        <is>
          <t>biosphere</t>
        </is>
      </c>
      <c r="I3397">
        <v>0</v>
      </c>
    </row>
    <row r="3398">
      <c r="A3398" t="inlineStr">
        <is>
          <t>NMVOC, non-methane volatile organic compounds</t>
        </is>
      </c>
      <c r="B3398">
        <v>7.515082108670604e-07</v>
      </c>
      <c r="D3398" t="inlineStr">
        <is>
          <t>kilogram</t>
        </is>
      </c>
      <c r="E3398" t="inlineStr">
        <is>
          <t>air::non-urban air or from high stacks</t>
        </is>
      </c>
      <c r="F3398" t="inlineStr">
        <is>
          <t>biosphere</t>
        </is>
      </c>
      <c r="I3398">
        <v>0</v>
      </c>
    </row>
    <row r="3399">
      <c r="A3399" t="inlineStr">
        <is>
          <t>Dinitrogen monoxide</t>
        </is>
      </c>
      <c r="B3399">
        <v>1.748552116484618e-05</v>
      </c>
      <c r="D3399" t="inlineStr">
        <is>
          <t>kilogram</t>
        </is>
      </c>
      <c r="E3399" t="inlineStr">
        <is>
          <t>air::non-urban air or from high stacks</t>
        </is>
      </c>
      <c r="F3399" t="inlineStr">
        <is>
          <t>biosphere</t>
        </is>
      </c>
      <c r="I3399">
        <v>0</v>
      </c>
    </row>
    <row r="3400">
      <c r="A3400" t="inlineStr">
        <is>
          <t>Ethane</t>
        </is>
      </c>
      <c r="B3400">
        <v>7.694601061708916e-11</v>
      </c>
      <c r="D3400" t="inlineStr">
        <is>
          <t>kilogram</t>
        </is>
      </c>
      <c r="E3400" t="inlineStr">
        <is>
          <t>air::urban air close to ground</t>
        </is>
      </c>
      <c r="F3400" t="inlineStr">
        <is>
          <t>biosphere</t>
        </is>
      </c>
      <c r="I3400">
        <v>0</v>
      </c>
    </row>
    <row r="3401">
      <c r="A3401" t="inlineStr">
        <is>
          <t>Pentane</t>
        </is>
      </c>
      <c r="B3401">
        <v>1.5389202123417832e-10</v>
      </c>
      <c r="D3401" t="inlineStr">
        <is>
          <t>kilogram</t>
        </is>
      </c>
      <c r="E3401" t="inlineStr">
        <is>
          <t>air::urban air close to ground</t>
        </is>
      </c>
      <c r="F3401" t="inlineStr">
        <is>
          <t>biosphere</t>
        </is>
      </c>
      <c r="I3401">
        <v>0</v>
      </c>
    </row>
    <row r="3402">
      <c r="A3402" t="inlineStr">
        <is>
          <t>Selenium IV</t>
        </is>
      </c>
      <c r="B3402">
        <v>1.823912502533892e-12</v>
      </c>
      <c r="D3402" t="inlineStr">
        <is>
          <t>kilogram</t>
        </is>
      </c>
      <c r="E3402" t="inlineStr">
        <is>
          <t>air::non-urban air or from high stacks</t>
        </is>
      </c>
      <c r="F3402" t="inlineStr">
        <is>
          <t>biosphere</t>
        </is>
      </c>
      <c r="I3402">
        <v>0</v>
      </c>
    </row>
    <row r="3403">
      <c r="A3403" t="inlineStr">
        <is>
          <t>Arsenic ion</t>
        </is>
      </c>
      <c r="B3403">
        <v>1.823912502533892e-12</v>
      </c>
      <c r="D3403" t="inlineStr">
        <is>
          <t>kilogram</t>
        </is>
      </c>
      <c r="E3403" t="inlineStr">
        <is>
          <t>air::non-urban air or from high stacks</t>
        </is>
      </c>
      <c r="F3403" t="inlineStr">
        <is>
          <t>biosphere</t>
        </is>
      </c>
      <c r="I3403">
        <v>0</v>
      </c>
    </row>
    <row r="3404">
      <c r="A3404" t="inlineStr">
        <is>
          <t>Arsenic ion</t>
        </is>
      </c>
      <c r="B3404">
        <v>5.060875675214197e-13</v>
      </c>
      <c r="D3404" t="inlineStr">
        <is>
          <t>kilogram</t>
        </is>
      </c>
      <c r="E3404" t="inlineStr">
        <is>
          <t>air::urban air close to ground</t>
        </is>
      </c>
      <c r="F3404" t="inlineStr">
        <is>
          <t>biosphere</t>
        </is>
      </c>
      <c r="I3404">
        <v>0</v>
      </c>
    </row>
    <row r="3405">
      <c r="A3405" t="inlineStr">
        <is>
          <t>Particulate Matter, &lt; 2.5 um</t>
        </is>
      </c>
      <c r="B3405">
        <v>1.3079756711442602e-07</v>
      </c>
      <c r="D3405" t="inlineStr">
        <is>
          <t>kilogram</t>
        </is>
      </c>
      <c r="E3405" t="inlineStr">
        <is>
          <t>air::urban air close to ground</t>
        </is>
      </c>
      <c r="F3405" t="inlineStr">
        <is>
          <t>biosphere</t>
        </is>
      </c>
      <c r="I3405">
        <v>0</v>
      </c>
    </row>
    <row r="3406">
      <c r="A3406" t="inlineStr">
        <is>
          <t>Nickel II</t>
        </is>
      </c>
      <c r="B3406">
        <v>3.63999713773777e-12</v>
      </c>
      <c r="D3406" t="inlineStr">
        <is>
          <t>kilogram</t>
        </is>
      </c>
      <c r="E3406" t="inlineStr">
        <is>
          <t>air::non-urban air or from high stacks</t>
        </is>
      </c>
      <c r="F3406" t="inlineStr">
        <is>
          <t>biosphere</t>
        </is>
      </c>
      <c r="I3406">
        <v>0</v>
      </c>
    </row>
    <row r="3407">
      <c r="A3407" t="inlineStr">
        <is>
          <t>Methane, fossil</t>
        </is>
      </c>
      <c r="B3407">
        <v>2.2730256281595843e-08</v>
      </c>
      <c r="D3407" t="inlineStr">
        <is>
          <t>kilogram</t>
        </is>
      </c>
      <c r="E3407" t="inlineStr">
        <is>
          <t>air::non-urban air or from high stacks</t>
        </is>
      </c>
      <c r="F3407" t="inlineStr">
        <is>
          <t>biosphere</t>
        </is>
      </c>
      <c r="I3407">
        <v>0</v>
      </c>
    </row>
    <row r="3408">
      <c r="A3408" t="inlineStr">
        <is>
          <t>Mercury II</t>
        </is>
      </c>
      <c r="B3408">
        <v>9.628379510673034e-11</v>
      </c>
      <c r="D3408" t="inlineStr">
        <is>
          <t>kilogram</t>
        </is>
      </c>
      <c r="E3408" t="inlineStr">
        <is>
          <t>air::non-urban air or from high stacks</t>
        </is>
      </c>
      <c r="F3408" t="inlineStr">
        <is>
          <t>biosphere</t>
        </is>
      </c>
      <c r="I3408">
        <v>0</v>
      </c>
    </row>
    <row r="3409">
      <c r="A3409" t="inlineStr">
        <is>
          <t>Ammonia</t>
        </is>
      </c>
      <c r="B3409">
        <v>7.217503800183741e-06</v>
      </c>
      <c r="D3409" t="inlineStr">
        <is>
          <t>kilogram</t>
        </is>
      </c>
      <c r="E3409" t="inlineStr">
        <is>
          <t>air::non-urban air or from high stacks</t>
        </is>
      </c>
      <c r="F3409" t="inlineStr">
        <is>
          <t>biosphere</t>
        </is>
      </c>
      <c r="I3409">
        <v>0</v>
      </c>
    </row>
    <row r="3410">
      <c r="A3410" t="inlineStr">
        <is>
          <t>Ethane</t>
        </is>
      </c>
      <c r="B3410">
        <v>2.773093012879567e-10</v>
      </c>
      <c r="D3410" t="inlineStr">
        <is>
          <t>kilogram</t>
        </is>
      </c>
      <c r="E3410" t="inlineStr">
        <is>
          <t>air::non-urban air or from high stacks</t>
        </is>
      </c>
      <c r="F3410" t="inlineStr">
        <is>
          <t>biosphere</t>
        </is>
      </c>
      <c r="I3410">
        <v>0</v>
      </c>
    </row>
    <row r="3411">
      <c r="A3411" t="inlineStr">
        <is>
          <t>Nickel II</t>
        </is>
      </c>
      <c r="B3411">
        <v>1.0100030858631943e-12</v>
      </c>
      <c r="D3411" t="inlineStr">
        <is>
          <t>kilogram</t>
        </is>
      </c>
      <c r="E3411" t="inlineStr">
        <is>
          <t>air::urban air close to ground</t>
        </is>
      </c>
      <c r="F3411" t="inlineStr">
        <is>
          <t>biosphere</t>
        </is>
      </c>
      <c r="I3411">
        <v>0</v>
      </c>
    </row>
    <row r="3412">
      <c r="A3412" t="inlineStr">
        <is>
          <t>Cadmium II</t>
        </is>
      </c>
      <c r="B3412">
        <v>9.080423176019399e-13</v>
      </c>
      <c r="D3412" t="inlineStr">
        <is>
          <t>kilogram</t>
        </is>
      </c>
      <c r="E3412" t="inlineStr">
        <is>
          <t>air::non-urban air or from high stacks</t>
        </is>
      </c>
      <c r="F3412" t="inlineStr">
        <is>
          <t>biosphere</t>
        </is>
      </c>
      <c r="I3412">
        <v>0</v>
      </c>
    </row>
    <row r="3413">
      <c r="A3413" t="inlineStr">
        <is>
          <t>Ammonia</t>
        </is>
      </c>
      <c r="B3413">
        <v>2.0026667395187476e-06</v>
      </c>
      <c r="D3413" t="inlineStr">
        <is>
          <t>kilogram</t>
        </is>
      </c>
      <c r="E3413" t="inlineStr">
        <is>
          <t>air::urban air close to ground</t>
        </is>
      </c>
      <c r="F3413" t="inlineStr">
        <is>
          <t>biosphere</t>
        </is>
      </c>
      <c r="I3413">
        <v>0</v>
      </c>
    </row>
    <row r="3414">
      <c r="A3414" t="inlineStr">
        <is>
          <t>Butane</t>
        </is>
      </c>
      <c r="B3414">
        <v>1.386546543530441e-09</v>
      </c>
      <c r="D3414" t="inlineStr">
        <is>
          <t>kilogram</t>
        </is>
      </c>
      <c r="E3414" t="inlineStr">
        <is>
          <t>air::non-urban air or from high stacks</t>
        </is>
      </c>
      <c r="F3414" t="inlineStr">
        <is>
          <t>biosphere</t>
        </is>
      </c>
      <c r="I3414">
        <v>0</v>
      </c>
    </row>
    <row r="3415">
      <c r="A3415" t="inlineStr">
        <is>
          <t>PAH, polycyclic aromatic hydrocarbons</t>
        </is>
      </c>
      <c r="B3415">
        <v>3.95313042263028e-10</v>
      </c>
      <c r="D3415" t="inlineStr">
        <is>
          <t>kilogram</t>
        </is>
      </c>
      <c r="E3415" t="inlineStr">
        <is>
          <t>air::urban air close to ground</t>
        </is>
      </c>
      <c r="F3415" t="inlineStr">
        <is>
          <t>biosphere</t>
        </is>
      </c>
      <c r="I3415">
        <v>0</v>
      </c>
    </row>
    <row r="3416">
      <c r="A3416" t="inlineStr">
        <is>
          <t>Copper ion</t>
        </is>
      </c>
      <c r="B3416">
        <v>1.0411174125438981e-10</v>
      </c>
      <c r="D3416" t="inlineStr">
        <is>
          <t>kilogram</t>
        </is>
      </c>
      <c r="E3416" t="inlineStr">
        <is>
          <t>air::non-urban air or from high stacks</t>
        </is>
      </c>
      <c r="F3416" t="inlineStr">
        <is>
          <t>biosphere</t>
        </is>
      </c>
      <c r="I3416">
        <v>0</v>
      </c>
    </row>
    <row r="3417">
      <c r="A3417" t="inlineStr">
        <is>
          <t>Nitrogen oxides</t>
        </is>
      </c>
      <c r="B3417">
        <v>0.00015431872357991245</v>
      </c>
      <c r="D3417" t="inlineStr">
        <is>
          <t>kilogram</t>
        </is>
      </c>
      <c r="E3417" t="inlineStr">
        <is>
          <t>air::non-urban air or from high stacks</t>
        </is>
      </c>
      <c r="F3417" t="inlineStr">
        <is>
          <t>biosphere</t>
        </is>
      </c>
      <c r="I3417">
        <v>0</v>
      </c>
    </row>
    <row r="3418">
      <c r="A3418" t="inlineStr">
        <is>
          <t>Butane</t>
        </is>
      </c>
      <c r="B3418">
        <v>3.8473003917644926e-10</v>
      </c>
      <c r="D3418" t="inlineStr">
        <is>
          <t>kilogram</t>
        </is>
      </c>
      <c r="E3418" t="inlineStr">
        <is>
          <t>air::urban air close to ground</t>
        </is>
      </c>
      <c r="F3418" t="inlineStr">
        <is>
          <t>biosphere</t>
        </is>
      </c>
      <c r="I3418">
        <v>0</v>
      </c>
    </row>
    <row r="3419">
      <c r="A3419" t="inlineStr">
        <is>
          <t>Copper ion</t>
        </is>
      </c>
      <c r="B3419">
        <v>2.8888260174470147e-11</v>
      </c>
      <c r="D3419" t="inlineStr">
        <is>
          <t>kilogram</t>
        </is>
      </c>
      <c r="E3419" t="inlineStr">
        <is>
          <t>air::urban air close to ground</t>
        </is>
      </c>
      <c r="F3419" t="inlineStr">
        <is>
          <t>biosphere</t>
        </is>
      </c>
      <c r="I3419">
        <v>0</v>
      </c>
    </row>
    <row r="3420">
      <c r="A3420" t="inlineStr">
        <is>
          <t>Chromium III</t>
        </is>
      </c>
      <c r="B3420">
        <v>4.300658476826838e-11</v>
      </c>
      <c r="D3420" t="inlineStr">
        <is>
          <t>kilogram</t>
        </is>
      </c>
      <c r="E3420" t="inlineStr">
        <is>
          <t>air::urban air close to ground</t>
        </is>
      </c>
      <c r="F3420" t="inlineStr">
        <is>
          <t>biosphere</t>
        </is>
      </c>
      <c r="I3420">
        <v>0</v>
      </c>
    </row>
    <row r="3421">
      <c r="A3421" t="inlineStr">
        <is>
          <t>Propane</t>
        </is>
      </c>
      <c r="B3421">
        <v>2.5648669896607567e-10</v>
      </c>
      <c r="D3421" t="inlineStr">
        <is>
          <t>kilogram</t>
        </is>
      </c>
      <c r="E3421" t="inlineStr">
        <is>
          <t>air::urban air close to ground</t>
        </is>
      </c>
      <c r="F3421" t="inlineStr">
        <is>
          <t>biosphere</t>
        </is>
      </c>
      <c r="I3421">
        <v>0</v>
      </c>
    </row>
    <row r="3422">
      <c r="A3422" t="inlineStr">
        <is>
          <t>Toluene</t>
        </is>
      </c>
      <c r="B3422">
        <v>2.5648669432974354e-11</v>
      </c>
      <c r="D3422" t="inlineStr">
        <is>
          <t>kilogram</t>
        </is>
      </c>
      <c r="E3422" t="inlineStr">
        <is>
          <t>air::urban air close to ground</t>
        </is>
      </c>
      <c r="F3422" t="inlineStr">
        <is>
          <t>biosphere</t>
        </is>
      </c>
      <c r="I3422">
        <v>0</v>
      </c>
    </row>
    <row r="3423">
      <c r="A3423" t="inlineStr">
        <is>
          <t>Dinitrogen monoxide</t>
        </is>
      </c>
      <c r="B3423">
        <v>4.851770376583125e-06</v>
      </c>
      <c r="D3423" t="inlineStr">
        <is>
          <t>kilogram</t>
        </is>
      </c>
      <c r="E3423" t="inlineStr">
        <is>
          <t>air::urban air close to ground</t>
        </is>
      </c>
      <c r="F3423" t="inlineStr">
        <is>
          <t>biosphere</t>
        </is>
      </c>
      <c r="I3423">
        <v>0</v>
      </c>
    </row>
    <row r="3424">
      <c r="A3424" t="inlineStr">
        <is>
          <t>Zinc II</t>
        </is>
      </c>
      <c r="B3424">
        <v>9.100888235995045e-11</v>
      </c>
      <c r="D3424" t="inlineStr">
        <is>
          <t>kilogram</t>
        </is>
      </c>
      <c r="E3424" t="inlineStr">
        <is>
          <t>air::urban air close to ground</t>
        </is>
      </c>
      <c r="F3424" t="inlineStr">
        <is>
          <t>biosphere</t>
        </is>
      </c>
      <c r="I3424">
        <v>0</v>
      </c>
    </row>
    <row r="3425">
      <c r="A3425" t="inlineStr">
        <is>
          <t>Chromium VI</t>
        </is>
      </c>
      <c r="B3425">
        <v>3.0920405567789884e-13</v>
      </c>
      <c r="D3425" t="inlineStr">
        <is>
          <t>kilogram</t>
        </is>
      </c>
      <c r="E3425" t="inlineStr">
        <is>
          <t>air::non-urban air or from high stacks</t>
        </is>
      </c>
      <c r="F3425" t="inlineStr">
        <is>
          <t>biosphere</t>
        </is>
      </c>
      <c r="I3425">
        <v>0</v>
      </c>
    </row>
    <row r="3426">
      <c r="A3426" t="inlineStr">
        <is>
          <t>Benzene</t>
        </is>
      </c>
      <c r="B3426">
        <v>1.5816453300202538e-08</v>
      </c>
      <c r="D3426" t="inlineStr">
        <is>
          <t>kilogram</t>
        </is>
      </c>
      <c r="E3426" t="inlineStr">
        <is>
          <t>air::non-urban air or from high stacks</t>
        </is>
      </c>
      <c r="F3426" t="inlineStr">
        <is>
          <t>biosphere</t>
        </is>
      </c>
      <c r="I3426">
        <v>0</v>
      </c>
    </row>
    <row r="3427">
      <c r="A3427" t="inlineStr">
        <is>
          <t>Carbon monoxide, fossil</t>
        </is>
      </c>
      <c r="B3427">
        <v>9.571080014863452e-06</v>
      </c>
      <c r="D3427" t="inlineStr">
        <is>
          <t>kilogram</t>
        </is>
      </c>
      <c r="E3427" t="inlineStr">
        <is>
          <t>air::non-urban air or from high stacks</t>
        </is>
      </c>
      <c r="F3427" t="inlineStr">
        <is>
          <t>biosphere</t>
        </is>
      </c>
      <c r="I3427">
        <v>0</v>
      </c>
    </row>
    <row r="3428">
      <c r="A3428" t="inlineStr">
        <is>
          <t>Chromium VI</t>
        </is>
      </c>
      <c r="B3428">
        <v>8.579596070666692e-14</v>
      </c>
      <c r="D3428" t="inlineStr">
        <is>
          <t>kilogram</t>
        </is>
      </c>
      <c r="E3428" t="inlineStr">
        <is>
          <t>air::urban air close to ground</t>
        </is>
      </c>
      <c r="F3428" t="inlineStr">
        <is>
          <t>biosphere</t>
        </is>
      </c>
      <c r="I3428">
        <v>0</v>
      </c>
    </row>
    <row r="3429">
      <c r="A3429" t="inlineStr">
        <is>
          <t>Methane, fossil</t>
        </is>
      </c>
      <c r="B3429">
        <v>6.307045522480661e-09</v>
      </c>
      <c r="D3429" t="inlineStr">
        <is>
          <t>kilogram</t>
        </is>
      </c>
      <c r="E3429" t="inlineStr">
        <is>
          <t>air::urban air close to ground</t>
        </is>
      </c>
      <c r="F3429" t="inlineStr">
        <is>
          <t>biosphere</t>
        </is>
      </c>
      <c r="I3429">
        <v>0</v>
      </c>
    </row>
    <row r="3430">
      <c r="A3430" t="inlineStr">
        <is>
          <t>Sulfur dioxide</t>
        </is>
      </c>
      <c r="B3430">
        <v>4.6773095510999156e-07</v>
      </c>
      <c r="D3430" t="inlineStr">
        <is>
          <t>kilogram</t>
        </is>
      </c>
      <c r="E3430" t="inlineStr">
        <is>
          <t>air</t>
        </is>
      </c>
      <c r="F3430" t="inlineStr">
        <is>
          <t>biosphere</t>
        </is>
      </c>
      <c r="I3430">
        <v>0</v>
      </c>
    </row>
    <row r="3431">
      <c r="A3431" t="inlineStr">
        <is>
          <t>NMVOC, non-methane volatile organic compounds</t>
        </is>
      </c>
      <c r="B3431">
        <v>2.0852368049182237e-07</v>
      </c>
      <c r="D3431" t="inlineStr">
        <is>
          <t>kilogram</t>
        </is>
      </c>
      <c r="E3431" t="inlineStr">
        <is>
          <t>air::urban air close to ground</t>
        </is>
      </c>
      <c r="F3431" t="inlineStr">
        <is>
          <t>biosphere</t>
        </is>
      </c>
      <c r="I3431">
        <v>0</v>
      </c>
    </row>
    <row r="3432">
      <c r="A3432" t="inlineStr">
        <is>
          <t>Formaldehyde</t>
        </is>
      </c>
      <c r="B3432">
        <v>2.154488160043064e-08</v>
      </c>
      <c r="D3432" t="inlineStr">
        <is>
          <t>kilogram</t>
        </is>
      </c>
      <c r="E3432" t="inlineStr">
        <is>
          <t>air::urban air close to ground</t>
        </is>
      </c>
      <c r="F3432" t="inlineStr">
        <is>
          <t>biosphere</t>
        </is>
      </c>
      <c r="I3432">
        <v>0</v>
      </c>
    </row>
    <row r="3433">
      <c r="A3433" t="inlineStr">
        <is>
          <t>Nitrogen oxides</t>
        </is>
      </c>
      <c r="B3433">
        <v>4.281937009148978e-05</v>
      </c>
      <c r="D3433" t="inlineStr">
        <is>
          <t>kilogram</t>
        </is>
      </c>
      <c r="E3433" t="inlineStr">
        <is>
          <t>air::urban air close to ground</t>
        </is>
      </c>
      <c r="F3433" t="inlineStr">
        <is>
          <t>biosphere</t>
        </is>
      </c>
      <c r="I3433">
        <v>0</v>
      </c>
    </row>
    <row r="3434">
      <c r="A3434" t="inlineStr">
        <is>
          <t>Formaldehyde</t>
        </is>
      </c>
      <c r="B3434">
        <v>7.764660999840779e-08</v>
      </c>
      <c r="D3434" t="inlineStr">
        <is>
          <t>kilogram</t>
        </is>
      </c>
      <c r="E3434" t="inlineStr">
        <is>
          <t>air::non-urban air or from high stacks</t>
        </is>
      </c>
      <c r="F3434" t="inlineStr">
        <is>
          <t>biosphere</t>
        </is>
      </c>
      <c r="I3434">
        <v>0</v>
      </c>
    </row>
    <row r="3435">
      <c r="A3435" t="inlineStr">
        <is>
          <t>Zinc II</t>
        </is>
      </c>
      <c r="B3435">
        <v>3.279911253311527e-10</v>
      </c>
      <c r="D3435" t="inlineStr">
        <is>
          <t>kilogram</t>
        </is>
      </c>
      <c r="E3435" t="inlineStr">
        <is>
          <t>air::non-urban air or from high stacks</t>
        </is>
      </c>
      <c r="F3435" t="inlineStr">
        <is>
          <t>biosphere</t>
        </is>
      </c>
      <c r="I3435">
        <v>0</v>
      </c>
    </row>
    <row r="3436">
      <c r="A3436" t="inlineStr">
        <is>
          <t>Carbon monoxide, fossil</t>
        </is>
      </c>
      <c r="B3436">
        <v>2.6557219462377033e-06</v>
      </c>
      <c r="D3436" t="inlineStr">
        <is>
          <t>kilogram</t>
        </is>
      </c>
      <c r="E3436" t="inlineStr">
        <is>
          <t>air::urban air close to ground</t>
        </is>
      </c>
      <c r="F3436" t="inlineStr">
        <is>
          <t>biosphere</t>
        </is>
      </c>
      <c r="I3436">
        <v>0</v>
      </c>
    </row>
    <row r="3437">
      <c r="A3437" t="inlineStr">
        <is>
          <t>m-Xylene</t>
        </is>
      </c>
      <c r="B3437">
        <v>2.5135697574304484e-09</v>
      </c>
      <c r="D3437" t="inlineStr">
        <is>
          <t>kilogram</t>
        </is>
      </c>
      <c r="E3437" t="inlineStr">
        <is>
          <t>air::urban air close to ground</t>
        </is>
      </c>
      <c r="F3437" t="inlineStr">
        <is>
          <t>biosphere</t>
        </is>
      </c>
      <c r="I3437">
        <v>0</v>
      </c>
    </row>
    <row r="3438">
      <c r="A3438" t="inlineStr">
        <is>
          <t>PAH, polycyclic aromatic hydrocarbons</t>
        </is>
      </c>
      <c r="B3438">
        <v>1.4246870148684847e-09</v>
      </c>
      <c r="D3438" t="inlineStr">
        <is>
          <t>kilogram</t>
        </is>
      </c>
      <c r="E3438" t="inlineStr">
        <is>
          <t>air::non-urban air or from high stacks</t>
        </is>
      </c>
      <c r="F3438" t="inlineStr">
        <is>
          <t>biosphere</t>
        </is>
      </c>
      <c r="I3438">
        <v>0</v>
      </c>
    </row>
    <row r="3439">
      <c r="A3439" t="inlineStr">
        <is>
          <t>Particulate Matter, &lt; 2.5 um</t>
        </is>
      </c>
      <c r="B3439">
        <v>4.713874505095078e-07</v>
      </c>
      <c r="D3439" t="inlineStr">
        <is>
          <t>kilogram</t>
        </is>
      </c>
      <c r="E3439" t="inlineStr">
        <is>
          <t>air::non-urban air or from high stacks</t>
        </is>
      </c>
      <c r="F3439" t="inlineStr">
        <is>
          <t>biosphere</t>
        </is>
      </c>
      <c r="I3439">
        <v>0</v>
      </c>
    </row>
    <row r="3440">
      <c r="A3440" t="inlineStr">
        <is>
          <t>Pentane</t>
        </is>
      </c>
      <c r="B3440">
        <v>5.546186025759134e-10</v>
      </c>
      <c r="D3440" t="inlineStr">
        <is>
          <t>kilogram</t>
        </is>
      </c>
      <c r="E3440" t="inlineStr">
        <is>
          <t>air::non-urban air or from high stacks</t>
        </is>
      </c>
      <c r="F3440" t="inlineStr">
        <is>
          <t>biosphere</t>
        </is>
      </c>
      <c r="I3440">
        <v>0</v>
      </c>
    </row>
    <row r="3441">
      <c r="A3441" t="inlineStr">
        <is>
          <t>1,1,1,2-Tetrafluoroethane</t>
        </is>
      </c>
      <c r="B3441">
        <v>1.1545513170329437e-06</v>
      </c>
      <c r="D3441" t="inlineStr">
        <is>
          <t>kilogram</t>
        </is>
      </c>
      <c r="E3441" t="inlineStr">
        <is>
          <t>air</t>
        </is>
      </c>
      <c r="F3441" t="inlineStr">
        <is>
          <t>biosphere</t>
        </is>
      </c>
      <c r="I3441">
        <v>0</v>
      </c>
    </row>
    <row r="3442">
      <c r="A3442" t="inlineStr">
        <is>
          <t>Acetaldehyde</t>
        </is>
      </c>
      <c r="B3442">
        <v>1.1721441766279489e-08</v>
      </c>
      <c r="D3442" t="inlineStr">
        <is>
          <t>kilogram</t>
        </is>
      </c>
      <c r="E3442" t="inlineStr">
        <is>
          <t>air::urban air close to ground</t>
        </is>
      </c>
      <c r="F3442" t="inlineStr">
        <is>
          <t>biosphere</t>
        </is>
      </c>
      <c r="I3442">
        <v>0</v>
      </c>
    </row>
    <row r="3443">
      <c r="A3443" t="inlineStr">
        <is>
          <t>Benzene</t>
        </is>
      </c>
      <c r="B3443">
        <v>4.388647882951463e-09</v>
      </c>
      <c r="D3443" t="inlineStr">
        <is>
          <t>kilogram</t>
        </is>
      </c>
      <c r="E3443" t="inlineStr">
        <is>
          <t>air::urban air close to ground</t>
        </is>
      </c>
      <c r="F3443" t="inlineStr">
        <is>
          <t>biosphere</t>
        </is>
      </c>
      <c r="I3443">
        <v>0</v>
      </c>
    </row>
    <row r="3444">
      <c r="A3444" t="inlineStr">
        <is>
          <t>Mercury II</t>
        </is>
      </c>
      <c r="B3444">
        <v>2.6716210415283214e-11</v>
      </c>
      <c r="D3444" t="inlineStr">
        <is>
          <t>kilogram</t>
        </is>
      </c>
      <c r="E3444" t="inlineStr">
        <is>
          <t>air::urban air close to ground</t>
        </is>
      </c>
      <c r="F3444" t="inlineStr">
        <is>
          <t>biosphere</t>
        </is>
      </c>
      <c r="I3444">
        <v>0</v>
      </c>
    </row>
    <row r="3445">
      <c r="A3445" t="inlineStr">
        <is>
          <t>Cadmium II</t>
        </is>
      </c>
      <c r="B3445">
        <v>2.519577591708872e-13</v>
      </c>
      <c r="D3445" t="inlineStr">
        <is>
          <t>kilogram</t>
        </is>
      </c>
      <c r="E3445" t="inlineStr">
        <is>
          <t>air::urban air close to ground</t>
        </is>
      </c>
      <c r="F3445" t="inlineStr">
        <is>
          <t>biosphere</t>
        </is>
      </c>
      <c r="I3445">
        <v>0</v>
      </c>
    </row>
    <row r="3446">
      <c r="A3446" t="inlineStr">
        <is>
          <t>Propane</t>
        </is>
      </c>
      <c r="B3446">
        <v>9.243643128994173e-10</v>
      </c>
      <c r="D3446" t="inlineStr">
        <is>
          <t>kilogram</t>
        </is>
      </c>
      <c r="E3446" t="inlineStr">
        <is>
          <t>air::non-urban air or from high stacks</t>
        </is>
      </c>
      <c r="F3446" t="inlineStr">
        <is>
          <t>biosphere</t>
        </is>
      </c>
      <c r="I3446">
        <v>0</v>
      </c>
    </row>
    <row r="3447">
      <c r="A3447" t="inlineStr">
        <is>
          <t>Chromium III</t>
        </is>
      </c>
      <c r="B3447">
        <v>1.549934283048337e-10</v>
      </c>
      <c r="D3447" t="inlineStr">
        <is>
          <t>kilogram</t>
        </is>
      </c>
      <c r="E3447" t="inlineStr">
        <is>
          <t>air::non-urban air or from high stacks</t>
        </is>
      </c>
      <c r="F3447" t="inlineStr">
        <is>
          <t>biosphere</t>
        </is>
      </c>
      <c r="I3447">
        <v>0</v>
      </c>
    </row>
    <row r="3448">
      <c r="A3448" t="inlineStr">
        <is>
          <t>Acrolein</t>
        </is>
      </c>
      <c r="B3448">
        <v>4.539814566135943e-09</v>
      </c>
      <c r="D3448" t="inlineStr">
        <is>
          <t>kilogram</t>
        </is>
      </c>
      <c r="E3448" t="inlineStr">
        <is>
          <t>air::urban air close to ground</t>
        </is>
      </c>
      <c r="F3448" t="inlineStr">
        <is>
          <t>biosphere</t>
        </is>
      </c>
      <c r="I3448">
        <v>0</v>
      </c>
    </row>
    <row r="3449">
      <c r="A3449" t="inlineStr">
        <is>
          <t>Benzaldehyde</t>
        </is>
      </c>
      <c r="B3449">
        <v>3.513867696090325e-09</v>
      </c>
      <c r="D3449" t="inlineStr">
        <is>
          <t>kilogram</t>
        </is>
      </c>
      <c r="E3449" t="inlineStr">
        <is>
          <t>air::urban air close to ground</t>
        </is>
      </c>
      <c r="F3449" t="inlineStr">
        <is>
          <t>biosphere</t>
        </is>
      </c>
      <c r="I3449">
        <v>0</v>
      </c>
    </row>
    <row r="3450">
      <c r="A3450" t="inlineStr">
        <is>
          <t>Heptane</t>
        </is>
      </c>
      <c r="B3450">
        <v>7.694600783528985e-10</v>
      </c>
      <c r="D3450" t="inlineStr">
        <is>
          <t>kilogram</t>
        </is>
      </c>
      <c r="E3450" t="inlineStr">
        <is>
          <t>air::urban air close to ground</t>
        </is>
      </c>
      <c r="F3450" t="inlineStr">
        <is>
          <t>biosphere</t>
        </is>
      </c>
      <c r="I3450">
        <v>0</v>
      </c>
    </row>
    <row r="3451">
      <c r="A3451" t="inlineStr">
        <is>
          <t>o-Xylene</t>
        </is>
      </c>
      <c r="B3451">
        <v>1.0259467958643027e-09</v>
      </c>
      <c r="D3451" t="inlineStr">
        <is>
          <t>kilogram</t>
        </is>
      </c>
      <c r="E3451" t="inlineStr">
        <is>
          <t>air::urban air close to ground</t>
        </is>
      </c>
      <c r="F3451" t="inlineStr">
        <is>
          <t>biosphere</t>
        </is>
      </c>
      <c r="I3451">
        <v>0</v>
      </c>
    </row>
    <row r="3452">
      <c r="A3452" t="inlineStr">
        <is>
          <t>Selenium IV</t>
        </is>
      </c>
      <c r="B3452">
        <v>5.060875675214197e-13</v>
      </c>
      <c r="D3452" t="inlineStr">
        <is>
          <t>kilogram</t>
        </is>
      </c>
      <c r="E3452" t="inlineStr">
        <is>
          <t>air::urban air close to ground</t>
        </is>
      </c>
      <c r="F3452" t="inlineStr">
        <is>
          <t>biosphere</t>
        </is>
      </c>
      <c r="I3452">
        <v>0</v>
      </c>
    </row>
    <row r="3453">
      <c r="A3453" t="inlineStr">
        <is>
          <t>Styrene</t>
        </is>
      </c>
      <c r="B3453">
        <v>1.4363254697012354e-09</v>
      </c>
      <c r="D3453" t="inlineStr">
        <is>
          <t>kilogram</t>
        </is>
      </c>
      <c r="E3453" t="inlineStr">
        <is>
          <t>air::urban air close to ground</t>
        </is>
      </c>
      <c r="F3453" t="inlineStr">
        <is>
          <t>biosphere</t>
        </is>
      </c>
      <c r="I3453">
        <v>0</v>
      </c>
    </row>
    <row r="3454">
      <c r="A3454" t="inlineStr">
        <is>
          <t>Acetaldehyde</t>
        </is>
      </c>
      <c r="B3454">
        <v>4.224345053862089e-08</v>
      </c>
      <c r="D3454" t="inlineStr">
        <is>
          <t>kilogram</t>
        </is>
      </c>
      <c r="E3454" t="inlineStr">
        <is>
          <t>air::non-urban air or from high stacks</t>
        </is>
      </c>
      <c r="F3454" t="inlineStr">
        <is>
          <t>biosphere</t>
        </is>
      </c>
      <c r="I3454">
        <v>0</v>
      </c>
    </row>
    <row r="3455">
      <c r="A3455" t="inlineStr">
        <is>
          <t>Acrolein</t>
        </is>
      </c>
      <c r="B3455">
        <v>1.6361249183986677e-08</v>
      </c>
      <c r="D3455" t="inlineStr">
        <is>
          <t>kilogram</t>
        </is>
      </c>
      <c r="E3455" t="inlineStr">
        <is>
          <t>air::non-urban air or from high stacks</t>
        </is>
      </c>
      <c r="F3455" t="inlineStr">
        <is>
          <t>biosphere</t>
        </is>
      </c>
      <c r="I3455">
        <v>0</v>
      </c>
    </row>
    <row r="3456">
      <c r="A3456" t="inlineStr">
        <is>
          <t>Benzaldehyde</t>
        </is>
      </c>
      <c r="B3456">
        <v>1.266379133893849e-08</v>
      </c>
      <c r="D3456" t="inlineStr">
        <is>
          <t>kilogram</t>
        </is>
      </c>
      <c r="E3456" t="inlineStr">
        <is>
          <t>air::non-urban air or from high stacks</t>
        </is>
      </c>
      <c r="F3456" t="inlineStr">
        <is>
          <t>biosphere</t>
        </is>
      </c>
      <c r="I3456">
        <v>0</v>
      </c>
    </row>
    <row r="3457">
      <c r="A3457" t="inlineStr">
        <is>
          <t>Heptane</t>
        </is>
      </c>
      <c r="B3457">
        <v>2.7730930870608808e-09</v>
      </c>
      <c r="D3457" t="inlineStr">
        <is>
          <t>kilogram</t>
        </is>
      </c>
      <c r="E3457" t="inlineStr">
        <is>
          <t>air::non-urban air or from high stacks</t>
        </is>
      </c>
      <c r="F3457" t="inlineStr">
        <is>
          <t>biosphere</t>
        </is>
      </c>
      <c r="I3457">
        <v>0</v>
      </c>
    </row>
    <row r="3458">
      <c r="A3458" t="inlineStr">
        <is>
          <t>m-Xylene</t>
        </is>
      </c>
      <c r="B3458">
        <v>9.058770533467024e-09</v>
      </c>
      <c r="D3458" t="inlineStr">
        <is>
          <t>kilogram</t>
        </is>
      </c>
      <c r="E3458" t="inlineStr">
        <is>
          <t>air::non-urban air or from high stacks</t>
        </is>
      </c>
      <c r="F3458" t="inlineStr">
        <is>
          <t>biosphere</t>
        </is>
      </c>
      <c r="I3458">
        <v>0</v>
      </c>
    </row>
    <row r="3459">
      <c r="A3459" t="inlineStr">
        <is>
          <t>o-Xylene</t>
        </is>
      </c>
      <c r="B3459">
        <v>3.6974572515976697e-09</v>
      </c>
      <c r="D3459" t="inlineStr">
        <is>
          <t>kilogram</t>
        </is>
      </c>
      <c r="E3459" t="inlineStr">
        <is>
          <t>air::non-urban air or from high stacks</t>
        </is>
      </c>
      <c r="F3459" t="inlineStr">
        <is>
          <t>biosphere</t>
        </is>
      </c>
      <c r="I3459">
        <v>0</v>
      </c>
    </row>
    <row r="3460">
      <c r="A3460" t="inlineStr">
        <is>
          <t>Styrene</t>
        </is>
      </c>
      <c r="B3460">
        <v>5.176440389616945e-09</v>
      </c>
      <c r="D3460" t="inlineStr">
        <is>
          <t>kilogram</t>
        </is>
      </c>
      <c r="E3460" t="inlineStr">
        <is>
          <t>air::non-urban air or from high stacks</t>
        </is>
      </c>
      <c r="F3460" t="inlineStr">
        <is>
          <t>biosphere</t>
        </is>
      </c>
      <c r="I3460">
        <v>0</v>
      </c>
    </row>
    <row r="3461">
      <c r="A3461" t="inlineStr">
        <is>
          <t>exhaust system, for lorry</t>
        </is>
      </c>
      <c r="B3461">
        <v>5.404282995252799e-05</v>
      </c>
      <c r="C3461" t="inlineStr">
        <is>
          <t>RER</t>
        </is>
      </c>
      <c r="D3461" t="inlineStr">
        <is>
          <t>kilogram</t>
        </is>
      </c>
      <c r="F3461" t="inlineStr">
        <is>
          <t>technosphere</t>
        </is>
      </c>
      <c r="G3461" t="inlineStr">
        <is>
          <t>exhaust system, for lorry</t>
        </is>
      </c>
      <c r="H3461" t="inlineStr">
        <is>
          <t> Energy-use allocation: 44 * 4.901960892311763e-06 / 3.9910248862093187 MJ per ton kilometer.</t>
        </is>
      </c>
      <c r="I3461">
        <v>0</v>
      </c>
    </row>
    <row r="3462">
      <c r="A3462" t="inlineStr">
        <is>
          <t>fuel tank, for diesel vehicle</t>
        </is>
      </c>
      <c r="B3462">
        <v>3.725734138008649e-05</v>
      </c>
      <c r="C3462" t="inlineStr">
        <is>
          <t>RER</t>
        </is>
      </c>
      <c r="D3462" t="inlineStr">
        <is>
          <t>kilogram</t>
        </is>
      </c>
      <c r="F3462" t="inlineStr">
        <is>
          <t>technosphere</t>
        </is>
      </c>
      <c r="G3462" t="inlineStr">
        <is>
          <t>fuel tank</t>
        </is>
      </c>
      <c r="H3462" t="inlineStr">
        <is>
          <t> Energy-use allocation: 30.33377456665039 * 4.901960892311763e-06 / 3.9910248862093187 MJ per ton kilometer.</t>
        </is>
      </c>
      <c r="I3462">
        <v>0</v>
      </c>
    </row>
    <row r="3463">
      <c r="A3463" t="inlineStr">
        <is>
          <t>gearbox, for lorry</t>
        </is>
      </c>
      <c r="B3463">
        <v>3.652312715379284e-05</v>
      </c>
      <c r="C3463" t="inlineStr">
        <is>
          <t>RER</t>
        </is>
      </c>
      <c r="D3463" t="inlineStr">
        <is>
          <t>kilogram</t>
        </is>
      </c>
      <c r="F3463" t="inlineStr">
        <is>
          <t>technosphere</t>
        </is>
      </c>
      <c r="G3463" t="inlineStr">
        <is>
          <t>gearbox, for lorry</t>
        </is>
      </c>
      <c r="H3463" t="inlineStr">
        <is>
          <t> Energy-use allocation: 29.73600006103516 * 4.901960892311763e-06 / 3.9910248862093187 MJ per ton kilometer.</t>
        </is>
      </c>
      <c r="I3463">
        <v>0</v>
      </c>
    </row>
    <row r="3464">
      <c r="A3464" t="inlineStr">
        <is>
          <t>internal combustion engine, for lorry</t>
        </is>
      </c>
      <c r="B3464">
        <v>0.0005455988679116848</v>
      </c>
      <c r="C3464" t="inlineStr">
        <is>
          <t>RER</t>
        </is>
      </c>
      <c r="D3464" t="inlineStr">
        <is>
          <t>kilogram</t>
        </is>
      </c>
      <c r="F3464" t="inlineStr">
        <is>
          <t>technosphere</t>
        </is>
      </c>
      <c r="G3464" t="inlineStr">
        <is>
          <t>internal combustion engine, for lorry</t>
        </is>
      </c>
      <c r="H3464" t="inlineStr">
        <is>
          <t> Energy-use allocation: 444.209716796875 * 4.901960892311763e-06 / 3.9910248862093187 MJ per ton kilometer.</t>
        </is>
      </c>
      <c r="I3464">
        <v>0</v>
      </c>
    </row>
    <row r="3465">
      <c r="A3465" t="inlineStr">
        <is>
          <t>lead acid battery, for lorry</t>
        </is>
      </c>
      <c r="B3465">
        <v>4.7178526900509966e-05</v>
      </c>
      <c r="C3465" t="inlineStr">
        <is>
          <t>RER</t>
        </is>
      </c>
      <c r="D3465" t="inlineStr">
        <is>
          <t>kilogram</t>
        </is>
      </c>
      <c r="F3465" t="inlineStr">
        <is>
          <t>technosphere</t>
        </is>
      </c>
      <c r="G3465" t="inlineStr">
        <is>
          <t>lead acid battery, for lorry</t>
        </is>
      </c>
      <c r="H3465" t="inlineStr">
        <is>
          <t> Energy-use allocation: 38.41129684448242 * 4.901960892311763e-06 / 3.9910248862093187 MJ per ton kilometer.</t>
        </is>
      </c>
      <c r="I3465">
        <v>0</v>
      </c>
    </row>
    <row r="3466">
      <c r="A3466" t="inlineStr">
        <is>
          <t>power electronics, for lorry</t>
        </is>
      </c>
      <c r="B3466">
        <v>2.9477907246833448e-05</v>
      </c>
      <c r="C3466" t="inlineStr">
        <is>
          <t>RER</t>
        </is>
      </c>
      <c r="D3466" t="inlineStr">
        <is>
          <t>kilogram</t>
        </is>
      </c>
      <c r="F3466" t="inlineStr">
        <is>
          <t>technosphere</t>
        </is>
      </c>
      <c r="G3466" t="inlineStr">
        <is>
          <t>power electronics, for lorry</t>
        </is>
      </c>
      <c r="H3466" t="inlineStr">
        <is>
          <t> Energy-use allocation: 24 * 4.901960892311763e-06 / 3.9910248862093187 MJ per ton kilometer.</t>
        </is>
      </c>
      <c r="I3466">
        <v>0</v>
      </c>
    </row>
    <row r="3467">
      <c r="A3467" t="inlineStr">
        <is>
          <t>retarder, for lorry</t>
        </is>
      </c>
      <c r="B3467">
        <v>1.2174375327482016e-05</v>
      </c>
      <c r="C3467" t="inlineStr">
        <is>
          <t>RER</t>
        </is>
      </c>
      <c r="D3467" t="inlineStr">
        <is>
          <t>kilogram</t>
        </is>
      </c>
      <c r="F3467" t="inlineStr">
        <is>
          <t>technosphere</t>
        </is>
      </c>
      <c r="G3467" t="inlineStr">
        <is>
          <t>retarder, for lorry</t>
        </is>
      </c>
      <c r="H3467" t="inlineStr">
        <is>
          <t> Energy-use allocation: 9.911999702453613 * 4.901960892311763e-06 / 3.9910248862093187 MJ per ton kilometer.</t>
        </is>
      </c>
      <c r="I3467">
        <v>0</v>
      </c>
    </row>
    <row r="3468">
      <c r="A3468" t="inlineStr">
        <is>
          <t>transmission, for lorry</t>
        </is>
      </c>
      <c r="B3468">
        <v>5.275562290504836e-05</v>
      </c>
      <c r="C3468" t="inlineStr">
        <is>
          <t>RER</t>
        </is>
      </c>
      <c r="D3468" t="inlineStr">
        <is>
          <t>kilogram</t>
        </is>
      </c>
      <c r="F3468" t="inlineStr">
        <is>
          <t>technosphere</t>
        </is>
      </c>
      <c r="G3468" t="inlineStr">
        <is>
          <t>transmission, for lorry</t>
        </is>
      </c>
      <c r="H3468" t="inlineStr">
        <is>
          <t> Energy-use allocation: 42.95199584960938 * 4.901960892311763e-06 / 3.9910248862093187 MJ per ton kilometer.</t>
        </is>
      </c>
      <c r="I3468">
        <v>0</v>
      </c>
    </row>
    <row r="3469">
      <c r="A3469" t="inlineStr">
        <is>
          <t>Carbon dioxide, fossil</t>
        </is>
      </c>
      <c r="B3469">
        <v>0.0737</v>
      </c>
      <c r="D3469" t="inlineStr">
        <is>
          <t>kilogram</t>
        </is>
      </c>
      <c r="E3469" t="inlineStr">
        <is>
          <t>air</t>
        </is>
      </c>
      <c r="F3469" t="inlineStr">
        <is>
          <t>biosphere</t>
        </is>
      </c>
      <c r="H3469" t="inlineStr">
        <is>
          <t>Reference-fuel full-oxidation CO2; Premise reclassifies fossil/biogenic carbon with regional blends. Pollutants are separate model estimates, not an elemental closure.</t>
        </is>
      </c>
      <c r="I3469">
        <v>0</v>
      </c>
    </row>
    <row r="3470"/>
    <row r="3471">
      <c r="A3471" t="inlineStr">
        <is>
          <t>Activity</t>
        </is>
      </c>
      <c r="B3471" t="inlineStr">
        <is>
          <t>petrol, burned in heavy duty vehicle</t>
        </is>
      </c>
    </row>
    <row r="3472">
      <c r="A3472" t="inlineStr">
        <is>
          <t>location</t>
        </is>
      </c>
      <c r="B3472" t="inlineStr">
        <is>
          <t>CH</t>
        </is>
      </c>
    </row>
    <row r="3473">
      <c r="A3473" t="inlineStr">
        <is>
          <t>production amount</t>
        </is>
      </c>
      <c r="B3473">
        <v>1</v>
      </c>
    </row>
    <row r="3474">
      <c r="A3474" t="inlineStr">
        <is>
          <t>reference product</t>
        </is>
      </c>
      <c r="B3474" t="inlineStr">
        <is>
          <t>heat</t>
        </is>
      </c>
    </row>
    <row r="3475">
      <c r="A3475" t="inlineStr">
        <is>
          <t>type</t>
        </is>
      </c>
      <c r="B3475" t="inlineStr">
        <is>
          <t>process</t>
        </is>
      </c>
    </row>
    <row r="3476">
      <c r="A3476" t="inlineStr">
        <is>
          <t>unit</t>
        </is>
      </c>
      <c r="B3476" t="inlineStr">
        <is>
          <t>megajoule</t>
        </is>
      </c>
    </row>
    <row r="3477">
      <c r="A3477" t="inlineStr">
        <is>
          <t>energy use source</t>
        </is>
      </c>
      <c r="B3477" t="inlineStr">
        <is>
          <t>{"source": ["transport, freight, lorry, gasoline, 40 metric ton", "transport, freight, lorry", "RER", "ton kilometer"], "source unit": "ton kilometer", "purchased MJ per source service": 1.213448585841592,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2.479166558394756e-05}, {"supplier": ["fuel tank, for diesel vehicle", "fuel tank", "RER", "kilogram"], "amount per vehicle": 54.85818481445312, "vehicle per source service": 1.367427797431765e-07, "replacement correction factor": 1.0, "amount per MJ": 6.181935329374145e-06}, {"supplier": ["gearbox, for lorry", "gearbox, for lorry", "RER", "kilogram"], "amount per vehicle": 201.6000061035156, "vehicle per source service": 1.367427797431765e-07, "replacement correction factor": 1.0, "amount per MJ": 2.2718181513818843e-05}, {"supplier": ["internal combustion engine, for lorry", "internal combustion engine, for lorry", "RER", "kilogram"], "amount per vehicle": 1081.695922851562, "vehicle per source service": 1.367427797431765e-07, "replacement correction factor": 1.0, "amount per MJ": 0.00012189565264934301}, {"supplier": ["lead acid battery, for lorry", "lead acid battery, for lorry", "RER", "kilogram"], "amount per vehicle": 33.41176605224609, "vehicle per source service": 1.367427797431765e-07, "replacement correction factor": 1.0, "amount per MJ": 3.7651515024380757e-06}, {"supplier": ["power electronics, for lorry", "power electronics, for lorry", "RER", "kilogram"], "amount per vehicle": 265.0, "vehicle per source service": 1.367427797431765e-07, "replacement correction factor": 1.0, "amount per MJ": 2.9862688089755015e-05}, {"supplier": ["retarder, for lorry", "retarder, for lorry", "RER", "kilogram"], "amount per vehicle": 67.19999694824219, "vehicle per source service": 1.367427797431765e-07, "replacement correction factor": 1.0, "amount per MJ": 7.572726598105077e-06}, {"supplier": ["transmission, for lorry", "transmission, for lorry", "RER", "kilogram"], "amount per vehicle": 291.1999816894531, "vehicle per source service": 1.367427797431765e-07, "replacement correction factor": 1.0, "amount per MJ": 3.2815148018620794e-05}],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478">
      <c r="A3478" t="inlineStr">
        <is>
          <t>comment</t>
        </is>
      </c>
      <c r="B3478" t="inlineStr">
        <is>
          <t>Produces consumption of 1 MJ of purchased energy. Representative powertrain carrier: gasoline. energy-specific equipment; excludes chassis, body, roads and whole-vehicle maintenance. Source transport, freight, lorry, gasoline,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Explicit gasoline proxy: diesel vehicle manufacture (including tank), efficiency, maintenance and non-CO2 combustion factors. Fuel energy preserved with target-fuel-specific LHV and CO2; this is not an independently modelled gasoline/LPG vehicle.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3479">
      <c r="A3479" t="inlineStr">
        <is>
          <t>Exchanges</t>
        </is>
      </c>
    </row>
    <row r="3480">
      <c r="A3480" t="inlineStr">
        <is>
          <t>name</t>
        </is>
      </c>
      <c r="B3480" t="inlineStr">
        <is>
          <t>amount</t>
        </is>
      </c>
      <c r="C3480" t="inlineStr">
        <is>
          <t>location</t>
        </is>
      </c>
      <c r="D3480" t="inlineStr">
        <is>
          <t>unit</t>
        </is>
      </c>
      <c r="E3480" t="inlineStr">
        <is>
          <t>categories</t>
        </is>
      </c>
      <c r="F3480" t="inlineStr">
        <is>
          <t>type</t>
        </is>
      </c>
      <c r="G3480" t="inlineStr">
        <is>
          <t>reference product</t>
        </is>
      </c>
      <c r="H3480" t="inlineStr">
        <is>
          <t>comment</t>
        </is>
      </c>
      <c r="I3480" t="inlineStr">
        <is>
          <t>uncertainty type</t>
        </is>
      </c>
    </row>
    <row r="3481">
      <c r="A3481" t="inlineStr">
        <is>
          <t>petrol, burned in heavy duty vehicle</t>
        </is>
      </c>
      <c r="B3481">
        <v>1.0</v>
      </c>
      <c r="C3481" t="inlineStr">
        <is>
          <t>CH</t>
        </is>
      </c>
      <c r="D3481" t="inlineStr">
        <is>
          <t>megajoule</t>
        </is>
      </c>
      <c r="F3481" t="inlineStr">
        <is>
          <t>production</t>
        </is>
      </c>
      <c r="G3481" t="inlineStr">
        <is>
          <t>heat</t>
        </is>
      </c>
      <c r="I3481">
        <v>0</v>
      </c>
    </row>
    <row r="3482">
      <c r="A3482" t="inlineStr">
        <is>
          <t>market for petrol, low-sulfur</t>
        </is>
      </c>
      <c r="B3482">
        <v>0.02347417840375587</v>
      </c>
      <c r="C3482" t="inlineStr">
        <is>
          <t>Europe without Switzerland</t>
        </is>
      </c>
      <c r="D3482" t="inlineStr">
        <is>
          <t>kilogram</t>
        </is>
      </c>
      <c r="F3482" t="inlineStr">
        <is>
          <t>technosphere</t>
        </is>
      </c>
      <c r="G3482" t="inlineStr">
        <is>
          <t>petrol, low-sulfur</t>
        </is>
      </c>
      <c r="H3482" t="inlineStr">
        <is>
          <t>Model fuel energy retained: 1.21344858584 MJ/tkm; reference LHV 42.6 MJ/kg. Premise determines regional blends.</t>
        </is>
      </c>
      <c r="I3482">
        <v>0</v>
      </c>
    </row>
    <row r="3483">
      <c r="A3483" t="inlineStr">
        <is>
          <t>market for tetrafluoroethane, R134a</t>
        </is>
      </c>
      <c r="B3483">
        <v>2.2988634886667232e-07</v>
      </c>
      <c r="C3483" t="inlineStr">
        <is>
          <t>GLO</t>
        </is>
      </c>
      <c r="D3483" t="inlineStr">
        <is>
          <t>kilogram</t>
        </is>
      </c>
      <c r="F3483" t="inlineStr">
        <is>
          <t>technosphere</t>
        </is>
      </c>
      <c r="G3483" t="inlineStr">
        <is>
          <t>tetrafluoroethane, R134a</t>
        </is>
      </c>
      <c r="I3483">
        <v>0</v>
      </c>
    </row>
    <row r="3484">
      <c r="A3484" t="inlineStr">
        <is>
          <t>treatment of brake wear emissions, lorry</t>
        </is>
      </c>
      <c r="B3484">
        <v>-8.332264901167273e-06</v>
      </c>
      <c r="C3484" t="inlineStr">
        <is>
          <t>RER</t>
        </is>
      </c>
      <c r="D3484" t="inlineStr">
        <is>
          <t>kilogram</t>
        </is>
      </c>
      <c r="F3484" t="inlineStr">
        <is>
          <t>technosphere</t>
        </is>
      </c>
      <c r="G3484" t="inlineStr">
        <is>
          <t>brake wear emissions, lorry</t>
        </is>
      </c>
      <c r="I3484">
        <v>0</v>
      </c>
    </row>
    <row r="3485">
      <c r="A3485" t="inlineStr">
        <is>
          <t>treatment of road wear emissions, lorry</t>
        </is>
      </c>
      <c r="B3485">
        <v>-1.0511814175882649e-05</v>
      </c>
      <c r="C3485" t="inlineStr">
        <is>
          <t>RER</t>
        </is>
      </c>
      <c r="D3485" t="inlineStr">
        <is>
          <t>kilogram</t>
        </is>
      </c>
      <c r="F3485" t="inlineStr">
        <is>
          <t>technosphere</t>
        </is>
      </c>
      <c r="G3485" t="inlineStr">
        <is>
          <t>road wear emissions, lorry</t>
        </is>
      </c>
      <c r="I3485">
        <v>0</v>
      </c>
    </row>
    <row r="3486">
      <c r="A3486" t="inlineStr">
        <is>
          <t>treatment of tyre wear emissions, lorry</t>
        </is>
      </c>
      <c r="B3486">
        <v>-8.542764058308781e-06</v>
      </c>
      <c r="C3486" t="inlineStr">
        <is>
          <t>RER</t>
        </is>
      </c>
      <c r="D3486" t="inlineStr">
        <is>
          <t>kilogram</t>
        </is>
      </c>
      <c r="F3486" t="inlineStr">
        <is>
          <t>technosphere</t>
        </is>
      </c>
      <c r="G3486" t="inlineStr">
        <is>
          <t>tyre wear emissions, lorry</t>
        </is>
      </c>
      <c r="I3486">
        <v>0</v>
      </c>
    </row>
    <row r="3487">
      <c r="A3487" t="inlineStr">
        <is>
          <t>Toluene</t>
        </is>
      </c>
      <c r="B3487">
        <v>9.728174040611211e-11</v>
      </c>
      <c r="D3487" t="inlineStr">
        <is>
          <t>kilogram</t>
        </is>
      </c>
      <c r="E3487" t="inlineStr">
        <is>
          <t>air::non-urban air or from high stacks</t>
        </is>
      </c>
      <c r="F3487" t="inlineStr">
        <is>
          <t>biosphere</t>
        </is>
      </c>
      <c r="I3487">
        <v>0</v>
      </c>
    </row>
    <row r="3488">
      <c r="A3488" t="inlineStr">
        <is>
          <t>NMVOC, non-methane volatile organic compounds</t>
        </is>
      </c>
      <c r="B3488">
        <v>7.909005533746074e-07</v>
      </c>
      <c r="D3488" t="inlineStr">
        <is>
          <t>kilogram</t>
        </is>
      </c>
      <c r="E3488" t="inlineStr">
        <is>
          <t>air::non-urban air or from high stacks</t>
        </is>
      </c>
      <c r="F3488" t="inlineStr">
        <is>
          <t>biosphere</t>
        </is>
      </c>
      <c r="I3488">
        <v>0</v>
      </c>
    </row>
    <row r="3489">
      <c r="A3489" t="inlineStr">
        <is>
          <t>Dinitrogen monoxide</t>
        </is>
      </c>
      <c r="B3489">
        <v>1.972512020458022e-05</v>
      </c>
      <c r="D3489" t="inlineStr">
        <is>
          <t>kilogram</t>
        </is>
      </c>
      <c r="E3489" t="inlineStr">
        <is>
          <t>air::non-urban air or from high stacks</t>
        </is>
      </c>
      <c r="F3489" t="inlineStr">
        <is>
          <t>biosphere</t>
        </is>
      </c>
      <c r="I3489">
        <v>0</v>
      </c>
    </row>
    <row r="3490">
      <c r="A3490" t="inlineStr">
        <is>
          <t>Ethane</t>
        </is>
      </c>
      <c r="B3490">
        <v>1.0891786400309833e-10</v>
      </c>
      <c r="D3490" t="inlineStr">
        <is>
          <t>kilogram</t>
        </is>
      </c>
      <c r="E3490" t="inlineStr">
        <is>
          <t>air::urban air close to ground</t>
        </is>
      </c>
      <c r="F3490" t="inlineStr">
        <is>
          <t>biosphere</t>
        </is>
      </c>
      <c r="I3490">
        <v>0</v>
      </c>
    </row>
    <row r="3491">
      <c r="A3491" t="inlineStr">
        <is>
          <t>Pentane</t>
        </is>
      </c>
      <c r="B3491">
        <v>2.1783572800619673e-10</v>
      </c>
      <c r="D3491" t="inlineStr">
        <is>
          <t>kilogram</t>
        </is>
      </c>
      <c r="E3491" t="inlineStr">
        <is>
          <t>air::urban air close to ground</t>
        </is>
      </c>
      <c r="F3491" t="inlineStr">
        <is>
          <t>biosphere</t>
        </is>
      </c>
      <c r="I3491">
        <v>0</v>
      </c>
    </row>
    <row r="3492">
      <c r="A3492" t="inlineStr">
        <is>
          <t>Selenium IV</t>
        </is>
      </c>
      <c r="B3492">
        <v>1.6967614759358545e-12</v>
      </c>
      <c r="D3492" t="inlineStr">
        <is>
          <t>kilogram</t>
        </is>
      </c>
      <c r="E3492" t="inlineStr">
        <is>
          <t>air::non-urban air or from high stacks</t>
        </is>
      </c>
      <c r="F3492" t="inlineStr">
        <is>
          <t>biosphere</t>
        </is>
      </c>
      <c r="I3492">
        <v>0</v>
      </c>
    </row>
    <row r="3493">
      <c r="A3493" t="inlineStr">
        <is>
          <t>Arsenic ion</t>
        </is>
      </c>
      <c r="B3493">
        <v>1.6967614759358545e-12</v>
      </c>
      <c r="D3493" t="inlineStr">
        <is>
          <t>kilogram</t>
        </is>
      </c>
      <c r="E3493" t="inlineStr">
        <is>
          <t>air::non-urban air or from high stacks</t>
        </is>
      </c>
      <c r="F3493" t="inlineStr">
        <is>
          <t>biosphere</t>
        </is>
      </c>
      <c r="I3493">
        <v>0</v>
      </c>
    </row>
    <row r="3494">
      <c r="A3494" t="inlineStr">
        <is>
          <t>Arsenic ion</t>
        </is>
      </c>
      <c r="B3494">
        <v>6.332385327245513e-13</v>
      </c>
      <c r="D3494" t="inlineStr">
        <is>
          <t>kilogram</t>
        </is>
      </c>
      <c r="E3494" t="inlineStr">
        <is>
          <t>air::urban air close to ground</t>
        </is>
      </c>
      <c r="F3494" t="inlineStr">
        <is>
          <t>biosphere</t>
        </is>
      </c>
      <c r="I3494">
        <v>0</v>
      </c>
    </row>
    <row r="3495">
      <c r="A3495" t="inlineStr">
        <is>
          <t>Particulate Matter, &lt; 2.5 um</t>
        </is>
      </c>
      <c r="B3495">
        <v>1.782528260305557e-07</v>
      </c>
      <c r="D3495" t="inlineStr">
        <is>
          <t>kilogram</t>
        </is>
      </c>
      <c r="E3495" t="inlineStr">
        <is>
          <t>air::urban air close to ground</t>
        </is>
      </c>
      <c r="F3495" t="inlineStr">
        <is>
          <t>biosphere</t>
        </is>
      </c>
      <c r="I3495">
        <v>0</v>
      </c>
    </row>
    <row r="3496">
      <c r="A3496" t="inlineStr">
        <is>
          <t>Nickel II</t>
        </is>
      </c>
      <c r="B3496">
        <v>3.38624069233295e-12</v>
      </c>
      <c r="D3496" t="inlineStr">
        <is>
          <t>kilogram</t>
        </is>
      </c>
      <c r="E3496" t="inlineStr">
        <is>
          <t>air::non-urban air or from high stacks</t>
        </is>
      </c>
      <c r="F3496" t="inlineStr">
        <is>
          <t>biosphere</t>
        </is>
      </c>
      <c r="I3496">
        <v>0</v>
      </c>
    </row>
    <row r="3497">
      <c r="A3497" t="inlineStr">
        <is>
          <t>Methane, fossil</t>
        </is>
      </c>
      <c r="B3497">
        <v>2.392171407358291e-08</v>
      </c>
      <c r="D3497" t="inlineStr">
        <is>
          <t>kilogram</t>
        </is>
      </c>
      <c r="E3497" t="inlineStr">
        <is>
          <t>air::non-urban air or from high stacks</t>
        </is>
      </c>
      <c r="F3497" t="inlineStr">
        <is>
          <t>biosphere</t>
        </is>
      </c>
      <c r="I3497">
        <v>0</v>
      </c>
    </row>
    <row r="3498">
      <c r="A3498" t="inlineStr">
        <is>
          <t>Mercury II</t>
        </is>
      </c>
      <c r="B3498">
        <v>8.957152806237828e-11</v>
      </c>
      <c r="D3498" t="inlineStr">
        <is>
          <t>kilogram</t>
        </is>
      </c>
      <c r="E3498" t="inlineStr">
        <is>
          <t>air::non-urban air or from high stacks</t>
        </is>
      </c>
      <c r="F3498" t="inlineStr">
        <is>
          <t>biosphere</t>
        </is>
      </c>
      <c r="I3498">
        <v>0</v>
      </c>
    </row>
    <row r="3499">
      <c r="A3499" t="inlineStr">
        <is>
          <t>Ammonia</t>
        </is>
      </c>
      <c r="B3499">
        <v>6.8945750782647576e-06</v>
      </c>
      <c r="D3499" t="inlineStr">
        <is>
          <t>kilogram</t>
        </is>
      </c>
      <c r="E3499" t="inlineStr">
        <is>
          <t>air::non-urban air or from high stacks</t>
        </is>
      </c>
      <c r="F3499" t="inlineStr">
        <is>
          <t>biosphere</t>
        </is>
      </c>
      <c r="I3499">
        <v>0</v>
      </c>
    </row>
    <row r="3500">
      <c r="A3500" t="inlineStr">
        <is>
          <t>Ethane</t>
        </is>
      </c>
      <c r="B3500">
        <v>2.918452212183362e-10</v>
      </c>
      <c r="D3500" t="inlineStr">
        <is>
          <t>kilogram</t>
        </is>
      </c>
      <c r="E3500" t="inlineStr">
        <is>
          <t>air::non-urban air or from high stacks</t>
        </is>
      </c>
      <c r="F3500" t="inlineStr">
        <is>
          <t>biosphere</t>
        </is>
      </c>
      <c r="I3500">
        <v>0</v>
      </c>
    </row>
    <row r="3501">
      <c r="A3501" t="inlineStr">
        <is>
          <t>Nickel II</t>
        </is>
      </c>
      <c r="B3501">
        <v>1.263759195389486e-12</v>
      </c>
      <c r="D3501" t="inlineStr">
        <is>
          <t>kilogram</t>
        </is>
      </c>
      <c r="E3501" t="inlineStr">
        <is>
          <t>air::urban air close to ground</t>
        </is>
      </c>
      <c r="F3501" t="inlineStr">
        <is>
          <t>biosphere</t>
        </is>
      </c>
      <c r="I3501">
        <v>0</v>
      </c>
    </row>
    <row r="3502">
      <c r="A3502" t="inlineStr">
        <is>
          <t>Cadmium II</t>
        </is>
      </c>
      <c r="B3502">
        <v>8.447396081985476e-13</v>
      </c>
      <c r="D3502" t="inlineStr">
        <is>
          <t>kilogram</t>
        </is>
      </c>
      <c r="E3502" t="inlineStr">
        <is>
          <t>air::non-urban air or from high stacks</t>
        </is>
      </c>
      <c r="F3502" t="inlineStr">
        <is>
          <t>biosphere</t>
        </is>
      </c>
      <c r="I3502">
        <v>0</v>
      </c>
    </row>
    <row r="3503">
      <c r="A3503" t="inlineStr">
        <is>
          <t>Ammonia</t>
        </is>
      </c>
      <c r="B3503">
        <v>2.5730845837667334e-06</v>
      </c>
      <c r="D3503" t="inlineStr">
        <is>
          <t>kilogram</t>
        </is>
      </c>
      <c r="E3503" t="inlineStr">
        <is>
          <t>air::urban air close to ground</t>
        </is>
      </c>
      <c r="F3503" t="inlineStr">
        <is>
          <t>biosphere</t>
        </is>
      </c>
      <c r="I3503">
        <v>0</v>
      </c>
    </row>
    <row r="3504">
      <c r="A3504" t="inlineStr">
        <is>
          <t>Butane</t>
        </is>
      </c>
      <c r="B3504">
        <v>1.4592261593886939e-09</v>
      </c>
      <c r="D3504" t="inlineStr">
        <is>
          <t>kilogram</t>
        </is>
      </c>
      <c r="E3504" t="inlineStr">
        <is>
          <t>air::non-urban air or from high stacks</t>
        </is>
      </c>
      <c r="F3504" t="inlineStr">
        <is>
          <t>biosphere</t>
        </is>
      </c>
      <c r="I3504">
        <v>0</v>
      </c>
    </row>
    <row r="3505">
      <c r="A3505" t="inlineStr">
        <is>
          <t>PAH, polycyclic aromatic hydrocarbons</t>
        </is>
      </c>
      <c r="B3505">
        <v>4.946326620454796e-10</v>
      </c>
      <c r="D3505" t="inlineStr">
        <is>
          <t>kilogram</t>
        </is>
      </c>
      <c r="E3505" t="inlineStr">
        <is>
          <t>air::urban air close to ground</t>
        </is>
      </c>
      <c r="F3505" t="inlineStr">
        <is>
          <t>biosphere</t>
        </is>
      </c>
      <c r="I3505">
        <v>0</v>
      </c>
    </row>
    <row r="3506">
      <c r="A3506" t="inlineStr">
        <is>
          <t>Copper ion</t>
        </is>
      </c>
      <c r="B3506">
        <v>9.685376539404843e-11</v>
      </c>
      <c r="D3506" t="inlineStr">
        <is>
          <t>kilogram</t>
        </is>
      </c>
      <c r="E3506" t="inlineStr">
        <is>
          <t>air::non-urban air or from high stacks</t>
        </is>
      </c>
      <c r="F3506" t="inlineStr">
        <is>
          <t>biosphere</t>
        </is>
      </c>
      <c r="I3506">
        <v>0</v>
      </c>
    </row>
    <row r="3507">
      <c r="A3507" t="inlineStr">
        <is>
          <t>Nitrogen oxides</t>
        </is>
      </c>
      <c r="B3507">
        <v>0.00018753997183161046</v>
      </c>
      <c r="D3507" t="inlineStr">
        <is>
          <t>kilogram</t>
        </is>
      </c>
      <c r="E3507" t="inlineStr">
        <is>
          <t>air::non-urban air or from high stacks</t>
        </is>
      </c>
      <c r="F3507" t="inlineStr">
        <is>
          <t>biosphere</t>
        </is>
      </c>
      <c r="I3507">
        <v>0</v>
      </c>
    </row>
    <row r="3508">
      <c r="A3508" t="inlineStr">
        <is>
          <t>Butane</t>
        </is>
      </c>
      <c r="B3508">
        <v>5.445893377811626e-10</v>
      </c>
      <c r="D3508" t="inlineStr">
        <is>
          <t>kilogram</t>
        </is>
      </c>
      <c r="E3508" t="inlineStr">
        <is>
          <t>air::urban air close to ground</t>
        </is>
      </c>
      <c r="F3508" t="inlineStr">
        <is>
          <t>biosphere</t>
        </is>
      </c>
      <c r="I3508">
        <v>0</v>
      </c>
    </row>
    <row r="3509">
      <c r="A3509" t="inlineStr">
        <is>
          <t>Copper ion</t>
        </is>
      </c>
      <c r="B3509">
        <v>3.614623166320588e-11</v>
      </c>
      <c r="D3509" t="inlineStr">
        <is>
          <t>kilogram</t>
        </is>
      </c>
      <c r="E3509" t="inlineStr">
        <is>
          <t>air::urban air close to ground</t>
        </is>
      </c>
      <c r="F3509" t="inlineStr">
        <is>
          <t>biosphere</t>
        </is>
      </c>
      <c r="I3509">
        <v>0</v>
      </c>
    </row>
    <row r="3510">
      <c r="A3510" t="inlineStr">
        <is>
          <t>Chromium III</t>
        </is>
      </c>
      <c r="B3510">
        <v>5.381168419635998e-11</v>
      </c>
      <c r="D3510" t="inlineStr">
        <is>
          <t>kilogram</t>
        </is>
      </c>
      <c r="E3510" t="inlineStr">
        <is>
          <t>air::urban air close to ground</t>
        </is>
      </c>
      <c r="F3510" t="inlineStr">
        <is>
          <t>biosphere</t>
        </is>
      </c>
      <c r="I3510">
        <v>0</v>
      </c>
    </row>
    <row r="3511">
      <c r="A3511" t="inlineStr">
        <is>
          <t>Propane</t>
        </is>
      </c>
      <c r="B3511">
        <v>3.630595348332139e-10</v>
      </c>
      <c r="D3511" t="inlineStr">
        <is>
          <t>kilogram</t>
        </is>
      </c>
      <c r="E3511" t="inlineStr">
        <is>
          <t>air::urban air close to ground</t>
        </is>
      </c>
      <c r="F3511" t="inlineStr">
        <is>
          <t>biosphere</t>
        </is>
      </c>
      <c r="I3511">
        <v>0</v>
      </c>
    </row>
    <row r="3512">
      <c r="A3512" t="inlineStr">
        <is>
          <t>Toluene</t>
        </is>
      </c>
      <c r="B3512">
        <v>3.6305953927463155e-11</v>
      </c>
      <c r="D3512" t="inlineStr">
        <is>
          <t>kilogram</t>
        </is>
      </c>
      <c r="E3512" t="inlineStr">
        <is>
          <t>air::urban air close to ground</t>
        </is>
      </c>
      <c r="F3512" t="inlineStr">
        <is>
          <t>biosphere</t>
        </is>
      </c>
      <c r="I3512">
        <v>0</v>
      </c>
    </row>
    <row r="3513">
      <c r="A3513" t="inlineStr">
        <is>
          <t>Dinitrogen monoxide</t>
        </is>
      </c>
      <c r="B3513">
        <v>7.361498269225742e-06</v>
      </c>
      <c r="D3513" t="inlineStr">
        <is>
          <t>kilogram</t>
        </is>
      </c>
      <c r="E3513" t="inlineStr">
        <is>
          <t>air::urban air close to ground</t>
        </is>
      </c>
      <c r="F3513" t="inlineStr">
        <is>
          <t>biosphere</t>
        </is>
      </c>
      <c r="I3513">
        <v>0</v>
      </c>
    </row>
    <row r="3514">
      <c r="A3514" t="inlineStr">
        <is>
          <t>Zinc II</t>
        </is>
      </c>
      <c r="B3514">
        <v>1.138742197000915e-10</v>
      </c>
      <c r="D3514" t="inlineStr">
        <is>
          <t>kilogram</t>
        </is>
      </c>
      <c r="E3514" t="inlineStr">
        <is>
          <t>air::urban air close to ground</t>
        </is>
      </c>
      <c r="F3514" t="inlineStr">
        <is>
          <t>biosphere</t>
        </is>
      </c>
      <c r="I3514">
        <v>0</v>
      </c>
    </row>
    <row r="3515">
      <c r="A3515" t="inlineStr">
        <is>
          <t>Chromium VI</t>
        </is>
      </c>
      <c r="B3515">
        <v>2.876484190151482e-13</v>
      </c>
      <c r="D3515" t="inlineStr">
        <is>
          <t>kilogram</t>
        </is>
      </c>
      <c r="E3515" t="inlineStr">
        <is>
          <t>air::non-urban air or from high stacks</t>
        </is>
      </c>
      <c r="F3515" t="inlineStr">
        <is>
          <t>biosphere</t>
        </is>
      </c>
      <c r="I3515">
        <v>0</v>
      </c>
    </row>
    <row r="3516">
      <c r="A3516" t="inlineStr">
        <is>
          <t>Benzene</t>
        </is>
      </c>
      <c r="B3516">
        <v>1.66455206231541e-08</v>
      </c>
      <c r="D3516" t="inlineStr">
        <is>
          <t>kilogram</t>
        </is>
      </c>
      <c r="E3516" t="inlineStr">
        <is>
          <t>air::non-urban air or from high stacks</t>
        </is>
      </c>
      <c r="F3516" t="inlineStr">
        <is>
          <t>biosphere</t>
        </is>
      </c>
      <c r="I3516">
        <v>0</v>
      </c>
    </row>
    <row r="3517">
      <c r="A3517" t="inlineStr">
        <is>
          <t>Carbon monoxide, fossil</t>
        </is>
      </c>
      <c r="B3517">
        <v>9.188384379664336e-06</v>
      </c>
      <c r="D3517" t="inlineStr">
        <is>
          <t>kilogram</t>
        </is>
      </c>
      <c r="E3517" t="inlineStr">
        <is>
          <t>air::non-urban air or from high stacks</t>
        </is>
      </c>
      <c r="F3517" t="inlineStr">
        <is>
          <t>biosphere</t>
        </is>
      </c>
      <c r="I3517">
        <v>0</v>
      </c>
    </row>
    <row r="3518">
      <c r="A3518" t="inlineStr">
        <is>
          <t>Chromium VI</t>
        </is>
      </c>
      <c r="B3518">
        <v>1.0735159075537384e-13</v>
      </c>
      <c r="D3518" t="inlineStr">
        <is>
          <t>kilogram</t>
        </is>
      </c>
      <c r="E3518" t="inlineStr">
        <is>
          <t>air::urban air close to ground</t>
        </is>
      </c>
      <c r="F3518" t="inlineStr">
        <is>
          <t>biosphere</t>
        </is>
      </c>
      <c r="I3518">
        <v>0</v>
      </c>
    </row>
    <row r="3519">
      <c r="A3519" t="inlineStr">
        <is>
          <t>Methane, fossil</t>
        </is>
      </c>
      <c r="B3519">
        <v>8.927684532596898e-09</v>
      </c>
      <c r="D3519" t="inlineStr">
        <is>
          <t>kilogram</t>
        </is>
      </c>
      <c r="E3519" t="inlineStr">
        <is>
          <t>air::urban air close to ground</t>
        </is>
      </c>
      <c r="F3519" t="inlineStr">
        <is>
          <t>biosphere</t>
        </is>
      </c>
      <c r="I3519">
        <v>0</v>
      </c>
    </row>
    <row r="3520">
      <c r="A3520" t="inlineStr">
        <is>
          <t>Sulfur dioxide</t>
        </is>
      </c>
      <c r="B3520">
        <v>4.677309449527075e-07</v>
      </c>
      <c r="D3520" t="inlineStr">
        <is>
          <t>kilogram</t>
        </is>
      </c>
      <c r="E3520" t="inlineStr">
        <is>
          <t>air</t>
        </is>
      </c>
      <c r="F3520" t="inlineStr">
        <is>
          <t>biosphere</t>
        </is>
      </c>
      <c r="I3520">
        <v>0</v>
      </c>
    </row>
    <row r="3521">
      <c r="A3521" t="inlineStr">
        <is>
          <t>NMVOC, non-methane volatile organic compounds</t>
        </is>
      </c>
      <c r="B3521">
        <v>2.951674180216947e-07</v>
      </c>
      <c r="D3521" t="inlineStr">
        <is>
          <t>kilogram</t>
        </is>
      </c>
      <c r="E3521" t="inlineStr">
        <is>
          <t>air::urban air close to ground</t>
        </is>
      </c>
      <c r="F3521" t="inlineStr">
        <is>
          <t>biosphere</t>
        </is>
      </c>
      <c r="I3521">
        <v>0</v>
      </c>
    </row>
    <row r="3522">
      <c r="A3522" t="inlineStr">
        <is>
          <t>Formaldehyde</t>
        </is>
      </c>
      <c r="B3522">
        <v>3.0497002062992906e-08</v>
      </c>
      <c r="D3522" t="inlineStr">
        <is>
          <t>kilogram</t>
        </is>
      </c>
      <c r="E3522" t="inlineStr">
        <is>
          <t>air::urban air close to ground</t>
        </is>
      </c>
      <c r="F3522" t="inlineStr">
        <is>
          <t>biosphere</t>
        </is>
      </c>
      <c r="I3522">
        <v>0</v>
      </c>
    </row>
    <row r="3523">
      <c r="A3523" t="inlineStr">
        <is>
          <t>Nitrogen oxides</t>
        </is>
      </c>
      <c r="B3523">
        <v>6.99907066197852e-05</v>
      </c>
      <c r="D3523" t="inlineStr">
        <is>
          <t>kilogram</t>
        </is>
      </c>
      <c r="E3523" t="inlineStr">
        <is>
          <t>air::urban air close to ground</t>
        </is>
      </c>
      <c r="F3523" t="inlineStr">
        <is>
          <t>biosphere</t>
        </is>
      </c>
      <c r="I3523">
        <v>0</v>
      </c>
    </row>
    <row r="3524">
      <c r="A3524" t="inlineStr">
        <is>
          <t>Formaldehyde</t>
        </is>
      </c>
      <c r="B3524">
        <v>8.171666492576686e-08</v>
      </c>
      <c r="D3524" t="inlineStr">
        <is>
          <t>kilogram</t>
        </is>
      </c>
      <c r="E3524" t="inlineStr">
        <is>
          <t>air::non-urban air or from high stacks</t>
        </is>
      </c>
      <c r="F3524" t="inlineStr">
        <is>
          <t>biosphere</t>
        </is>
      </c>
      <c r="I3524">
        <v>0</v>
      </c>
    </row>
    <row r="3525">
      <c r="A3525" t="inlineStr">
        <is>
          <t>Zinc II</t>
        </is>
      </c>
      <c r="B3525">
        <v>3.0512575307981485e-10</v>
      </c>
      <c r="D3525" t="inlineStr">
        <is>
          <t>kilogram</t>
        </is>
      </c>
      <c r="E3525" t="inlineStr">
        <is>
          <t>air::non-urban air or from high stacks</t>
        </is>
      </c>
      <c r="F3525" t="inlineStr">
        <is>
          <t>biosphere</t>
        </is>
      </c>
      <c r="I3525">
        <v>0</v>
      </c>
    </row>
    <row r="3526">
      <c r="A3526" t="inlineStr">
        <is>
          <t>Carbon monoxide, fossil</t>
        </is>
      </c>
      <c r="B3526">
        <v>3.4291435191313603e-06</v>
      </c>
      <c r="D3526" t="inlineStr">
        <is>
          <t>kilogram</t>
        </is>
      </c>
      <c r="E3526" t="inlineStr">
        <is>
          <t>air::urban air close to ground</t>
        </is>
      </c>
      <c r="F3526" t="inlineStr">
        <is>
          <t>biosphere</t>
        </is>
      </c>
      <c r="I3526">
        <v>0</v>
      </c>
    </row>
    <row r="3527">
      <c r="A3527" t="inlineStr">
        <is>
          <t>m-Xylene</t>
        </is>
      </c>
      <c r="B3527">
        <v>3.557983498215643e-09</v>
      </c>
      <c r="D3527" t="inlineStr">
        <is>
          <t>kilogram</t>
        </is>
      </c>
      <c r="E3527" t="inlineStr">
        <is>
          <t>air::urban air close to ground</t>
        </is>
      </c>
      <c r="F3527" t="inlineStr">
        <is>
          <t>biosphere</t>
        </is>
      </c>
      <c r="I3527">
        <v>0</v>
      </c>
    </row>
    <row r="3528">
      <c r="A3528" t="inlineStr">
        <is>
          <t>PAH, polycyclic aromatic hydrocarbons</t>
        </is>
      </c>
      <c r="B3528">
        <v>1.3253673720206763e-09</v>
      </c>
      <c r="D3528" t="inlineStr">
        <is>
          <t>kilogram</t>
        </is>
      </c>
      <c r="E3528" t="inlineStr">
        <is>
          <t>air::non-urban air or from high stacks</t>
        </is>
      </c>
      <c r="F3528" t="inlineStr">
        <is>
          <t>biosphere</t>
        </is>
      </c>
      <c r="I3528">
        <v>0</v>
      </c>
    </row>
    <row r="3529">
      <c r="A3529" t="inlineStr">
        <is>
          <t>Particulate Matter, &lt; 2.5 um</t>
        </is>
      </c>
      <c r="B3529">
        <v>4.776281554847677e-07</v>
      </c>
      <c r="D3529" t="inlineStr">
        <is>
          <t>kilogram</t>
        </is>
      </c>
      <c r="E3529" t="inlineStr">
        <is>
          <t>air::non-urban air or from high stacks</t>
        </is>
      </c>
      <c r="F3529" t="inlineStr">
        <is>
          <t>biosphere</t>
        </is>
      </c>
      <c r="I3529">
        <v>0</v>
      </c>
    </row>
    <row r="3530">
      <c r="A3530" t="inlineStr">
        <is>
          <t>Pentane</t>
        </is>
      </c>
      <c r="B3530">
        <v>5.836904424366724e-10</v>
      </c>
      <c r="D3530" t="inlineStr">
        <is>
          <t>kilogram</t>
        </is>
      </c>
      <c r="E3530" t="inlineStr">
        <is>
          <t>air::non-urban air or from high stacks</t>
        </is>
      </c>
      <c r="F3530" t="inlineStr">
        <is>
          <t>biosphere</t>
        </is>
      </c>
      <c r="I3530">
        <v>0</v>
      </c>
    </row>
    <row r="3531">
      <c r="A3531" t="inlineStr">
        <is>
          <t>1,1,1,2-Tetrafluoroethane</t>
        </is>
      </c>
      <c r="B3531">
        <v>1.0592803277176513e-07</v>
      </c>
      <c r="D3531" t="inlineStr">
        <is>
          <t>kilogram</t>
        </is>
      </c>
      <c r="E3531" t="inlineStr">
        <is>
          <t>air</t>
        </is>
      </c>
      <c r="F3531" t="inlineStr">
        <is>
          <t>biosphere</t>
        </is>
      </c>
      <c r="I3531">
        <v>0</v>
      </c>
    </row>
    <row r="3532">
      <c r="A3532" t="inlineStr">
        <is>
          <t>Acetaldehyde</t>
        </is>
      </c>
      <c r="B3532">
        <v>1.659182111140383e-08</v>
      </c>
      <c r="D3532" t="inlineStr">
        <is>
          <t>kilogram</t>
        </is>
      </c>
      <c r="E3532" t="inlineStr">
        <is>
          <t>air::urban air close to ground</t>
        </is>
      </c>
      <c r="F3532" t="inlineStr">
        <is>
          <t>biosphere</t>
        </is>
      </c>
      <c r="I3532">
        <v>0</v>
      </c>
    </row>
    <row r="3533">
      <c r="A3533" t="inlineStr">
        <is>
          <t>Benzene</t>
        </is>
      </c>
      <c r="B3533">
        <v>6.212178142196781e-09</v>
      </c>
      <c r="D3533" t="inlineStr">
        <is>
          <t>kilogram</t>
        </is>
      </c>
      <c r="E3533" t="inlineStr">
        <is>
          <t>air::urban air close to ground</t>
        </is>
      </c>
      <c r="F3533" t="inlineStr">
        <is>
          <t>biosphere</t>
        </is>
      </c>
      <c r="I3533">
        <v>0</v>
      </c>
    </row>
    <row r="3534">
      <c r="A3534" t="inlineStr">
        <is>
          <t>Mercury II</t>
        </is>
      </c>
      <c r="B3534">
        <v>3.342847041832336e-11</v>
      </c>
      <c r="D3534" t="inlineStr">
        <is>
          <t>kilogram</t>
        </is>
      </c>
      <c r="E3534" t="inlineStr">
        <is>
          <t>air::urban air close to ground</t>
        </is>
      </c>
      <c r="F3534" t="inlineStr">
        <is>
          <t>biosphere</t>
        </is>
      </c>
      <c r="I3534">
        <v>0</v>
      </c>
    </row>
    <row r="3535">
      <c r="A3535" t="inlineStr">
        <is>
          <t>Cadmium II</t>
        </is>
      </c>
      <c r="B3535">
        <v>3.1526036603104326e-13</v>
      </c>
      <c r="D3535" t="inlineStr">
        <is>
          <t>kilogram</t>
        </is>
      </c>
      <c r="E3535" t="inlineStr">
        <is>
          <t>air::urban air close to ground</t>
        </is>
      </c>
      <c r="F3535" t="inlineStr">
        <is>
          <t>biosphere</t>
        </is>
      </c>
      <c r="I3535">
        <v>0</v>
      </c>
    </row>
    <row r="3536">
      <c r="A3536" t="inlineStr">
        <is>
          <t>Propane</t>
        </is>
      </c>
      <c r="B3536">
        <v>9.728174395924625e-10</v>
      </c>
      <c r="D3536" t="inlineStr">
        <is>
          <t>kilogram</t>
        </is>
      </c>
      <c r="E3536" t="inlineStr">
        <is>
          <t>air::non-urban air or from high stacks</t>
        </is>
      </c>
      <c r="F3536" t="inlineStr">
        <is>
          <t>biosphere</t>
        </is>
      </c>
      <c r="I3536">
        <v>0</v>
      </c>
    </row>
    <row r="3537">
      <c r="A3537" t="inlineStr">
        <is>
          <t>Chromium III</t>
        </is>
      </c>
      <c r="B3537">
        <v>1.441883169327399e-10</v>
      </c>
      <c r="D3537" t="inlineStr">
        <is>
          <t>kilogram</t>
        </is>
      </c>
      <c r="E3537" t="inlineStr">
        <is>
          <t>air::non-urban air or from high stacks</t>
        </is>
      </c>
      <c r="F3537" t="inlineStr">
        <is>
          <t>biosphere</t>
        </is>
      </c>
      <c r="I3537">
        <v>0</v>
      </c>
    </row>
    <row r="3538">
      <c r="A3538" t="inlineStr">
        <is>
          <t>Acrolein</t>
        </is>
      </c>
      <c r="B3538">
        <v>6.426154136073841e-09</v>
      </c>
      <c r="D3538" t="inlineStr">
        <is>
          <t>kilogram</t>
        </is>
      </c>
      <c r="E3538" t="inlineStr">
        <is>
          <t>air::urban air close to ground</t>
        </is>
      </c>
      <c r="F3538" t="inlineStr">
        <is>
          <t>biosphere</t>
        </is>
      </c>
      <c r="I3538">
        <v>0</v>
      </c>
    </row>
    <row r="3539">
      <c r="A3539" t="inlineStr">
        <is>
          <t>Benzaldehyde</t>
        </is>
      </c>
      <c r="B3539">
        <v>4.9739159967409846e-09</v>
      </c>
      <c r="D3539" t="inlineStr">
        <is>
          <t>kilogram</t>
        </is>
      </c>
      <c r="E3539" t="inlineStr">
        <is>
          <t>air::urban air close to ground</t>
        </is>
      </c>
      <c r="F3539" t="inlineStr">
        <is>
          <t>biosphere</t>
        </is>
      </c>
      <c r="I3539">
        <v>0</v>
      </c>
    </row>
    <row r="3540">
      <c r="A3540" t="inlineStr">
        <is>
          <t>Heptane</t>
        </is>
      </c>
      <c r="B3540">
        <v>1.0891786755623256e-09</v>
      </c>
      <c r="D3540" t="inlineStr">
        <is>
          <t>kilogram</t>
        </is>
      </c>
      <c r="E3540" t="inlineStr">
        <is>
          <t>air::urban air close to ground</t>
        </is>
      </c>
      <c r="F3540" t="inlineStr">
        <is>
          <t>biosphere</t>
        </is>
      </c>
      <c r="I3540">
        <v>0</v>
      </c>
    </row>
    <row r="3541">
      <c r="A3541" t="inlineStr">
        <is>
          <t>o-Xylene</t>
        </is>
      </c>
      <c r="B3541">
        <v>1.4522381393328552e-09</v>
      </c>
      <c r="D3541" t="inlineStr">
        <is>
          <t>kilogram</t>
        </is>
      </c>
      <c r="E3541" t="inlineStr">
        <is>
          <t>air::urban air close to ground</t>
        </is>
      </c>
      <c r="F3541" t="inlineStr">
        <is>
          <t>biosphere</t>
        </is>
      </c>
      <c r="I3541">
        <v>0</v>
      </c>
    </row>
    <row r="3542">
      <c r="A3542" t="inlineStr">
        <is>
          <t>Selenium IV</t>
        </is>
      </c>
      <c r="B3542">
        <v>6.332385327245513e-13</v>
      </c>
      <c r="D3542" t="inlineStr">
        <is>
          <t>kilogram</t>
        </is>
      </c>
      <c r="E3542" t="inlineStr">
        <is>
          <t>air::urban air close to ground</t>
        </is>
      </c>
      <c r="F3542" t="inlineStr">
        <is>
          <t>biosphere</t>
        </is>
      </c>
      <c r="I3542">
        <v>0</v>
      </c>
    </row>
    <row r="3543">
      <c r="A3543" t="inlineStr">
        <is>
          <t>Styrene</t>
        </is>
      </c>
      <c r="B3543">
        <v>2.0331335087662913e-09</v>
      </c>
      <c r="D3543" t="inlineStr">
        <is>
          <t>kilogram</t>
        </is>
      </c>
      <c r="E3543" t="inlineStr">
        <is>
          <t>air::urban air close to ground</t>
        </is>
      </c>
      <c r="F3543" t="inlineStr">
        <is>
          <t>biosphere</t>
        </is>
      </c>
      <c r="I3543">
        <v>0</v>
      </c>
    </row>
    <row r="3544">
      <c r="A3544" t="inlineStr">
        <is>
          <t>Acetaldehyde</t>
        </is>
      </c>
      <c r="B3544">
        <v>4.445775630717378e-08</v>
      </c>
      <c r="D3544" t="inlineStr">
        <is>
          <t>kilogram</t>
        </is>
      </c>
      <c r="E3544" t="inlineStr">
        <is>
          <t>air::non-urban air or from high stacks</t>
        </is>
      </c>
      <c r="F3544" t="inlineStr">
        <is>
          <t>biosphere</t>
        </is>
      </c>
      <c r="I3544">
        <v>0</v>
      </c>
    </row>
    <row r="3545">
      <c r="A3545" t="inlineStr">
        <is>
          <t>Acrolein</t>
        </is>
      </c>
      <c r="B3545">
        <v>1.7218867998584824e-08</v>
      </c>
      <c r="D3545" t="inlineStr">
        <is>
          <t>kilogram</t>
        </is>
      </c>
      <c r="E3545" t="inlineStr">
        <is>
          <t>air::non-urban air or from high stacks</t>
        </is>
      </c>
      <c r="F3545" t="inlineStr">
        <is>
          <t>biosphere</t>
        </is>
      </c>
      <c r="I3545">
        <v>0</v>
      </c>
    </row>
    <row r="3546">
      <c r="A3546" t="inlineStr">
        <is>
          <t>Benzaldehyde</t>
        </is>
      </c>
      <c r="B3546">
        <v>1.3327598240214975e-08</v>
      </c>
      <c r="D3546" t="inlineStr">
        <is>
          <t>kilogram</t>
        </is>
      </c>
      <c r="E3546" t="inlineStr">
        <is>
          <t>air::non-urban air or from high stacks</t>
        </is>
      </c>
      <c r="F3546" t="inlineStr">
        <is>
          <t>biosphere</t>
        </is>
      </c>
      <c r="I3546">
        <v>0</v>
      </c>
    </row>
    <row r="3547">
      <c r="A3547" t="inlineStr">
        <is>
          <t>Heptane</t>
        </is>
      </c>
      <c r="B3547">
        <v>2.9184523187773877e-09</v>
      </c>
      <c r="D3547" t="inlineStr">
        <is>
          <t>kilogram</t>
        </is>
      </c>
      <c r="E3547" t="inlineStr">
        <is>
          <t>air::non-urban air or from high stacks</t>
        </is>
      </c>
      <c r="F3547" t="inlineStr">
        <is>
          <t>biosphere</t>
        </is>
      </c>
      <c r="I3547">
        <v>0</v>
      </c>
    </row>
    <row r="3548">
      <c r="A3548" t="inlineStr">
        <is>
          <t>m-Xylene</t>
        </is>
      </c>
      <c r="B3548">
        <v>9.533610453204963e-09</v>
      </c>
      <c r="D3548" t="inlineStr">
        <is>
          <t>kilogram</t>
        </is>
      </c>
      <c r="E3548" t="inlineStr">
        <is>
          <t>air::non-urban air or from high stacks</t>
        </is>
      </c>
      <c r="F3548" t="inlineStr">
        <is>
          <t>biosphere</t>
        </is>
      </c>
      <c r="I3548">
        <v>0</v>
      </c>
    </row>
    <row r="3549">
      <c r="A3549" t="inlineStr">
        <is>
          <t>o-Xylene</t>
        </is>
      </c>
      <c r="B3549">
        <v>3.89126975836985e-09</v>
      </c>
      <c r="D3549" t="inlineStr">
        <is>
          <t>kilogram</t>
        </is>
      </c>
      <c r="E3549" t="inlineStr">
        <is>
          <t>air::non-urban air or from high stacks</t>
        </is>
      </c>
      <c r="F3549" t="inlineStr">
        <is>
          <t>biosphere</t>
        </is>
      </c>
      <c r="I3549">
        <v>0</v>
      </c>
    </row>
    <row r="3550">
      <c r="A3550" t="inlineStr">
        <is>
          <t>Styrene</t>
        </is>
      </c>
      <c r="B3550">
        <v>5.4477778891183776e-09</v>
      </c>
      <c r="D3550" t="inlineStr">
        <is>
          <t>kilogram</t>
        </is>
      </c>
      <c r="E3550" t="inlineStr">
        <is>
          <t>air::non-urban air or from high stacks</t>
        </is>
      </c>
      <c r="F3550" t="inlineStr">
        <is>
          <t>biosphere</t>
        </is>
      </c>
      <c r="I3550">
        <v>0</v>
      </c>
    </row>
    <row r="3551">
      <c r="A3551" t="inlineStr">
        <is>
          <t>exhaust system, for lorry</t>
        </is>
      </c>
      <c r="B3551">
        <v>2.479166558394756e-05</v>
      </c>
      <c r="C3551" t="inlineStr">
        <is>
          <t>RER</t>
        </is>
      </c>
      <c r="D3551" t="inlineStr">
        <is>
          <t>kilogram</t>
        </is>
      </c>
      <c r="F3551" t="inlineStr">
        <is>
          <t>technosphere</t>
        </is>
      </c>
      <c r="G3551" t="inlineStr">
        <is>
          <t>exhaust system, for lorry</t>
        </is>
      </c>
      <c r="H3551" t="inlineStr">
        <is>
          <t> Energy-use allocation: 220 * 1.367427797431765e-07 / 1.213448585841592 MJ per ton kilometer.</t>
        </is>
      </c>
      <c r="I3551">
        <v>0</v>
      </c>
    </row>
    <row r="3552">
      <c r="A3552" t="inlineStr">
        <is>
          <t>fuel tank, for diesel vehicle</t>
        </is>
      </c>
      <c r="B3552">
        <v>6.181935329374145e-06</v>
      </c>
      <c r="C3552" t="inlineStr">
        <is>
          <t>RER</t>
        </is>
      </c>
      <c r="D3552" t="inlineStr">
        <is>
          <t>kilogram</t>
        </is>
      </c>
      <c r="F3552" t="inlineStr">
        <is>
          <t>technosphere</t>
        </is>
      </c>
      <c r="G3552" t="inlineStr">
        <is>
          <t>fuel tank</t>
        </is>
      </c>
      <c r="H3552" t="inlineStr">
        <is>
          <t> Energy-use allocation: 54.85818481445312 * 1.367427797431765e-07 / 1.213448585841592 MJ per ton kilometer.</t>
        </is>
      </c>
      <c r="I3552">
        <v>0</v>
      </c>
    </row>
    <row r="3553">
      <c r="A3553" t="inlineStr">
        <is>
          <t>gearbox, for lorry</t>
        </is>
      </c>
      <c r="B3553">
        <v>2.2718181513818843e-05</v>
      </c>
      <c r="C3553" t="inlineStr">
        <is>
          <t>RER</t>
        </is>
      </c>
      <c r="D3553" t="inlineStr">
        <is>
          <t>kilogram</t>
        </is>
      </c>
      <c r="F3553" t="inlineStr">
        <is>
          <t>technosphere</t>
        </is>
      </c>
      <c r="G3553" t="inlineStr">
        <is>
          <t>gearbox, for lorry</t>
        </is>
      </c>
      <c r="H3553" t="inlineStr">
        <is>
          <t> Energy-use allocation: 201.6000061035156 * 1.367427797431765e-07 / 1.213448585841592 MJ per ton kilometer.</t>
        </is>
      </c>
      <c r="I3553">
        <v>0</v>
      </c>
    </row>
    <row r="3554">
      <c r="A3554" t="inlineStr">
        <is>
          <t>internal combustion engine, for lorry</t>
        </is>
      </c>
      <c r="B3554">
        <v>0.00012189565264934301</v>
      </c>
      <c r="C3554" t="inlineStr">
        <is>
          <t>RER</t>
        </is>
      </c>
      <c r="D3554" t="inlineStr">
        <is>
          <t>kilogram</t>
        </is>
      </c>
      <c r="F3554" t="inlineStr">
        <is>
          <t>technosphere</t>
        </is>
      </c>
      <c r="G3554" t="inlineStr">
        <is>
          <t>internal combustion engine, for lorry</t>
        </is>
      </c>
      <c r="H3554" t="inlineStr">
        <is>
          <t> Energy-use allocation: 1081.695922851562 * 1.367427797431765e-07 / 1.213448585841592 MJ per ton kilometer.</t>
        </is>
      </c>
      <c r="I3554">
        <v>0</v>
      </c>
    </row>
    <row r="3555">
      <c r="A3555" t="inlineStr">
        <is>
          <t>lead acid battery, for lorry</t>
        </is>
      </c>
      <c r="B3555">
        <v>3.7651515024380757e-06</v>
      </c>
      <c r="C3555" t="inlineStr">
        <is>
          <t>RER</t>
        </is>
      </c>
      <c r="D3555" t="inlineStr">
        <is>
          <t>kilogram</t>
        </is>
      </c>
      <c r="F3555" t="inlineStr">
        <is>
          <t>technosphere</t>
        </is>
      </c>
      <c r="G3555" t="inlineStr">
        <is>
          <t>lead acid battery, for lorry</t>
        </is>
      </c>
      <c r="H3555" t="inlineStr">
        <is>
          <t> Energy-use allocation: 33.41176605224609 * 1.367427797431765e-07 / 1.213448585841592 MJ per ton kilometer.</t>
        </is>
      </c>
      <c r="I3555">
        <v>0</v>
      </c>
    </row>
    <row r="3556">
      <c r="A3556" t="inlineStr">
        <is>
          <t>power electronics, for lorry</t>
        </is>
      </c>
      <c r="B3556">
        <v>2.9862688089755015e-05</v>
      </c>
      <c r="C3556" t="inlineStr">
        <is>
          <t>RER</t>
        </is>
      </c>
      <c r="D3556" t="inlineStr">
        <is>
          <t>kilogram</t>
        </is>
      </c>
      <c r="F3556" t="inlineStr">
        <is>
          <t>technosphere</t>
        </is>
      </c>
      <c r="G3556" t="inlineStr">
        <is>
          <t>power electronics, for lorry</t>
        </is>
      </c>
      <c r="H3556" t="inlineStr">
        <is>
          <t> Energy-use allocation: 265 * 1.367427797431765e-07 / 1.213448585841592 MJ per ton kilometer.</t>
        </is>
      </c>
      <c r="I3556">
        <v>0</v>
      </c>
    </row>
    <row r="3557">
      <c r="A3557" t="inlineStr">
        <is>
          <t>retarder, for lorry</t>
        </is>
      </c>
      <c r="B3557">
        <v>7.572726598105077e-06</v>
      </c>
      <c r="C3557" t="inlineStr">
        <is>
          <t>RER</t>
        </is>
      </c>
      <c r="D3557" t="inlineStr">
        <is>
          <t>kilogram</t>
        </is>
      </c>
      <c r="F3557" t="inlineStr">
        <is>
          <t>technosphere</t>
        </is>
      </c>
      <c r="G3557" t="inlineStr">
        <is>
          <t>retarder, for lorry</t>
        </is>
      </c>
      <c r="H3557" t="inlineStr">
        <is>
          <t> Energy-use allocation: 67.19999694824219 * 1.367427797431765e-07 / 1.213448585841592 MJ per ton kilometer.</t>
        </is>
      </c>
      <c r="I3557">
        <v>0</v>
      </c>
    </row>
    <row r="3558">
      <c r="A3558" t="inlineStr">
        <is>
          <t>transmission, for lorry</t>
        </is>
      </c>
      <c r="B3558">
        <v>3.2815148018620794e-05</v>
      </c>
      <c r="C3558" t="inlineStr">
        <is>
          <t>RER</t>
        </is>
      </c>
      <c r="D3558" t="inlineStr">
        <is>
          <t>kilogram</t>
        </is>
      </c>
      <c r="F3558" t="inlineStr">
        <is>
          <t>technosphere</t>
        </is>
      </c>
      <c r="G3558" t="inlineStr">
        <is>
          <t>transmission, for lorry</t>
        </is>
      </c>
      <c r="H3558" t="inlineStr">
        <is>
          <t> Energy-use allocation: 291.1999816894531 * 1.367427797431765e-07 / 1.213448585841592 MJ per ton kilometer.</t>
        </is>
      </c>
      <c r="I3558">
        <v>0</v>
      </c>
    </row>
    <row r="3559">
      <c r="A3559" t="inlineStr">
        <is>
          <t>Carbon dioxide, fossil</t>
        </is>
      </c>
      <c r="B3559">
        <v>0.07370000000000002</v>
      </c>
      <c r="D3559" t="inlineStr">
        <is>
          <t>kilogram</t>
        </is>
      </c>
      <c r="E3559" t="inlineStr">
        <is>
          <t>air</t>
        </is>
      </c>
      <c r="F3559" t="inlineStr">
        <is>
          <t>biosphere</t>
        </is>
      </c>
      <c r="H3559" t="inlineStr">
        <is>
          <t>Reference-fuel full-oxidation CO2; Premise reclassifies fossil/biogenic carbon with regional blends. Pollutants are separate model estimates, not an elemental closure.</t>
        </is>
      </c>
      <c r="I3559">
        <v>0</v>
      </c>
    </row>
    <row r="3560"/>
    <row r="3561">
      <c r="A3561" t="inlineStr">
        <is>
          <t>Activity</t>
        </is>
      </c>
      <c r="B3561" t="inlineStr">
        <is>
          <t>diesel, burned in light duty vehicle</t>
        </is>
      </c>
    </row>
    <row r="3562">
      <c r="A3562" t="inlineStr">
        <is>
          <t>location</t>
        </is>
      </c>
      <c r="B3562" t="inlineStr">
        <is>
          <t>CH</t>
        </is>
      </c>
    </row>
    <row r="3563">
      <c r="A3563" t="inlineStr">
        <is>
          <t>production amount</t>
        </is>
      </c>
      <c r="B3563">
        <v>1</v>
      </c>
    </row>
    <row r="3564">
      <c r="A3564" t="inlineStr">
        <is>
          <t>reference product</t>
        </is>
      </c>
      <c r="B3564" t="inlineStr">
        <is>
          <t>heat</t>
        </is>
      </c>
    </row>
    <row r="3565">
      <c r="A3565" t="inlineStr">
        <is>
          <t>type</t>
        </is>
      </c>
      <c r="B3565" t="inlineStr">
        <is>
          <t>process</t>
        </is>
      </c>
    </row>
    <row r="3566">
      <c r="A3566" t="inlineStr">
        <is>
          <t>unit</t>
        </is>
      </c>
      <c r="B3566" t="inlineStr">
        <is>
          <t>megajoule</t>
        </is>
      </c>
    </row>
    <row r="3567">
      <c r="A3567" t="inlineStr">
        <is>
          <t>energy use source</t>
        </is>
      </c>
      <c r="B3567" t="inlineStr">
        <is>
          <t>{"source": ["transport, freight, lorry, diesel, 3.5 metric ton", "transport, freight, lorry", "RER", "ton kilometer"], "source unit": "ton kilometer", "purchased MJ per source service": 3.9910248862093187, "boundary": "energy-specific equipment; excludes chassis, body, roads and whole-vehicle maintenance", "retained equipment": [{"supplier": ["exhaust system, for lorry", "exhaust system, for lorry", "RER", "kilogram"], "amount per vehicle": 44.0, "vehicle per source service": 4.901960892311763e-06, "replacement correction factor": 1.0, "amount per MJ": 5.404282995252799e-05}, {"supplier": ["fuel tank, for diesel vehicle", "fuel tank", "RER", "kilogram"], "amount per vehicle": 30.33377456665039, "vehicle per source service": 4.901960892311763e-06, "replacement correction factor": 1.0, "amount per MJ": 3.725734138008649e-05}, {"supplier": ["gearbox, for lorry", "gearbox, for lorry", "RER", "kilogram"], "amount per vehicle": 29.73600006103516, "vehicle per source service": 4.901960892311763e-06, "replacement correction factor": 1.0, "amount per MJ": 3.652312715379284e-05}, {"supplier": ["internal combustion engine, for lorry", "internal combustion engine, for lorry", "RER", "kilogram"], "amount per vehicle": 444.209716796875, "vehicle per source service": 4.901960892311763e-06, "replacement correction factor": 1.0, "amount per MJ": 0.0005455988679116848}, {"supplier": ["lead acid battery, for lorry", "lead acid battery, for lorry", "RER", "kilogram"], "amount per vehicle": 38.41129684448242, "vehicle per source service": 4.901960892311763e-06, "replacement correction factor": 1.0, "amount per MJ": 4.7178526900509966e-05}, {"supplier": ["power electronics, for lorry", "power electronics, for lorry", "RER", "kilogram"], "amount per vehicle": 24.0, "vehicle per source service": 4.901960892311763e-06, "replacement correction factor": 1.0, "amount per MJ": 2.9477907246833448e-05}, {"supplier": ["retarder, for lorry", "retarder, for lorry", "RER", "kilogram"], "amount per vehicle": 9.911999702453613, "vehicle per source service": 4.901960892311763e-06, "replacement correction factor": 1.0, "amount per MJ": 1.2174375327482016e-05}, {"supplier": ["transmission, for lorry", "transmission, for lorry", "RER", "kilogram"], "amount per vehicle": 42.95199584960938, "vehicle per source service": 4.901960892311763e-06, "replacement correction factor": 1.0, "amount per MJ": 5.275562290504836e-05}], "excluded": [{"supplier": "market for road", "amount per source service": 0.002118049344668786}, {"supplier": "market for road maintenance", "amount per source service": 0.00172}, {"supplier": ["assembly operation, for lorry", "assembly operation, for lorry", "RER", "kilogram"], "amount per vehicle": 2133.16943359375, "vehicle per source service": 4.901960892311763e-06}, {"supplier": ["frame, blanks and saddle, for lorry", "frame, blanks and saddle, for lorry", "RER", "kilogram"], "amount per vehicle": 703.0, "vehicle per source service": 4.901960892311763e-06}, {"supplier": ["glider lightweighting, carculator regional truck 2020", "glider lightweighting", "GLO", "kilogram"], "amount per vehicle": 35.15000152587891, "vehicle per source service": 4.901960892311763e-06}, {"supplier": ["other components, for hybrid electric lorry", "other components, for hybrid electric lorry", "RER", "kilogram"], "amount per vehicle": 119.0, "vehicle per source service": 4.901960892311763e-06}, {"supplier": ["suspension, for lorry", "suspension, for lorry", "RER", "kilogram"], "amount per vehicle": 334.0, "vehicle per source service": 4.901960892311763e-06}, {"supplier": ["tires and wheels, for lorry", "tires and wheels, for lorry", "RER", "kilogram"], "amount per vehicle": 194.0, "vehicle per source service": 4.901960892311763e-06}, {"supplier": ["maintenance, lorry 16 metric ton", "maintenance, lorry 16 metric ton", "CH", "unit"], "amount per vehicle": 0.21875, "vehicle per source service": 4.901960892311763e-06}, {"supplier": ["treatment of used lorry, 16 metric ton", "used lorry, 16 metric ton", "CH", "unit"], "amount per vehicle": -0.21875, "vehicle per source service": 4.901960892311763e-06}], "alternative fuel recipe retained": false}</t>
        </is>
      </c>
    </row>
    <row r="3568">
      <c r="A3568" t="inlineStr">
        <is>
          <t>comment</t>
        </is>
      </c>
      <c r="B3568" t="inlineStr">
        <is>
          <t>Produces consumption of 1 MJ of purchased energy. Representative powertrain carrier: diesel. energy-specific equipment; excludes chassis, body, roads and whole-vehicle maintenance. Source transport, freight, lorry, diesel, 3.5 metric ton [RER]; 3.99102488620932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750 kg payload, 22660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272000 km. Km per year: 22660 km/year. Tank-to-wheel efficiency: 22.2 \%. Tank-to-wheel energy consumption: 2993 kj/km. Fuel consumption: 8.4 l/100km. Electricity consumption: 0.0 kWh/100km. Battery capacity: 0.0 kWh. Fuel tank capacity: 332 kWh. Power share from combustion engine: 100.0 \%. Combustion engine power: 140 kW. Electric motor power: 0.0 kW. Curb mass (excl. driver and cargo): 2133 kg. Driving mass (incl. driver and cargo): 2958 kg. Battery mass: 0.0 kg. Fuel cell system efficiency: 0.0 \%. Number of passengers onboard: 1.0 passenger(s). Available payload: 1291 kg. Payload: 750 kg. Load factor: 58.1 \%. Autonomy on a full tank/battery: 400 km.  Carbon accounting: full-oxidation CO2 plus separately estimated pollutants; not a closed elemental carbon balance.</t>
        </is>
      </c>
    </row>
    <row r="3569">
      <c r="A3569" t="inlineStr">
        <is>
          <t>Exchanges</t>
        </is>
      </c>
    </row>
    <row r="3570">
      <c r="A3570" t="inlineStr">
        <is>
          <t>name</t>
        </is>
      </c>
      <c r="B3570" t="inlineStr">
        <is>
          <t>amount</t>
        </is>
      </c>
      <c r="C3570" t="inlineStr">
        <is>
          <t>location</t>
        </is>
      </c>
      <c r="D3570" t="inlineStr">
        <is>
          <t>unit</t>
        </is>
      </c>
      <c r="E3570" t="inlineStr">
        <is>
          <t>categories</t>
        </is>
      </c>
      <c r="F3570" t="inlineStr">
        <is>
          <t>type</t>
        </is>
      </c>
      <c r="G3570" t="inlineStr">
        <is>
          <t>reference product</t>
        </is>
      </c>
      <c r="H3570" t="inlineStr">
        <is>
          <t>comment</t>
        </is>
      </c>
      <c r="I3570" t="inlineStr">
        <is>
          <t>uncertainty type</t>
        </is>
      </c>
    </row>
    <row r="3571">
      <c r="A3571" t="inlineStr">
        <is>
          <t>diesel, burned in light duty vehicle</t>
        </is>
      </c>
      <c r="B3571">
        <v>1.0</v>
      </c>
      <c r="C3571" t="inlineStr">
        <is>
          <t>CH</t>
        </is>
      </c>
      <c r="D3571" t="inlineStr">
        <is>
          <t>megajoule</t>
        </is>
      </c>
      <c r="F3571" t="inlineStr">
        <is>
          <t>production</t>
        </is>
      </c>
      <c r="G3571" t="inlineStr">
        <is>
          <t>heat</t>
        </is>
      </c>
      <c r="I3571">
        <v>0</v>
      </c>
    </row>
    <row r="3572">
      <c r="A3572" t="inlineStr">
        <is>
          <t>market for diesel, low-sulfur</t>
        </is>
      </c>
      <c r="B3572">
        <v>0.023255813953488372</v>
      </c>
      <c r="C3572" t="inlineStr">
        <is>
          <t>Europe without Switzerland</t>
        </is>
      </c>
      <c r="D3572" t="inlineStr">
        <is>
          <t>kilogram</t>
        </is>
      </c>
      <c r="F3572" t="inlineStr">
        <is>
          <t>technosphere</t>
        </is>
      </c>
      <c r="G3572" t="inlineStr">
        <is>
          <t>diesel, low-sulfur</t>
        </is>
      </c>
      <c r="H3572" t="inlineStr">
        <is>
          <t>Model fuel energy retained: 3.99102488621 MJ/tkm; reference LHV 43.0 MJ/kg. Premise determines regional blends.</t>
        </is>
      </c>
      <c r="I3572">
        <v>0</v>
      </c>
    </row>
    <row r="3573">
      <c r="A3573" t="inlineStr">
        <is>
          <t>market for tetrafluoroethane, R134a</t>
        </is>
      </c>
      <c r="B3573">
        <v>2.5056219974806436e-06</v>
      </c>
      <c r="C3573" t="inlineStr">
        <is>
          <t>GLO</t>
        </is>
      </c>
      <c r="D3573" t="inlineStr">
        <is>
          <t>kilogram</t>
        </is>
      </c>
      <c r="F3573" t="inlineStr">
        <is>
          <t>technosphere</t>
        </is>
      </c>
      <c r="G3573" t="inlineStr">
        <is>
          <t>tetrafluoroethane, R134a</t>
        </is>
      </c>
      <c r="I3573">
        <v>0</v>
      </c>
    </row>
    <row r="3574">
      <c r="A3574" t="inlineStr">
        <is>
          <t>treatment of brake wear emissions, lorry</t>
        </is>
      </c>
      <c r="B3574">
        <v>-6.146224928097693e-06</v>
      </c>
      <c r="C3574" t="inlineStr">
        <is>
          <t>RER</t>
        </is>
      </c>
      <c r="D3574" t="inlineStr">
        <is>
          <t>kilogram</t>
        </is>
      </c>
      <c r="F3574" t="inlineStr">
        <is>
          <t>technosphere</t>
        </is>
      </c>
      <c r="G3574" t="inlineStr">
        <is>
          <t>brake wear emissions, lorry</t>
        </is>
      </c>
      <c r="I3574">
        <v>0</v>
      </c>
    </row>
    <row r="3575">
      <c r="A3575" t="inlineStr">
        <is>
          <t>treatment of road wear emissions, lorry</t>
        </is>
      </c>
      <c r="B3575">
        <v>-8.480316063832114e-06</v>
      </c>
      <c r="C3575" t="inlineStr">
        <is>
          <t>RER</t>
        </is>
      </c>
      <c r="D3575" t="inlineStr">
        <is>
          <t>kilogram</t>
        </is>
      </c>
      <c r="F3575" t="inlineStr">
        <is>
          <t>technosphere</t>
        </is>
      </c>
      <c r="G3575" t="inlineStr">
        <is>
          <t>road wear emissions, lorry</t>
        </is>
      </c>
      <c r="I3575">
        <v>0</v>
      </c>
    </row>
    <row r="3576">
      <c r="A3576" t="inlineStr">
        <is>
          <t>treatment of tyre wear emissions, lorry</t>
        </is>
      </c>
      <c r="B3576">
        <v>-8.613245941385969e-06</v>
      </c>
      <c r="C3576" t="inlineStr">
        <is>
          <t>RER</t>
        </is>
      </c>
      <c r="D3576" t="inlineStr">
        <is>
          <t>kilogram</t>
        </is>
      </c>
      <c r="F3576" t="inlineStr">
        <is>
          <t>technosphere</t>
        </is>
      </c>
      <c r="G3576" t="inlineStr">
        <is>
          <t>tyre wear emissions, lorry</t>
        </is>
      </c>
      <c r="I3576">
        <v>0</v>
      </c>
    </row>
    <row r="3577">
      <c r="A3577" t="inlineStr">
        <is>
          <t>Toluene</t>
        </is>
      </c>
      <c r="B3577">
        <v>9.243643685354034e-11</v>
      </c>
      <c r="D3577" t="inlineStr">
        <is>
          <t>kilogram</t>
        </is>
      </c>
      <c r="E3577" t="inlineStr">
        <is>
          <t>air::non-urban air or from high stacks</t>
        </is>
      </c>
      <c r="F3577" t="inlineStr">
        <is>
          <t>biosphere</t>
        </is>
      </c>
      <c r="I3577">
        <v>0</v>
      </c>
    </row>
    <row r="3578">
      <c r="A3578" t="inlineStr">
        <is>
          <t>NMVOC, non-methane volatile organic compounds</t>
        </is>
      </c>
      <c r="B3578">
        <v>7.515082108670604e-07</v>
      </c>
      <c r="D3578" t="inlineStr">
        <is>
          <t>kilogram</t>
        </is>
      </c>
      <c r="E3578" t="inlineStr">
        <is>
          <t>air::non-urban air or from high stacks</t>
        </is>
      </c>
      <c r="F3578" t="inlineStr">
        <is>
          <t>biosphere</t>
        </is>
      </c>
      <c r="I3578">
        <v>0</v>
      </c>
    </row>
    <row r="3579">
      <c r="A3579" t="inlineStr">
        <is>
          <t>Dinitrogen monoxide</t>
        </is>
      </c>
      <c r="B3579">
        <v>1.748552116484618e-05</v>
      </c>
      <c r="D3579" t="inlineStr">
        <is>
          <t>kilogram</t>
        </is>
      </c>
      <c r="E3579" t="inlineStr">
        <is>
          <t>air::non-urban air or from high stacks</t>
        </is>
      </c>
      <c r="F3579" t="inlineStr">
        <is>
          <t>biosphere</t>
        </is>
      </c>
      <c r="I3579">
        <v>0</v>
      </c>
    </row>
    <row r="3580">
      <c r="A3580" t="inlineStr">
        <is>
          <t>Ethane</t>
        </is>
      </c>
      <c r="B3580">
        <v>7.694601061708916e-11</v>
      </c>
      <c r="D3580" t="inlineStr">
        <is>
          <t>kilogram</t>
        </is>
      </c>
      <c r="E3580" t="inlineStr">
        <is>
          <t>air::urban air close to ground</t>
        </is>
      </c>
      <c r="F3580" t="inlineStr">
        <is>
          <t>biosphere</t>
        </is>
      </c>
      <c r="I3580">
        <v>0</v>
      </c>
    </row>
    <row r="3581">
      <c r="A3581" t="inlineStr">
        <is>
          <t>Pentane</t>
        </is>
      </c>
      <c r="B3581">
        <v>1.5389202123417832e-10</v>
      </c>
      <c r="D3581" t="inlineStr">
        <is>
          <t>kilogram</t>
        </is>
      </c>
      <c r="E3581" t="inlineStr">
        <is>
          <t>air::urban air close to ground</t>
        </is>
      </c>
      <c r="F3581" t="inlineStr">
        <is>
          <t>biosphere</t>
        </is>
      </c>
      <c r="I3581">
        <v>0</v>
      </c>
    </row>
    <row r="3582">
      <c r="A3582" t="inlineStr">
        <is>
          <t>Selenium IV</t>
        </is>
      </c>
      <c r="B3582">
        <v>1.823912502533892e-12</v>
      </c>
      <c r="D3582" t="inlineStr">
        <is>
          <t>kilogram</t>
        </is>
      </c>
      <c r="E3582" t="inlineStr">
        <is>
          <t>air::non-urban air or from high stacks</t>
        </is>
      </c>
      <c r="F3582" t="inlineStr">
        <is>
          <t>biosphere</t>
        </is>
      </c>
      <c r="I3582">
        <v>0</v>
      </c>
    </row>
    <row r="3583">
      <c r="A3583" t="inlineStr">
        <is>
          <t>Arsenic ion</t>
        </is>
      </c>
      <c r="B3583">
        <v>1.823912502533892e-12</v>
      </c>
      <c r="D3583" t="inlineStr">
        <is>
          <t>kilogram</t>
        </is>
      </c>
      <c r="E3583" t="inlineStr">
        <is>
          <t>air::non-urban air or from high stacks</t>
        </is>
      </c>
      <c r="F3583" t="inlineStr">
        <is>
          <t>biosphere</t>
        </is>
      </c>
      <c r="I3583">
        <v>0</v>
      </c>
    </row>
    <row r="3584">
      <c r="A3584" t="inlineStr">
        <is>
          <t>Arsenic ion</t>
        </is>
      </c>
      <c r="B3584">
        <v>5.060875675214197e-13</v>
      </c>
      <c r="D3584" t="inlineStr">
        <is>
          <t>kilogram</t>
        </is>
      </c>
      <c r="E3584" t="inlineStr">
        <is>
          <t>air::urban air close to ground</t>
        </is>
      </c>
      <c r="F3584" t="inlineStr">
        <is>
          <t>biosphere</t>
        </is>
      </c>
      <c r="I3584">
        <v>0</v>
      </c>
    </row>
    <row r="3585">
      <c r="A3585" t="inlineStr">
        <is>
          <t>Particulate Matter, &lt; 2.5 um</t>
        </is>
      </c>
      <c r="B3585">
        <v>1.3079756711442602e-07</v>
      </c>
      <c r="D3585" t="inlineStr">
        <is>
          <t>kilogram</t>
        </is>
      </c>
      <c r="E3585" t="inlineStr">
        <is>
          <t>air::urban air close to ground</t>
        </is>
      </c>
      <c r="F3585" t="inlineStr">
        <is>
          <t>biosphere</t>
        </is>
      </c>
      <c r="I3585">
        <v>0</v>
      </c>
    </row>
    <row r="3586">
      <c r="A3586" t="inlineStr">
        <is>
          <t>Nickel II</t>
        </is>
      </c>
      <c r="B3586">
        <v>3.63999713773777e-12</v>
      </c>
      <c r="D3586" t="inlineStr">
        <is>
          <t>kilogram</t>
        </is>
      </c>
      <c r="E3586" t="inlineStr">
        <is>
          <t>air::non-urban air or from high stacks</t>
        </is>
      </c>
      <c r="F3586" t="inlineStr">
        <is>
          <t>biosphere</t>
        </is>
      </c>
      <c r="I3586">
        <v>0</v>
      </c>
    </row>
    <row r="3587">
      <c r="A3587" t="inlineStr">
        <is>
          <t>Methane, fossil</t>
        </is>
      </c>
      <c r="B3587">
        <v>2.2730256281595843e-08</v>
      </c>
      <c r="D3587" t="inlineStr">
        <is>
          <t>kilogram</t>
        </is>
      </c>
      <c r="E3587" t="inlineStr">
        <is>
          <t>air::non-urban air or from high stacks</t>
        </is>
      </c>
      <c r="F3587" t="inlineStr">
        <is>
          <t>biosphere</t>
        </is>
      </c>
      <c r="I3587">
        <v>0</v>
      </c>
    </row>
    <row r="3588">
      <c r="A3588" t="inlineStr">
        <is>
          <t>Mercury II</t>
        </is>
      </c>
      <c r="B3588">
        <v>9.628379510673034e-11</v>
      </c>
      <c r="D3588" t="inlineStr">
        <is>
          <t>kilogram</t>
        </is>
      </c>
      <c r="E3588" t="inlineStr">
        <is>
          <t>air::non-urban air or from high stacks</t>
        </is>
      </c>
      <c r="F3588" t="inlineStr">
        <is>
          <t>biosphere</t>
        </is>
      </c>
      <c r="I3588">
        <v>0</v>
      </c>
    </row>
    <row r="3589">
      <c r="A3589" t="inlineStr">
        <is>
          <t>Ammonia</t>
        </is>
      </c>
      <c r="B3589">
        <v>7.217503800183741e-06</v>
      </c>
      <c r="D3589" t="inlineStr">
        <is>
          <t>kilogram</t>
        </is>
      </c>
      <c r="E3589" t="inlineStr">
        <is>
          <t>air::non-urban air or from high stacks</t>
        </is>
      </c>
      <c r="F3589" t="inlineStr">
        <is>
          <t>biosphere</t>
        </is>
      </c>
      <c r="I3589">
        <v>0</v>
      </c>
    </row>
    <row r="3590">
      <c r="A3590" t="inlineStr">
        <is>
          <t>Ethane</t>
        </is>
      </c>
      <c r="B3590">
        <v>2.773093012879567e-10</v>
      </c>
      <c r="D3590" t="inlineStr">
        <is>
          <t>kilogram</t>
        </is>
      </c>
      <c r="E3590" t="inlineStr">
        <is>
          <t>air::non-urban air or from high stacks</t>
        </is>
      </c>
      <c r="F3590" t="inlineStr">
        <is>
          <t>biosphere</t>
        </is>
      </c>
      <c r="I3590">
        <v>0</v>
      </c>
    </row>
    <row r="3591">
      <c r="A3591" t="inlineStr">
        <is>
          <t>Nickel II</t>
        </is>
      </c>
      <c r="B3591">
        <v>1.0100030858631943e-12</v>
      </c>
      <c r="D3591" t="inlineStr">
        <is>
          <t>kilogram</t>
        </is>
      </c>
      <c r="E3591" t="inlineStr">
        <is>
          <t>air::urban air close to ground</t>
        </is>
      </c>
      <c r="F3591" t="inlineStr">
        <is>
          <t>biosphere</t>
        </is>
      </c>
      <c r="I3591">
        <v>0</v>
      </c>
    </row>
    <row r="3592">
      <c r="A3592" t="inlineStr">
        <is>
          <t>Cadmium II</t>
        </is>
      </c>
      <c r="B3592">
        <v>9.080423176019399e-13</v>
      </c>
      <c r="D3592" t="inlineStr">
        <is>
          <t>kilogram</t>
        </is>
      </c>
      <c r="E3592" t="inlineStr">
        <is>
          <t>air::non-urban air or from high stacks</t>
        </is>
      </c>
      <c r="F3592" t="inlineStr">
        <is>
          <t>biosphere</t>
        </is>
      </c>
      <c r="I3592">
        <v>0</v>
      </c>
    </row>
    <row r="3593">
      <c r="A3593" t="inlineStr">
        <is>
          <t>Ammonia</t>
        </is>
      </c>
      <c r="B3593">
        <v>2.0026667395187476e-06</v>
      </c>
      <c r="D3593" t="inlineStr">
        <is>
          <t>kilogram</t>
        </is>
      </c>
      <c r="E3593" t="inlineStr">
        <is>
          <t>air::urban air close to ground</t>
        </is>
      </c>
      <c r="F3593" t="inlineStr">
        <is>
          <t>biosphere</t>
        </is>
      </c>
      <c r="I3593">
        <v>0</v>
      </c>
    </row>
    <row r="3594">
      <c r="A3594" t="inlineStr">
        <is>
          <t>Butane</t>
        </is>
      </c>
      <c r="B3594">
        <v>1.386546543530441e-09</v>
      </c>
      <c r="D3594" t="inlineStr">
        <is>
          <t>kilogram</t>
        </is>
      </c>
      <c r="E3594" t="inlineStr">
        <is>
          <t>air::non-urban air or from high stacks</t>
        </is>
      </c>
      <c r="F3594" t="inlineStr">
        <is>
          <t>biosphere</t>
        </is>
      </c>
      <c r="I3594">
        <v>0</v>
      </c>
    </row>
    <row r="3595">
      <c r="A3595" t="inlineStr">
        <is>
          <t>PAH, polycyclic aromatic hydrocarbons</t>
        </is>
      </c>
      <c r="B3595">
        <v>3.95313042263028e-10</v>
      </c>
      <c r="D3595" t="inlineStr">
        <is>
          <t>kilogram</t>
        </is>
      </c>
      <c r="E3595" t="inlineStr">
        <is>
          <t>air::urban air close to ground</t>
        </is>
      </c>
      <c r="F3595" t="inlineStr">
        <is>
          <t>biosphere</t>
        </is>
      </c>
      <c r="I3595">
        <v>0</v>
      </c>
    </row>
    <row r="3596">
      <c r="A3596" t="inlineStr">
        <is>
          <t>Copper ion</t>
        </is>
      </c>
      <c r="B3596">
        <v>1.0411174125438981e-10</v>
      </c>
      <c r="D3596" t="inlineStr">
        <is>
          <t>kilogram</t>
        </is>
      </c>
      <c r="E3596" t="inlineStr">
        <is>
          <t>air::non-urban air or from high stacks</t>
        </is>
      </c>
      <c r="F3596" t="inlineStr">
        <is>
          <t>biosphere</t>
        </is>
      </c>
      <c r="I3596">
        <v>0</v>
      </c>
    </row>
    <row r="3597">
      <c r="A3597" t="inlineStr">
        <is>
          <t>Nitrogen oxides</t>
        </is>
      </c>
      <c r="B3597">
        <v>0.00015431872357991245</v>
      </c>
      <c r="D3597" t="inlineStr">
        <is>
          <t>kilogram</t>
        </is>
      </c>
      <c r="E3597" t="inlineStr">
        <is>
          <t>air::non-urban air or from high stacks</t>
        </is>
      </c>
      <c r="F3597" t="inlineStr">
        <is>
          <t>biosphere</t>
        </is>
      </c>
      <c r="I3597">
        <v>0</v>
      </c>
    </row>
    <row r="3598">
      <c r="A3598" t="inlineStr">
        <is>
          <t>Butane</t>
        </is>
      </c>
      <c r="B3598">
        <v>3.8473003917644926e-10</v>
      </c>
      <c r="D3598" t="inlineStr">
        <is>
          <t>kilogram</t>
        </is>
      </c>
      <c r="E3598" t="inlineStr">
        <is>
          <t>air::urban air close to ground</t>
        </is>
      </c>
      <c r="F3598" t="inlineStr">
        <is>
          <t>biosphere</t>
        </is>
      </c>
      <c r="I3598">
        <v>0</v>
      </c>
    </row>
    <row r="3599">
      <c r="A3599" t="inlineStr">
        <is>
          <t>Copper ion</t>
        </is>
      </c>
      <c r="B3599">
        <v>2.8888260174470147e-11</v>
      </c>
      <c r="D3599" t="inlineStr">
        <is>
          <t>kilogram</t>
        </is>
      </c>
      <c r="E3599" t="inlineStr">
        <is>
          <t>air::urban air close to ground</t>
        </is>
      </c>
      <c r="F3599" t="inlineStr">
        <is>
          <t>biosphere</t>
        </is>
      </c>
      <c r="I3599">
        <v>0</v>
      </c>
    </row>
    <row r="3600">
      <c r="A3600" t="inlineStr">
        <is>
          <t>Chromium III</t>
        </is>
      </c>
      <c r="B3600">
        <v>4.300658476826838e-11</v>
      </c>
      <c r="D3600" t="inlineStr">
        <is>
          <t>kilogram</t>
        </is>
      </c>
      <c r="E3600" t="inlineStr">
        <is>
          <t>air::urban air close to ground</t>
        </is>
      </c>
      <c r="F3600" t="inlineStr">
        <is>
          <t>biosphere</t>
        </is>
      </c>
      <c r="I3600">
        <v>0</v>
      </c>
    </row>
    <row r="3601">
      <c r="A3601" t="inlineStr">
        <is>
          <t>Propane</t>
        </is>
      </c>
      <c r="B3601">
        <v>2.5648669896607567e-10</v>
      </c>
      <c r="D3601" t="inlineStr">
        <is>
          <t>kilogram</t>
        </is>
      </c>
      <c r="E3601" t="inlineStr">
        <is>
          <t>air::urban air close to ground</t>
        </is>
      </c>
      <c r="F3601" t="inlineStr">
        <is>
          <t>biosphere</t>
        </is>
      </c>
      <c r="I3601">
        <v>0</v>
      </c>
    </row>
    <row r="3602">
      <c r="A3602" t="inlineStr">
        <is>
          <t>Toluene</t>
        </is>
      </c>
      <c r="B3602">
        <v>2.5648669432974354e-11</v>
      </c>
      <c r="D3602" t="inlineStr">
        <is>
          <t>kilogram</t>
        </is>
      </c>
      <c r="E3602" t="inlineStr">
        <is>
          <t>air::urban air close to ground</t>
        </is>
      </c>
      <c r="F3602" t="inlineStr">
        <is>
          <t>biosphere</t>
        </is>
      </c>
      <c r="I3602">
        <v>0</v>
      </c>
    </row>
    <row r="3603">
      <c r="A3603" t="inlineStr">
        <is>
          <t>Dinitrogen monoxide</t>
        </is>
      </c>
      <c r="B3603">
        <v>4.851770376583125e-06</v>
      </c>
      <c r="D3603" t="inlineStr">
        <is>
          <t>kilogram</t>
        </is>
      </c>
      <c r="E3603" t="inlineStr">
        <is>
          <t>air::urban air close to ground</t>
        </is>
      </c>
      <c r="F3603" t="inlineStr">
        <is>
          <t>biosphere</t>
        </is>
      </c>
      <c r="I3603">
        <v>0</v>
      </c>
    </row>
    <row r="3604">
      <c r="A3604" t="inlineStr">
        <is>
          <t>Zinc II</t>
        </is>
      </c>
      <c r="B3604">
        <v>9.100888235995045e-11</v>
      </c>
      <c r="D3604" t="inlineStr">
        <is>
          <t>kilogram</t>
        </is>
      </c>
      <c r="E3604" t="inlineStr">
        <is>
          <t>air::urban air close to ground</t>
        </is>
      </c>
      <c r="F3604" t="inlineStr">
        <is>
          <t>biosphere</t>
        </is>
      </c>
      <c r="I3604">
        <v>0</v>
      </c>
    </row>
    <row r="3605">
      <c r="A3605" t="inlineStr">
        <is>
          <t>Chromium VI</t>
        </is>
      </c>
      <c r="B3605">
        <v>3.0920405567789884e-13</v>
      </c>
      <c r="D3605" t="inlineStr">
        <is>
          <t>kilogram</t>
        </is>
      </c>
      <c r="E3605" t="inlineStr">
        <is>
          <t>air::non-urban air or from high stacks</t>
        </is>
      </c>
      <c r="F3605" t="inlineStr">
        <is>
          <t>biosphere</t>
        </is>
      </c>
      <c r="I3605">
        <v>0</v>
      </c>
    </row>
    <row r="3606">
      <c r="A3606" t="inlineStr">
        <is>
          <t>Benzene</t>
        </is>
      </c>
      <c r="B3606">
        <v>1.5816453300202538e-08</v>
      </c>
      <c r="D3606" t="inlineStr">
        <is>
          <t>kilogram</t>
        </is>
      </c>
      <c r="E3606" t="inlineStr">
        <is>
          <t>air::non-urban air or from high stacks</t>
        </is>
      </c>
      <c r="F3606" t="inlineStr">
        <is>
          <t>biosphere</t>
        </is>
      </c>
      <c r="I3606">
        <v>0</v>
      </c>
    </row>
    <row r="3607">
      <c r="A3607" t="inlineStr">
        <is>
          <t>Carbon monoxide, fossil</t>
        </is>
      </c>
      <c r="B3607">
        <v>9.571080014863452e-06</v>
      </c>
      <c r="D3607" t="inlineStr">
        <is>
          <t>kilogram</t>
        </is>
      </c>
      <c r="E3607" t="inlineStr">
        <is>
          <t>air::non-urban air or from high stacks</t>
        </is>
      </c>
      <c r="F3607" t="inlineStr">
        <is>
          <t>biosphere</t>
        </is>
      </c>
      <c r="I3607">
        <v>0</v>
      </c>
    </row>
    <row r="3608">
      <c r="A3608" t="inlineStr">
        <is>
          <t>Chromium VI</t>
        </is>
      </c>
      <c r="B3608">
        <v>8.579596070666692e-14</v>
      </c>
      <c r="D3608" t="inlineStr">
        <is>
          <t>kilogram</t>
        </is>
      </c>
      <c r="E3608" t="inlineStr">
        <is>
          <t>air::urban air close to ground</t>
        </is>
      </c>
      <c r="F3608" t="inlineStr">
        <is>
          <t>biosphere</t>
        </is>
      </c>
      <c r="I3608">
        <v>0</v>
      </c>
    </row>
    <row r="3609">
      <c r="A3609" t="inlineStr">
        <is>
          <t>Methane, fossil</t>
        </is>
      </c>
      <c r="B3609">
        <v>6.307045522480661e-09</v>
      </c>
      <c r="D3609" t="inlineStr">
        <is>
          <t>kilogram</t>
        </is>
      </c>
      <c r="E3609" t="inlineStr">
        <is>
          <t>air::urban air close to ground</t>
        </is>
      </c>
      <c r="F3609" t="inlineStr">
        <is>
          <t>biosphere</t>
        </is>
      </c>
      <c r="I3609">
        <v>0</v>
      </c>
    </row>
    <row r="3610">
      <c r="A3610" t="inlineStr">
        <is>
          <t>Sulfur dioxide</t>
        </is>
      </c>
      <c r="B3610">
        <v>4.6773095510999156e-07</v>
      </c>
      <c r="D3610" t="inlineStr">
        <is>
          <t>kilogram</t>
        </is>
      </c>
      <c r="E3610" t="inlineStr">
        <is>
          <t>air</t>
        </is>
      </c>
      <c r="F3610" t="inlineStr">
        <is>
          <t>biosphere</t>
        </is>
      </c>
      <c r="I3610">
        <v>0</v>
      </c>
    </row>
    <row r="3611">
      <c r="A3611" t="inlineStr">
        <is>
          <t>NMVOC, non-methane volatile organic compounds</t>
        </is>
      </c>
      <c r="B3611">
        <v>2.0852368049182237e-07</v>
      </c>
      <c r="D3611" t="inlineStr">
        <is>
          <t>kilogram</t>
        </is>
      </c>
      <c r="E3611" t="inlineStr">
        <is>
          <t>air::urban air close to ground</t>
        </is>
      </c>
      <c r="F3611" t="inlineStr">
        <is>
          <t>biosphere</t>
        </is>
      </c>
      <c r="I3611">
        <v>0</v>
      </c>
    </row>
    <row r="3612">
      <c r="A3612" t="inlineStr">
        <is>
          <t>Formaldehyde</t>
        </is>
      </c>
      <c r="B3612">
        <v>2.154488160043064e-08</v>
      </c>
      <c r="D3612" t="inlineStr">
        <is>
          <t>kilogram</t>
        </is>
      </c>
      <c r="E3612" t="inlineStr">
        <is>
          <t>air::urban air close to ground</t>
        </is>
      </c>
      <c r="F3612" t="inlineStr">
        <is>
          <t>biosphere</t>
        </is>
      </c>
      <c r="I3612">
        <v>0</v>
      </c>
    </row>
    <row r="3613">
      <c r="A3613" t="inlineStr">
        <is>
          <t>Nitrogen oxides</t>
        </is>
      </c>
      <c r="B3613">
        <v>4.281937009148978e-05</v>
      </c>
      <c r="D3613" t="inlineStr">
        <is>
          <t>kilogram</t>
        </is>
      </c>
      <c r="E3613" t="inlineStr">
        <is>
          <t>air::urban air close to ground</t>
        </is>
      </c>
      <c r="F3613" t="inlineStr">
        <is>
          <t>biosphere</t>
        </is>
      </c>
      <c r="I3613">
        <v>0</v>
      </c>
    </row>
    <row r="3614">
      <c r="A3614" t="inlineStr">
        <is>
          <t>Formaldehyde</t>
        </is>
      </c>
      <c r="B3614">
        <v>7.764660999840779e-08</v>
      </c>
      <c r="D3614" t="inlineStr">
        <is>
          <t>kilogram</t>
        </is>
      </c>
      <c r="E3614" t="inlineStr">
        <is>
          <t>air::non-urban air or from high stacks</t>
        </is>
      </c>
      <c r="F3614" t="inlineStr">
        <is>
          <t>biosphere</t>
        </is>
      </c>
      <c r="I3614">
        <v>0</v>
      </c>
    </row>
    <row r="3615">
      <c r="A3615" t="inlineStr">
        <is>
          <t>Zinc II</t>
        </is>
      </c>
      <c r="B3615">
        <v>3.279911253311527e-10</v>
      </c>
      <c r="D3615" t="inlineStr">
        <is>
          <t>kilogram</t>
        </is>
      </c>
      <c r="E3615" t="inlineStr">
        <is>
          <t>air::non-urban air or from high stacks</t>
        </is>
      </c>
      <c r="F3615" t="inlineStr">
        <is>
          <t>biosphere</t>
        </is>
      </c>
      <c r="I3615">
        <v>0</v>
      </c>
    </row>
    <row r="3616">
      <c r="A3616" t="inlineStr">
        <is>
          <t>Carbon monoxide, fossil</t>
        </is>
      </c>
      <c r="B3616">
        <v>2.6557219462377033e-06</v>
      </c>
      <c r="D3616" t="inlineStr">
        <is>
          <t>kilogram</t>
        </is>
      </c>
      <c r="E3616" t="inlineStr">
        <is>
          <t>air::urban air close to ground</t>
        </is>
      </c>
      <c r="F3616" t="inlineStr">
        <is>
          <t>biosphere</t>
        </is>
      </c>
      <c r="I3616">
        <v>0</v>
      </c>
    </row>
    <row r="3617">
      <c r="A3617" t="inlineStr">
        <is>
          <t>m-Xylene</t>
        </is>
      </c>
      <c r="B3617">
        <v>2.5135697574304484e-09</v>
      </c>
      <c r="D3617" t="inlineStr">
        <is>
          <t>kilogram</t>
        </is>
      </c>
      <c r="E3617" t="inlineStr">
        <is>
          <t>air::urban air close to ground</t>
        </is>
      </c>
      <c r="F3617" t="inlineStr">
        <is>
          <t>biosphere</t>
        </is>
      </c>
      <c r="I3617">
        <v>0</v>
      </c>
    </row>
    <row r="3618">
      <c r="A3618" t="inlineStr">
        <is>
          <t>PAH, polycyclic aromatic hydrocarbons</t>
        </is>
      </c>
      <c r="B3618">
        <v>1.4246870148684847e-09</v>
      </c>
      <c r="D3618" t="inlineStr">
        <is>
          <t>kilogram</t>
        </is>
      </c>
      <c r="E3618" t="inlineStr">
        <is>
          <t>air::non-urban air or from high stacks</t>
        </is>
      </c>
      <c r="F3618" t="inlineStr">
        <is>
          <t>biosphere</t>
        </is>
      </c>
      <c r="I3618">
        <v>0</v>
      </c>
    </row>
    <row r="3619">
      <c r="A3619" t="inlineStr">
        <is>
          <t>Particulate Matter, &lt; 2.5 um</t>
        </is>
      </c>
      <c r="B3619">
        <v>4.713874505095078e-07</v>
      </c>
      <c r="D3619" t="inlineStr">
        <is>
          <t>kilogram</t>
        </is>
      </c>
      <c r="E3619" t="inlineStr">
        <is>
          <t>air::non-urban air or from high stacks</t>
        </is>
      </c>
      <c r="F3619" t="inlineStr">
        <is>
          <t>biosphere</t>
        </is>
      </c>
      <c r="I3619">
        <v>0</v>
      </c>
    </row>
    <row r="3620">
      <c r="A3620" t="inlineStr">
        <is>
          <t>Pentane</t>
        </is>
      </c>
      <c r="B3620">
        <v>5.546186025759134e-10</v>
      </c>
      <c r="D3620" t="inlineStr">
        <is>
          <t>kilogram</t>
        </is>
      </c>
      <c r="E3620" t="inlineStr">
        <is>
          <t>air::non-urban air or from high stacks</t>
        </is>
      </c>
      <c r="F3620" t="inlineStr">
        <is>
          <t>biosphere</t>
        </is>
      </c>
      <c r="I3620">
        <v>0</v>
      </c>
    </row>
    <row r="3621">
      <c r="A3621" t="inlineStr">
        <is>
          <t>1,1,1,2-Tetrafluoroethane</t>
        </is>
      </c>
      <c r="B3621">
        <v>1.1545513170329437e-06</v>
      </c>
      <c r="D3621" t="inlineStr">
        <is>
          <t>kilogram</t>
        </is>
      </c>
      <c r="E3621" t="inlineStr">
        <is>
          <t>air</t>
        </is>
      </c>
      <c r="F3621" t="inlineStr">
        <is>
          <t>biosphere</t>
        </is>
      </c>
      <c r="I3621">
        <v>0</v>
      </c>
    </row>
    <row r="3622">
      <c r="A3622" t="inlineStr">
        <is>
          <t>Acetaldehyde</t>
        </is>
      </c>
      <c r="B3622">
        <v>1.1721441766279489e-08</v>
      </c>
      <c r="D3622" t="inlineStr">
        <is>
          <t>kilogram</t>
        </is>
      </c>
      <c r="E3622" t="inlineStr">
        <is>
          <t>air::urban air close to ground</t>
        </is>
      </c>
      <c r="F3622" t="inlineStr">
        <is>
          <t>biosphere</t>
        </is>
      </c>
      <c r="I3622">
        <v>0</v>
      </c>
    </row>
    <row r="3623">
      <c r="A3623" t="inlineStr">
        <is>
          <t>Benzene</t>
        </is>
      </c>
      <c r="B3623">
        <v>4.388647882951463e-09</v>
      </c>
      <c r="D3623" t="inlineStr">
        <is>
          <t>kilogram</t>
        </is>
      </c>
      <c r="E3623" t="inlineStr">
        <is>
          <t>air::urban air close to ground</t>
        </is>
      </c>
      <c r="F3623" t="inlineStr">
        <is>
          <t>biosphere</t>
        </is>
      </c>
      <c r="I3623">
        <v>0</v>
      </c>
    </row>
    <row r="3624">
      <c r="A3624" t="inlineStr">
        <is>
          <t>Mercury II</t>
        </is>
      </c>
      <c r="B3624">
        <v>2.6716210415283214e-11</v>
      </c>
      <c r="D3624" t="inlineStr">
        <is>
          <t>kilogram</t>
        </is>
      </c>
      <c r="E3624" t="inlineStr">
        <is>
          <t>air::urban air close to ground</t>
        </is>
      </c>
      <c r="F3624" t="inlineStr">
        <is>
          <t>biosphere</t>
        </is>
      </c>
      <c r="I3624">
        <v>0</v>
      </c>
    </row>
    <row r="3625">
      <c r="A3625" t="inlineStr">
        <is>
          <t>Cadmium II</t>
        </is>
      </c>
      <c r="B3625">
        <v>2.519577591708872e-13</v>
      </c>
      <c r="D3625" t="inlineStr">
        <is>
          <t>kilogram</t>
        </is>
      </c>
      <c r="E3625" t="inlineStr">
        <is>
          <t>air::urban air close to ground</t>
        </is>
      </c>
      <c r="F3625" t="inlineStr">
        <is>
          <t>biosphere</t>
        </is>
      </c>
      <c r="I3625">
        <v>0</v>
      </c>
    </row>
    <row r="3626">
      <c r="A3626" t="inlineStr">
        <is>
          <t>Propane</t>
        </is>
      </c>
      <c r="B3626">
        <v>9.243643128994173e-10</v>
      </c>
      <c r="D3626" t="inlineStr">
        <is>
          <t>kilogram</t>
        </is>
      </c>
      <c r="E3626" t="inlineStr">
        <is>
          <t>air::non-urban air or from high stacks</t>
        </is>
      </c>
      <c r="F3626" t="inlineStr">
        <is>
          <t>biosphere</t>
        </is>
      </c>
      <c r="I3626">
        <v>0</v>
      </c>
    </row>
    <row r="3627">
      <c r="A3627" t="inlineStr">
        <is>
          <t>Chromium III</t>
        </is>
      </c>
      <c r="B3627">
        <v>1.549934283048337e-10</v>
      </c>
      <c r="D3627" t="inlineStr">
        <is>
          <t>kilogram</t>
        </is>
      </c>
      <c r="E3627" t="inlineStr">
        <is>
          <t>air::non-urban air or from high stacks</t>
        </is>
      </c>
      <c r="F3627" t="inlineStr">
        <is>
          <t>biosphere</t>
        </is>
      </c>
      <c r="I3627">
        <v>0</v>
      </c>
    </row>
    <row r="3628">
      <c r="A3628" t="inlineStr">
        <is>
          <t>Acrolein</t>
        </is>
      </c>
      <c r="B3628">
        <v>4.539814566135943e-09</v>
      </c>
      <c r="D3628" t="inlineStr">
        <is>
          <t>kilogram</t>
        </is>
      </c>
      <c r="E3628" t="inlineStr">
        <is>
          <t>air::urban air close to ground</t>
        </is>
      </c>
      <c r="F3628" t="inlineStr">
        <is>
          <t>biosphere</t>
        </is>
      </c>
      <c r="I3628">
        <v>0</v>
      </c>
    </row>
    <row r="3629">
      <c r="A3629" t="inlineStr">
        <is>
          <t>Benzaldehyde</t>
        </is>
      </c>
      <c r="B3629">
        <v>3.513867696090325e-09</v>
      </c>
      <c r="D3629" t="inlineStr">
        <is>
          <t>kilogram</t>
        </is>
      </c>
      <c r="E3629" t="inlineStr">
        <is>
          <t>air::urban air close to ground</t>
        </is>
      </c>
      <c r="F3629" t="inlineStr">
        <is>
          <t>biosphere</t>
        </is>
      </c>
      <c r="I3629">
        <v>0</v>
      </c>
    </row>
    <row r="3630">
      <c r="A3630" t="inlineStr">
        <is>
          <t>Heptane</t>
        </is>
      </c>
      <c r="B3630">
        <v>7.694600783528985e-10</v>
      </c>
      <c r="D3630" t="inlineStr">
        <is>
          <t>kilogram</t>
        </is>
      </c>
      <c r="E3630" t="inlineStr">
        <is>
          <t>air::urban air close to ground</t>
        </is>
      </c>
      <c r="F3630" t="inlineStr">
        <is>
          <t>biosphere</t>
        </is>
      </c>
      <c r="I3630">
        <v>0</v>
      </c>
    </row>
    <row r="3631">
      <c r="A3631" t="inlineStr">
        <is>
          <t>o-Xylene</t>
        </is>
      </c>
      <c r="B3631">
        <v>1.0259467958643027e-09</v>
      </c>
      <c r="D3631" t="inlineStr">
        <is>
          <t>kilogram</t>
        </is>
      </c>
      <c r="E3631" t="inlineStr">
        <is>
          <t>air::urban air close to ground</t>
        </is>
      </c>
      <c r="F3631" t="inlineStr">
        <is>
          <t>biosphere</t>
        </is>
      </c>
      <c r="I3631">
        <v>0</v>
      </c>
    </row>
    <row r="3632">
      <c r="A3632" t="inlineStr">
        <is>
          <t>Selenium IV</t>
        </is>
      </c>
      <c r="B3632">
        <v>5.060875675214197e-13</v>
      </c>
      <c r="D3632" t="inlineStr">
        <is>
          <t>kilogram</t>
        </is>
      </c>
      <c r="E3632" t="inlineStr">
        <is>
          <t>air::urban air close to ground</t>
        </is>
      </c>
      <c r="F3632" t="inlineStr">
        <is>
          <t>biosphere</t>
        </is>
      </c>
      <c r="I3632">
        <v>0</v>
      </c>
    </row>
    <row r="3633">
      <c r="A3633" t="inlineStr">
        <is>
          <t>Styrene</t>
        </is>
      </c>
      <c r="B3633">
        <v>1.4363254697012354e-09</v>
      </c>
      <c r="D3633" t="inlineStr">
        <is>
          <t>kilogram</t>
        </is>
      </c>
      <c r="E3633" t="inlineStr">
        <is>
          <t>air::urban air close to ground</t>
        </is>
      </c>
      <c r="F3633" t="inlineStr">
        <is>
          <t>biosphere</t>
        </is>
      </c>
      <c r="I3633">
        <v>0</v>
      </c>
    </row>
    <row r="3634">
      <c r="A3634" t="inlineStr">
        <is>
          <t>Acetaldehyde</t>
        </is>
      </c>
      <c r="B3634">
        <v>4.224345053862089e-08</v>
      </c>
      <c r="D3634" t="inlineStr">
        <is>
          <t>kilogram</t>
        </is>
      </c>
      <c r="E3634" t="inlineStr">
        <is>
          <t>air::non-urban air or from high stacks</t>
        </is>
      </c>
      <c r="F3634" t="inlineStr">
        <is>
          <t>biosphere</t>
        </is>
      </c>
      <c r="I3634">
        <v>0</v>
      </c>
    </row>
    <row r="3635">
      <c r="A3635" t="inlineStr">
        <is>
          <t>Acrolein</t>
        </is>
      </c>
      <c r="B3635">
        <v>1.6361249183986677e-08</v>
      </c>
      <c r="D3635" t="inlineStr">
        <is>
          <t>kilogram</t>
        </is>
      </c>
      <c r="E3635" t="inlineStr">
        <is>
          <t>air::non-urban air or from high stacks</t>
        </is>
      </c>
      <c r="F3635" t="inlineStr">
        <is>
          <t>biosphere</t>
        </is>
      </c>
      <c r="I3635">
        <v>0</v>
      </c>
    </row>
    <row r="3636">
      <c r="A3636" t="inlineStr">
        <is>
          <t>Benzaldehyde</t>
        </is>
      </c>
      <c r="B3636">
        <v>1.266379133893849e-08</v>
      </c>
      <c r="D3636" t="inlineStr">
        <is>
          <t>kilogram</t>
        </is>
      </c>
      <c r="E3636" t="inlineStr">
        <is>
          <t>air::non-urban air or from high stacks</t>
        </is>
      </c>
      <c r="F3636" t="inlineStr">
        <is>
          <t>biosphere</t>
        </is>
      </c>
      <c r="I3636">
        <v>0</v>
      </c>
    </row>
    <row r="3637">
      <c r="A3637" t="inlineStr">
        <is>
          <t>Heptane</t>
        </is>
      </c>
      <c r="B3637">
        <v>2.7730930870608808e-09</v>
      </c>
      <c r="D3637" t="inlineStr">
        <is>
          <t>kilogram</t>
        </is>
      </c>
      <c r="E3637" t="inlineStr">
        <is>
          <t>air::non-urban air or from high stacks</t>
        </is>
      </c>
      <c r="F3637" t="inlineStr">
        <is>
          <t>biosphere</t>
        </is>
      </c>
      <c r="I3637">
        <v>0</v>
      </c>
    </row>
    <row r="3638">
      <c r="A3638" t="inlineStr">
        <is>
          <t>m-Xylene</t>
        </is>
      </c>
      <c r="B3638">
        <v>9.058770533467024e-09</v>
      </c>
      <c r="D3638" t="inlineStr">
        <is>
          <t>kilogram</t>
        </is>
      </c>
      <c r="E3638" t="inlineStr">
        <is>
          <t>air::non-urban air or from high stacks</t>
        </is>
      </c>
      <c r="F3638" t="inlineStr">
        <is>
          <t>biosphere</t>
        </is>
      </c>
      <c r="I3638">
        <v>0</v>
      </c>
    </row>
    <row r="3639">
      <c r="A3639" t="inlineStr">
        <is>
          <t>o-Xylene</t>
        </is>
      </c>
      <c r="B3639">
        <v>3.6974572515976697e-09</v>
      </c>
      <c r="D3639" t="inlineStr">
        <is>
          <t>kilogram</t>
        </is>
      </c>
      <c r="E3639" t="inlineStr">
        <is>
          <t>air::non-urban air or from high stacks</t>
        </is>
      </c>
      <c r="F3639" t="inlineStr">
        <is>
          <t>biosphere</t>
        </is>
      </c>
      <c r="I3639">
        <v>0</v>
      </c>
    </row>
    <row r="3640">
      <c r="A3640" t="inlineStr">
        <is>
          <t>Styrene</t>
        </is>
      </c>
      <c r="B3640">
        <v>5.176440389616945e-09</v>
      </c>
      <c r="D3640" t="inlineStr">
        <is>
          <t>kilogram</t>
        </is>
      </c>
      <c r="E3640" t="inlineStr">
        <is>
          <t>air::non-urban air or from high stacks</t>
        </is>
      </c>
      <c r="F3640" t="inlineStr">
        <is>
          <t>biosphere</t>
        </is>
      </c>
      <c r="I3640">
        <v>0</v>
      </c>
    </row>
    <row r="3641">
      <c r="A3641" t="inlineStr">
        <is>
          <t>exhaust system, for lorry</t>
        </is>
      </c>
      <c r="B3641">
        <v>5.404282995252799e-05</v>
      </c>
      <c r="C3641" t="inlineStr">
        <is>
          <t>RER</t>
        </is>
      </c>
      <c r="D3641" t="inlineStr">
        <is>
          <t>kilogram</t>
        </is>
      </c>
      <c r="F3641" t="inlineStr">
        <is>
          <t>technosphere</t>
        </is>
      </c>
      <c r="G3641" t="inlineStr">
        <is>
          <t>exhaust system, for lorry</t>
        </is>
      </c>
      <c r="H3641" t="inlineStr">
        <is>
          <t> Energy-use allocation: 44 * 4.901960892311763e-06 / 3.9910248862093187 MJ per ton kilometer.</t>
        </is>
      </c>
      <c r="I3641">
        <v>0</v>
      </c>
    </row>
    <row r="3642">
      <c r="A3642" t="inlineStr">
        <is>
          <t>fuel tank, for diesel vehicle</t>
        </is>
      </c>
      <c r="B3642">
        <v>3.725734138008649e-05</v>
      </c>
      <c r="C3642" t="inlineStr">
        <is>
          <t>RER</t>
        </is>
      </c>
      <c r="D3642" t="inlineStr">
        <is>
          <t>kilogram</t>
        </is>
      </c>
      <c r="F3642" t="inlineStr">
        <is>
          <t>technosphere</t>
        </is>
      </c>
      <c r="G3642" t="inlineStr">
        <is>
          <t>fuel tank</t>
        </is>
      </c>
      <c r="H3642" t="inlineStr">
        <is>
          <t> Energy-use allocation: 30.33377456665039 * 4.901960892311763e-06 / 3.9910248862093187 MJ per ton kilometer.</t>
        </is>
      </c>
      <c r="I3642">
        <v>0</v>
      </c>
    </row>
    <row r="3643">
      <c r="A3643" t="inlineStr">
        <is>
          <t>gearbox, for lorry</t>
        </is>
      </c>
      <c r="B3643">
        <v>3.652312715379284e-05</v>
      </c>
      <c r="C3643" t="inlineStr">
        <is>
          <t>RER</t>
        </is>
      </c>
      <c r="D3643" t="inlineStr">
        <is>
          <t>kilogram</t>
        </is>
      </c>
      <c r="F3643" t="inlineStr">
        <is>
          <t>technosphere</t>
        </is>
      </c>
      <c r="G3643" t="inlineStr">
        <is>
          <t>gearbox, for lorry</t>
        </is>
      </c>
      <c r="H3643" t="inlineStr">
        <is>
          <t> Energy-use allocation: 29.73600006103516 * 4.901960892311763e-06 / 3.9910248862093187 MJ per ton kilometer.</t>
        </is>
      </c>
      <c r="I3643">
        <v>0</v>
      </c>
    </row>
    <row r="3644">
      <c r="A3644" t="inlineStr">
        <is>
          <t>internal combustion engine, for lorry</t>
        </is>
      </c>
      <c r="B3644">
        <v>0.0005455988679116848</v>
      </c>
      <c r="C3644" t="inlineStr">
        <is>
          <t>RER</t>
        </is>
      </c>
      <c r="D3644" t="inlineStr">
        <is>
          <t>kilogram</t>
        </is>
      </c>
      <c r="F3644" t="inlineStr">
        <is>
          <t>technosphere</t>
        </is>
      </c>
      <c r="G3644" t="inlineStr">
        <is>
          <t>internal combustion engine, for lorry</t>
        </is>
      </c>
      <c r="H3644" t="inlineStr">
        <is>
          <t> Energy-use allocation: 444.209716796875 * 4.901960892311763e-06 / 3.9910248862093187 MJ per ton kilometer.</t>
        </is>
      </c>
      <c r="I3644">
        <v>0</v>
      </c>
    </row>
    <row r="3645">
      <c r="A3645" t="inlineStr">
        <is>
          <t>lead acid battery, for lorry</t>
        </is>
      </c>
      <c r="B3645">
        <v>4.7178526900509966e-05</v>
      </c>
      <c r="C3645" t="inlineStr">
        <is>
          <t>RER</t>
        </is>
      </c>
      <c r="D3645" t="inlineStr">
        <is>
          <t>kilogram</t>
        </is>
      </c>
      <c r="F3645" t="inlineStr">
        <is>
          <t>technosphere</t>
        </is>
      </c>
      <c r="G3645" t="inlineStr">
        <is>
          <t>lead acid battery, for lorry</t>
        </is>
      </c>
      <c r="H3645" t="inlineStr">
        <is>
          <t> Energy-use allocation: 38.41129684448242 * 4.901960892311763e-06 / 3.9910248862093187 MJ per ton kilometer.</t>
        </is>
      </c>
      <c r="I3645">
        <v>0</v>
      </c>
    </row>
    <row r="3646">
      <c r="A3646" t="inlineStr">
        <is>
          <t>power electronics, for lorry</t>
        </is>
      </c>
      <c r="B3646">
        <v>2.9477907246833448e-05</v>
      </c>
      <c r="C3646" t="inlineStr">
        <is>
          <t>RER</t>
        </is>
      </c>
      <c r="D3646" t="inlineStr">
        <is>
          <t>kilogram</t>
        </is>
      </c>
      <c r="F3646" t="inlineStr">
        <is>
          <t>technosphere</t>
        </is>
      </c>
      <c r="G3646" t="inlineStr">
        <is>
          <t>power electronics, for lorry</t>
        </is>
      </c>
      <c r="H3646" t="inlineStr">
        <is>
          <t> Energy-use allocation: 24 * 4.901960892311763e-06 / 3.9910248862093187 MJ per ton kilometer.</t>
        </is>
      </c>
      <c r="I3646">
        <v>0</v>
      </c>
    </row>
    <row r="3647">
      <c r="A3647" t="inlineStr">
        <is>
          <t>retarder, for lorry</t>
        </is>
      </c>
      <c r="B3647">
        <v>1.2174375327482016e-05</v>
      </c>
      <c r="C3647" t="inlineStr">
        <is>
          <t>RER</t>
        </is>
      </c>
      <c r="D3647" t="inlineStr">
        <is>
          <t>kilogram</t>
        </is>
      </c>
      <c r="F3647" t="inlineStr">
        <is>
          <t>technosphere</t>
        </is>
      </c>
      <c r="G3647" t="inlineStr">
        <is>
          <t>retarder, for lorry</t>
        </is>
      </c>
      <c r="H3647" t="inlineStr">
        <is>
          <t> Energy-use allocation: 9.911999702453613 * 4.901960892311763e-06 / 3.9910248862093187 MJ per ton kilometer.</t>
        </is>
      </c>
      <c r="I3647">
        <v>0</v>
      </c>
    </row>
    <row r="3648">
      <c r="A3648" t="inlineStr">
        <is>
          <t>transmission, for lorry</t>
        </is>
      </c>
      <c r="B3648">
        <v>5.275562290504836e-05</v>
      </c>
      <c r="C3648" t="inlineStr">
        <is>
          <t>RER</t>
        </is>
      </c>
      <c r="D3648" t="inlineStr">
        <is>
          <t>kilogram</t>
        </is>
      </c>
      <c r="F3648" t="inlineStr">
        <is>
          <t>technosphere</t>
        </is>
      </c>
      <c r="G3648" t="inlineStr">
        <is>
          <t>transmission, for lorry</t>
        </is>
      </c>
      <c r="H3648" t="inlineStr">
        <is>
          <t> Energy-use allocation: 42.95199584960938 * 4.901960892311763e-06 / 3.9910248862093187 MJ per ton kilometer.</t>
        </is>
      </c>
      <c r="I3648">
        <v>0</v>
      </c>
    </row>
    <row r="3649">
      <c r="A3649" t="inlineStr">
        <is>
          <t>Carbon dioxide, fossil</t>
        </is>
      </c>
      <c r="B3649">
        <v>0.07319999999999999</v>
      </c>
      <c r="D3649" t="inlineStr">
        <is>
          <t>kilogram</t>
        </is>
      </c>
      <c r="E3649" t="inlineStr">
        <is>
          <t>air</t>
        </is>
      </c>
      <c r="F3649" t="inlineStr">
        <is>
          <t>biosphere</t>
        </is>
      </c>
      <c r="H3649" t="inlineStr">
        <is>
          <t>Reference-fuel full-oxidation CO2; Premise reclassifies fossil/biogenic carbon with regional blends. Pollutants are separate model estimates, not an elemental closure.</t>
        </is>
      </c>
      <c r="I3649">
        <v>0</v>
      </c>
    </row>
    <row r="3650"/>
    <row r="3651">
      <c r="A3651" t="inlineStr">
        <is>
          <t>Activity</t>
        </is>
      </c>
      <c r="B3651" t="inlineStr">
        <is>
          <t>diesel, burned in dedicated coach</t>
        </is>
      </c>
    </row>
    <row r="3652">
      <c r="A3652" t="inlineStr">
        <is>
          <t>comment</t>
        </is>
      </c>
      <c r="B3652" t="inlineStr">
        <is>
          <t>Produces consumption of 1 MJ of purchased energy. Representative powertrain carrier: diesel. energy-specific equipment; excludes chassis, body, roads and whole-vehicle maintenance. Source transport, passenger bus, diesel, 13m single deck coach bus, EURO-VI [RER]; 0.436857321676756 purchased MJ per person kilometer. All retained exchanges divided by this energy; lifetime, occupancy/payload and replacement allocation are carried by source production links. Baseline source specifications: Combustion engine power: 290 [kW]. Power share from combustion engine: 100 [%]. Km over lifetime: 700000 [km]. Yearly mileage: 50000 [km/year]. Daily distance driven: 511 [km]. Daily operating time: 9 [hours]. Tank-to-wheel efficiency: 24 [%]. Tank-to-wheel energy consumption: 9174 [kj/km]. Fuel tank capacity: 1302 [kWh]. Maximum passenger capacity: 55 [unit]. Number of passengers onboard: 21 [unit]. Curb mass (excl. driver and cargo): 13224 [kg]. Driving mass (incl. driver and cargo): 15156 [kg].</t>
        </is>
      </c>
    </row>
    <row r="3653">
      <c r="A3653" t="inlineStr">
        <is>
          <t>description</t>
        </is>
      </c>
      <c r="B365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654">
      <c r="A3654" t="inlineStr">
        <is>
          <t>location</t>
        </is>
      </c>
      <c r="B3654" t="inlineStr">
        <is>
          <t>CH</t>
        </is>
      </c>
    </row>
    <row r="3655">
      <c r="A3655" t="inlineStr">
        <is>
          <t>production amount</t>
        </is>
      </c>
      <c r="B3655">
        <v>1</v>
      </c>
    </row>
    <row r="3656">
      <c r="A3656" t="inlineStr">
        <is>
          <t>reference product</t>
        </is>
      </c>
      <c r="B3656" t="inlineStr">
        <is>
          <t>heat</t>
        </is>
      </c>
    </row>
    <row r="3657">
      <c r="A3657" t="inlineStr">
        <is>
          <t>type</t>
        </is>
      </c>
      <c r="B3657" t="inlineStr">
        <is>
          <t>process</t>
        </is>
      </c>
    </row>
    <row r="3658">
      <c r="A3658" t="inlineStr">
        <is>
          <t>unit</t>
        </is>
      </c>
      <c r="B3658" t="inlineStr">
        <is>
          <t>megajoule</t>
        </is>
      </c>
    </row>
    <row r="3659">
      <c r="A3659" t="inlineStr">
        <is>
          <t>energy use source</t>
        </is>
      </c>
      <c r="B3659" t="inlineStr">
        <is>
          <t>{"source": ["transport, passenger bus, diesel, 13m single deck coach bus, EURO-VI", "transport, passenger bus, EURO-VI", "RER", "person kilometer"], "source unit": "person kilometer", "purchased MJ per source service": 0.436857321676756, "boundary": "energy-specific equipment; excludes chassis, body, roads and whole-vehicle maintenance", "retained equipment": [{"supplier": ["exhaust system, for lorry", "exhaust system, for lorry", "RER", "kilogram"], "amount per vehicle": 118.0, "vehicle per source service": 6.802721088435375e-08, "replacement correction factor": 1.0, "amount per MJ": 1.837490293980541e-05}, {"supplier": ["fuel tank, for diesel vehicle", "fuel tank", "RER", "kilogram"], "amount per vehicle": 53.66257687167794, "vehicle per source service": 6.802721088435375e-08, "replacement correction factor": 1.0, "amount per MJ": 8.356310521329906e-06}, {"supplier": ["gearbox, for lorry", "gearbox, for lorry", "RER", "kilogram"], "amount per vehicle": 157.6079986953735, "vehicle per source service": 6.802721088435375e-08, "replacement correction factor": 1.0, "amount per MJ": 2.454264134376666e-05}, {"supplier": ["internal combustion engine, for lorry", "internal combustion engine, for lorry", "RER", "kilogram"], "amount per vehicle": 884.9968509651834, "vehicle per source service": 6.802721088435375e-08, "replacement correction factor": 1.0, "amount per MJ": 0.0001378112816823617}, {"supplier": ["power electronics, for lorry", "power electronics, for lorry", "RER", "kilogram"], "amount per vehicle": 220.0, "vehicle per source service": 6.802721088435375e-08, "replacement correction factor": 1.0, "amount per MJ": 3.425829361658636e-05}, {"supplier": ["retarder, for lorry", "retarder, for lorry", "RER", "kilogram"], "amount per vehicle": 52.53599956512451, "vehicle per source service": 6.802721088435375e-08, "replacement correction factor": 1.0, "amount per MJ": 8.180880447922222e-06}, {"supplier": ["transmission, for lorry", "transmission, for lorry", "RER", "kilogram"], "amount per vehicle": 227.6559981155395, "vehicle per source service": 6.802721088435375e-08, "replacement correction factor": 1.0, "amount per MJ": 3.545048194099629e-05}], "excluded": [{"supplier": ["Glider lightweighting", "Glider lightweighting", "GLO", "kilogram"], "amount per vehicle": 75.83729893520649, "vehicle per source service": 6.802721088435375e-08}, {"supplier": ["assembly operation, for lorry", "assembly operation, for lorry", "RER", "kilogram"], "amount per vehicle": 13224.0, "vehicle per source service": 6.802721088435375e-08}, {"supplier": ["frame, blanks and saddle, for lorry", "frame, blanks and saddle, for lorry", "RER", "kilogram"], "amount per vehicle": 7546.0, "vehicle per source service": 6.802721088435375e-08}, {"supplier": ["maintenance, bus", "maintenance, bus", "CH", "unit"], "amount per vehicle": 1.0, "vehicle per source service": 6.802721088435375e-08}, {"supplier": ["other components, for hybrid electric lorry", "other components, for hybrid electric lorry", "RER", "kilogram"], "amount per vehicle": 1033.0, "vehicle per source service": 6.802721088435375e-08}, {"supplier": ["suspension, for lorry", "suspension, for lorry", "RER", "kilogram"], "amount per vehicle": 2123.0, "vehicle per source service": 6.802721088435375e-08}, {"supplier": ["tires and wheels, for lorry", "tires and wheels, for lorry", "RER", "kilogram"], "amount per vehicle": 694.0, "vehicle per source service": 6.802721088435375e-08}, {"supplier": ["treatment of used bus", "used bus", "CH", "unit"], "amount per vehicle": -1.0, "vehicle per source service": 6.802721088435375e-08}, {"supplier": "market for road", "amount per source service": 0.0003875741345636445}, {"supplier": "market for road maintenance", "amount per source service": 6.142857142857142e-05}], "alternative fuel recipe retained": false}</t>
        </is>
      </c>
    </row>
    <row r="3660">
      <c r="A3660" t="inlineStr">
        <is>
          <t>Exchanges</t>
        </is>
      </c>
    </row>
    <row r="3661">
      <c r="A3661" t="inlineStr">
        <is>
          <t>name</t>
        </is>
      </c>
      <c r="B3661" t="inlineStr">
        <is>
          <t>amount</t>
        </is>
      </c>
      <c r="C3661" t="inlineStr">
        <is>
          <t>location</t>
        </is>
      </c>
      <c r="D3661" t="inlineStr">
        <is>
          <t>unit</t>
        </is>
      </c>
      <c r="E3661" t="inlineStr">
        <is>
          <t>categories</t>
        </is>
      </c>
      <c r="F3661" t="inlineStr">
        <is>
          <t>type</t>
        </is>
      </c>
      <c r="G3661" t="inlineStr">
        <is>
          <t>reference product</t>
        </is>
      </c>
      <c r="H3661" t="inlineStr">
        <is>
          <t>comment</t>
        </is>
      </c>
      <c r="I3661" t="inlineStr">
        <is>
          <t>uncertainty type</t>
        </is>
      </c>
    </row>
    <row r="3662">
      <c r="A3662" t="inlineStr">
        <is>
          <t>diesel, burned in dedicated coach</t>
        </is>
      </c>
      <c r="B3662">
        <v>1.0</v>
      </c>
      <c r="C3662" t="inlineStr">
        <is>
          <t>CH</t>
        </is>
      </c>
      <c r="D3662" t="inlineStr">
        <is>
          <t>megajoule</t>
        </is>
      </c>
      <c r="F3662" t="inlineStr">
        <is>
          <t>production</t>
        </is>
      </c>
      <c r="G3662" t="inlineStr">
        <is>
          <t>heat</t>
        </is>
      </c>
      <c r="I3662">
        <v>0</v>
      </c>
    </row>
    <row r="3663">
      <c r="A3663" t="inlineStr">
        <is>
          <t>market for diesel, low-sulfur</t>
        </is>
      </c>
      <c r="B3663">
        <v>0.023255813953488372</v>
      </c>
      <c r="C3663" t="inlineStr">
        <is>
          <t>Europe without Switzerland</t>
        </is>
      </c>
      <c r="D3663" t="inlineStr">
        <is>
          <t>kilogram</t>
        </is>
      </c>
      <c r="F3663" t="inlineStr">
        <is>
          <t>technosphere</t>
        </is>
      </c>
      <c r="G3663" t="inlineStr">
        <is>
          <t>diesel, low-sulfur</t>
        </is>
      </c>
      <c r="I3663">
        <v>0</v>
      </c>
    </row>
    <row r="3664">
      <c r="A3664" t="inlineStr">
        <is>
          <t>Acetaldehyde</t>
        </is>
      </c>
      <c r="B3664">
        <v>1.9339929126715395e-08</v>
      </c>
      <c r="D3664" t="inlineStr">
        <is>
          <t>kilogram</t>
        </is>
      </c>
      <c r="E3664" t="inlineStr">
        <is>
          <t>air::urban air close to ground</t>
        </is>
      </c>
      <c r="F3664" t="inlineStr">
        <is>
          <t>biosphere</t>
        </is>
      </c>
      <c r="I3664">
        <v>0</v>
      </c>
    </row>
    <row r="3665">
      <c r="A3665" t="inlineStr">
        <is>
          <t>Acetaldehyde</t>
        </is>
      </c>
      <c r="B3665">
        <v>8.973346449823602e-08</v>
      </c>
      <c r="D3665" t="inlineStr">
        <is>
          <t>kilogram</t>
        </is>
      </c>
      <c r="E3665" t="inlineStr">
        <is>
          <t>air::low population density, long-term</t>
        </is>
      </c>
      <c r="F3665" t="inlineStr">
        <is>
          <t>biosphere</t>
        </is>
      </c>
      <c r="I3665">
        <v>0</v>
      </c>
    </row>
    <row r="3666">
      <c r="A3666" t="inlineStr">
        <is>
          <t>Acrolein</t>
        </is>
      </c>
      <c r="B3666">
        <v>3.4754536578091404e-08</v>
      </c>
      <c r="D3666" t="inlineStr">
        <is>
          <t>kilogram</t>
        </is>
      </c>
      <c r="E3666" t="inlineStr">
        <is>
          <t>air::low population density, long-term</t>
        </is>
      </c>
      <c r="F3666" t="inlineStr">
        <is>
          <t>biosphere</t>
        </is>
      </c>
      <c r="I3666">
        <v>0</v>
      </c>
    </row>
    <row r="3667">
      <c r="A3667" t="inlineStr">
        <is>
          <t>Acrolein</t>
        </is>
      </c>
      <c r="B3667">
        <v>7.49051959612391e-09</v>
      </c>
      <c r="D3667" t="inlineStr">
        <is>
          <t>kilogram</t>
        </is>
      </c>
      <c r="E3667" t="inlineStr">
        <is>
          <t>air::urban air close to ground</t>
        </is>
      </c>
      <c r="F3667" t="inlineStr">
        <is>
          <t>biosphere</t>
        </is>
      </c>
      <c r="I3667">
        <v>0</v>
      </c>
    </row>
    <row r="3668">
      <c r="A3668" t="inlineStr">
        <is>
          <t>Ammonia</t>
        </is>
      </c>
      <c r="B3668">
        <v>8.688839309777278e-07</v>
      </c>
      <c r="D3668" t="inlineStr">
        <is>
          <t>kilogram</t>
        </is>
      </c>
      <c r="E3668" t="inlineStr">
        <is>
          <t>air::low population density, long-term</t>
        </is>
      </c>
      <c r="F3668" t="inlineStr">
        <is>
          <t>biosphere</t>
        </is>
      </c>
      <c r="I3668">
        <v>0</v>
      </c>
    </row>
    <row r="3669">
      <c r="A3669" t="inlineStr">
        <is>
          <t>Ammonia</t>
        </is>
      </c>
      <c r="B3669">
        <v>1.8726741175563845e-07</v>
      </c>
      <c r="D3669" t="inlineStr">
        <is>
          <t>kilogram</t>
        </is>
      </c>
      <c r="E3669" t="inlineStr">
        <is>
          <t>air::urban air close to ground</t>
        </is>
      </c>
      <c r="F3669" t="inlineStr">
        <is>
          <t>biosphere</t>
        </is>
      </c>
      <c r="I3669">
        <v>0</v>
      </c>
    </row>
    <row r="3670">
      <c r="A3670" t="inlineStr">
        <is>
          <t>Arsenic ion</t>
        </is>
      </c>
      <c r="B3670">
        <v>1.9168649451884822e-12</v>
      </c>
      <c r="D3670" t="inlineStr">
        <is>
          <t>kilogram</t>
        </is>
      </c>
      <c r="E3670" t="inlineStr">
        <is>
          <t>air::low population density, long-term</t>
        </is>
      </c>
      <c r="F3670" t="inlineStr">
        <is>
          <t>biosphere</t>
        </is>
      </c>
      <c r="I3670">
        <v>0</v>
      </c>
    </row>
    <row r="3671">
      <c r="A3671" t="inlineStr">
        <is>
          <t>Arsenic ion</t>
        </is>
      </c>
      <c r="B3671">
        <v>4.131349702446761e-13</v>
      </c>
      <c r="D3671" t="inlineStr">
        <is>
          <t>kilogram</t>
        </is>
      </c>
      <c r="E3671" t="inlineStr">
        <is>
          <t>air::urban air close to ground</t>
        </is>
      </c>
      <c r="F3671" t="inlineStr">
        <is>
          <t>biosphere</t>
        </is>
      </c>
      <c r="I3671">
        <v>0</v>
      </c>
    </row>
    <row r="3672">
      <c r="A3672" t="inlineStr">
        <is>
          <t>Benzaldehyde</t>
        </is>
      </c>
      <c r="B3672">
        <v>2.6900404018070765e-08</v>
      </c>
      <c r="D3672" t="inlineStr">
        <is>
          <t>kilogram</t>
        </is>
      </c>
      <c r="E3672" t="inlineStr">
        <is>
          <t>air::low population density, long-term</t>
        </is>
      </c>
      <c r="F3672" t="inlineStr">
        <is>
          <t>biosphere</t>
        </is>
      </c>
      <c r="I3672">
        <v>0</v>
      </c>
    </row>
    <row r="3673">
      <c r="A3673" t="inlineStr">
        <is>
          <t>Benzaldehyde</t>
        </is>
      </c>
      <c r="B3673">
        <v>5.797746806039409e-09</v>
      </c>
      <c r="D3673" t="inlineStr">
        <is>
          <t>kilogram</t>
        </is>
      </c>
      <c r="E3673" t="inlineStr">
        <is>
          <t>air::urban air close to ground</t>
        </is>
      </c>
      <c r="F3673" t="inlineStr">
        <is>
          <t>biosphere</t>
        </is>
      </c>
      <c r="I3673">
        <v>0</v>
      </c>
    </row>
    <row r="3674">
      <c r="A3674" t="inlineStr">
        <is>
          <t>Benzene</t>
        </is>
      </c>
      <c r="B3674">
        <v>2.3913329094317297e-08</v>
      </c>
      <c r="D3674" t="inlineStr">
        <is>
          <t>kilogram</t>
        </is>
      </c>
      <c r="E3674" t="inlineStr">
        <is>
          <t>air::low population density, long-term</t>
        </is>
      </c>
      <c r="F3674" t="inlineStr">
        <is>
          <t>biosphere</t>
        </is>
      </c>
      <c r="I3674">
        <v>0</v>
      </c>
    </row>
    <row r="3675">
      <c r="A3675" t="inlineStr">
        <is>
          <t>Benzene</t>
        </is>
      </c>
      <c r="B3675">
        <v>5.15395334899846e-09</v>
      </c>
      <c r="D3675" t="inlineStr">
        <is>
          <t>kilogram</t>
        </is>
      </c>
      <c r="E3675" t="inlineStr">
        <is>
          <t>air::urban air close to ground</t>
        </is>
      </c>
      <c r="F3675" t="inlineStr">
        <is>
          <t>biosphere</t>
        </is>
      </c>
      <c r="I3675">
        <v>0</v>
      </c>
    </row>
    <row r="3676">
      <c r="A3676" t="inlineStr">
        <is>
          <t>Butane</t>
        </is>
      </c>
      <c r="B3676">
        <v>6.347897962816872e-10</v>
      </c>
      <c r="D3676" t="inlineStr">
        <is>
          <t>kilogram</t>
        </is>
      </c>
      <c r="E3676" t="inlineStr">
        <is>
          <t>air::urban air close to ground</t>
        </is>
      </c>
      <c r="F3676" t="inlineStr">
        <is>
          <t>biosphere</t>
        </is>
      </c>
      <c r="I3676">
        <v>0</v>
      </c>
    </row>
    <row r="3677">
      <c r="A3677" t="inlineStr">
        <is>
          <t>Butane</t>
        </is>
      </c>
      <c r="B3677">
        <v>2.945299710007746e-09</v>
      </c>
      <c r="D3677" t="inlineStr">
        <is>
          <t>kilogram</t>
        </is>
      </c>
      <c r="E3677" t="inlineStr">
        <is>
          <t>air::low population density, long-term</t>
        </is>
      </c>
      <c r="F3677" t="inlineStr">
        <is>
          <t>biosphere</t>
        </is>
      </c>
      <c r="I3677">
        <v>0</v>
      </c>
    </row>
    <row r="3678">
      <c r="A3678" t="inlineStr">
        <is>
          <t>Cadmium II</t>
        </is>
      </c>
      <c r="B3678">
        <v>1.6618314117084698e-10</v>
      </c>
      <c r="D3678" t="inlineStr">
        <is>
          <t>kilogram</t>
        </is>
      </c>
      <c r="E3678" t="inlineStr">
        <is>
          <t>air::low population density, long-term</t>
        </is>
      </c>
      <c r="F3678" t="inlineStr">
        <is>
          <t>biosphere</t>
        </is>
      </c>
      <c r="I3678">
        <v>0</v>
      </c>
    </row>
    <row r="3679">
      <c r="A3679" t="inlineStr">
        <is>
          <t>Cadmium II</t>
        </is>
      </c>
      <c r="B3679">
        <v>3.5816851497607116e-11</v>
      </c>
      <c r="D3679" t="inlineStr">
        <is>
          <t>kilogram</t>
        </is>
      </c>
      <c r="E3679" t="inlineStr">
        <is>
          <t>air::urban air close to ground</t>
        </is>
      </c>
      <c r="F3679" t="inlineStr">
        <is>
          <t>biosphere</t>
        </is>
      </c>
      <c r="I3679">
        <v>0</v>
      </c>
    </row>
    <row r="3680">
      <c r="A3680" t="inlineStr">
        <is>
          <t>Carbon dioxide, fossil</t>
        </is>
      </c>
      <c r="B3680">
        <v>0.07325581395348836</v>
      </c>
      <c r="D3680" t="inlineStr">
        <is>
          <t>kilogram</t>
        </is>
      </c>
      <c r="E3680" t="inlineStr">
        <is>
          <t>air::unspecified</t>
        </is>
      </c>
      <c r="F3680" t="inlineStr">
        <is>
          <t>biosphere</t>
        </is>
      </c>
      <c r="I3680">
        <v>0</v>
      </c>
    </row>
    <row r="3681">
      <c r="A3681" t="inlineStr">
        <is>
          <t>Carbon monoxide, fossil</t>
        </is>
      </c>
      <c r="B3681">
        <v>1.7228677584562784e-05</v>
      </c>
      <c r="D3681" t="inlineStr">
        <is>
          <t>kilogram</t>
        </is>
      </c>
      <c r="E3681" t="inlineStr">
        <is>
          <t>air::low population density, long-term</t>
        </is>
      </c>
      <c r="F3681" t="inlineStr">
        <is>
          <t>biosphere</t>
        </is>
      </c>
      <c r="I3681">
        <v>0</v>
      </c>
    </row>
    <row r="3682">
      <c r="A3682" t="inlineStr">
        <is>
          <t>Carbon monoxide, fossil</t>
        </is>
      </c>
      <c r="B3682">
        <v>3.713234580829369e-06</v>
      </c>
      <c r="D3682" t="inlineStr">
        <is>
          <t>kilogram</t>
        </is>
      </c>
      <c r="E3682" t="inlineStr">
        <is>
          <t>air::urban air close to ground</t>
        </is>
      </c>
      <c r="F3682" t="inlineStr">
        <is>
          <t>biosphere</t>
        </is>
      </c>
      <c r="I3682">
        <v>0</v>
      </c>
    </row>
    <row r="3683">
      <c r="A3683" t="inlineStr">
        <is>
          <t>Chromium III</t>
        </is>
      </c>
      <c r="B3683">
        <v>5.742367947388672e-10</v>
      </c>
      <c r="D3683" t="inlineStr">
        <is>
          <t>kilogram</t>
        </is>
      </c>
      <c r="E3683" t="inlineStr">
        <is>
          <t>air::low population density, long-term</t>
        </is>
      </c>
      <c r="F3683" t="inlineStr">
        <is>
          <t>biosphere</t>
        </is>
      </c>
      <c r="I3683">
        <v>0</v>
      </c>
    </row>
    <row r="3684">
      <c r="A3684" t="inlineStr">
        <is>
          <t>Chromium III</t>
        </is>
      </c>
      <c r="B3684">
        <v>1.237631799273751e-10</v>
      </c>
      <c r="D3684" t="inlineStr">
        <is>
          <t>kilogram</t>
        </is>
      </c>
      <c r="E3684" t="inlineStr">
        <is>
          <t>air::urban air close to ground</t>
        </is>
      </c>
      <c r="F3684" t="inlineStr">
        <is>
          <t>biosphere</t>
        </is>
      </c>
      <c r="I3684">
        <v>0</v>
      </c>
    </row>
    <row r="3685">
      <c r="A3685" t="inlineStr">
        <is>
          <t>Chromium VI</t>
        </is>
      </c>
      <c r="B3685">
        <v>1.1517643447484444e-12</v>
      </c>
      <c r="D3685" t="inlineStr">
        <is>
          <t>kilogram</t>
        </is>
      </c>
      <c r="E3685" t="inlineStr">
        <is>
          <t>air::low population density, long-term</t>
        </is>
      </c>
      <c r="F3685" t="inlineStr">
        <is>
          <t>biosphere</t>
        </is>
      </c>
      <c r="I3685">
        <v>0</v>
      </c>
    </row>
    <row r="3686">
      <c r="A3686" t="inlineStr">
        <is>
          <t>Chromium VI</t>
        </is>
      </c>
      <c r="B3686">
        <v>2.482356044388613e-13</v>
      </c>
      <c r="D3686" t="inlineStr">
        <is>
          <t>kilogram</t>
        </is>
      </c>
      <c r="E3686" t="inlineStr">
        <is>
          <t>air::urban air close to ground</t>
        </is>
      </c>
      <c r="F3686" t="inlineStr">
        <is>
          <t>biosphere</t>
        </is>
      </c>
      <c r="I3686">
        <v>0</v>
      </c>
    </row>
    <row r="3687">
      <c r="A3687" t="inlineStr">
        <is>
          <t>Copper ion</t>
        </is>
      </c>
      <c r="B3687">
        <v>8.74143949916847e-11</v>
      </c>
      <c r="D3687" t="inlineStr">
        <is>
          <t>kilogram</t>
        </is>
      </c>
      <c r="E3687" t="inlineStr">
        <is>
          <t>air::urban air close to ground</t>
        </is>
      </c>
      <c r="F3687" t="inlineStr">
        <is>
          <t>biosphere</t>
        </is>
      </c>
      <c r="I3687">
        <v>0</v>
      </c>
    </row>
    <row r="3688">
      <c r="A3688" t="inlineStr">
        <is>
          <t>Copper ion</t>
        </is>
      </c>
      <c r="B3688">
        <v>4.0558558711498783e-10</v>
      </c>
      <c r="D3688" t="inlineStr">
        <is>
          <t>kilogram</t>
        </is>
      </c>
      <c r="E3688" t="inlineStr">
        <is>
          <t>air::low population density, long-term</t>
        </is>
      </c>
      <c r="F3688" t="inlineStr">
        <is>
          <t>biosphere</t>
        </is>
      </c>
      <c r="I3688">
        <v>0</v>
      </c>
    </row>
    <row r="3689">
      <c r="A3689" t="inlineStr">
        <is>
          <t>Dinitrogen monoxide</t>
        </is>
      </c>
      <c r="B3689">
        <v>1.963533140005165e-06</v>
      </c>
      <c r="D3689" t="inlineStr">
        <is>
          <t>kilogram</t>
        </is>
      </c>
      <c r="E3689" t="inlineStr">
        <is>
          <t>air::low population density, long-term</t>
        </is>
      </c>
      <c r="F3689" t="inlineStr">
        <is>
          <t>biosphere</t>
        </is>
      </c>
      <c r="I3689">
        <v>0</v>
      </c>
    </row>
    <row r="3690">
      <c r="A3690" t="inlineStr">
        <is>
          <t>Dinitrogen monoxide</t>
        </is>
      </c>
      <c r="B3690">
        <v>4.2319319752112466e-07</v>
      </c>
      <c r="D3690" t="inlineStr">
        <is>
          <t>kilogram</t>
        </is>
      </c>
      <c r="E3690" t="inlineStr">
        <is>
          <t>air::urban air close to ground</t>
        </is>
      </c>
      <c r="F3690" t="inlineStr">
        <is>
          <t>biosphere</t>
        </is>
      </c>
      <c r="I3690">
        <v>0</v>
      </c>
    </row>
    <row r="3691">
      <c r="A3691" t="inlineStr">
        <is>
          <t>Ethane</t>
        </is>
      </c>
      <c r="B3691">
        <v>1.2695795925633742e-10</v>
      </c>
      <c r="D3691" t="inlineStr">
        <is>
          <t>kilogram</t>
        </is>
      </c>
      <c r="E3691" t="inlineStr">
        <is>
          <t>air::urban air close to ground</t>
        </is>
      </c>
      <c r="F3691" t="inlineStr">
        <is>
          <t>biosphere</t>
        </is>
      </c>
      <c r="I3691">
        <v>0</v>
      </c>
    </row>
    <row r="3692">
      <c r="A3692" t="inlineStr">
        <is>
          <t>Ethane</t>
        </is>
      </c>
      <c r="B3692">
        <v>5.890599420015495e-10</v>
      </c>
      <c r="D3692" t="inlineStr">
        <is>
          <t>kilogram</t>
        </is>
      </c>
      <c r="E3692" t="inlineStr">
        <is>
          <t>air::low population density, long-term</t>
        </is>
      </c>
      <c r="F3692" t="inlineStr">
        <is>
          <t>biosphere</t>
        </is>
      </c>
      <c r="I3692">
        <v>0</v>
      </c>
    </row>
    <row r="3693">
      <c r="A3693" t="inlineStr">
        <is>
          <t>1,1,1,2-Tetrafluoroethane</t>
        </is>
      </c>
      <c r="B3693">
        <v>2.4915122630244626e-06</v>
      </c>
      <c r="D3693" t="inlineStr">
        <is>
          <t>kilogram</t>
        </is>
      </c>
      <c r="E3693" t="inlineStr">
        <is>
          <t>air::unspecified</t>
        </is>
      </c>
      <c r="F3693" t="inlineStr">
        <is>
          <t>biosphere</t>
        </is>
      </c>
      <c r="I3693">
        <v>0</v>
      </c>
    </row>
    <row r="3694">
      <c r="A3694" t="inlineStr">
        <is>
          <t>Formaldehyde</t>
        </is>
      </c>
      <c r="B3694">
        <v>1.6493678376043386e-07</v>
      </c>
      <c r="D3694" t="inlineStr">
        <is>
          <t>kilogram</t>
        </is>
      </c>
      <c r="E3694" t="inlineStr">
        <is>
          <t>air::low population density, long-term</t>
        </is>
      </c>
      <c r="F3694" t="inlineStr">
        <is>
          <t>biosphere</t>
        </is>
      </c>
      <c r="I3694">
        <v>0</v>
      </c>
    </row>
    <row r="3695">
      <c r="A3695" t="inlineStr">
        <is>
          <t>Formaldehyde</t>
        </is>
      </c>
      <c r="B3695">
        <v>3.554822859177448e-08</v>
      </c>
      <c r="D3695" t="inlineStr">
        <is>
          <t>kilogram</t>
        </is>
      </c>
      <c r="E3695" t="inlineStr">
        <is>
          <t>air::urban air close to ground</t>
        </is>
      </c>
      <c r="F3695" t="inlineStr">
        <is>
          <t>biosphere</t>
        </is>
      </c>
      <c r="I3695">
        <v>0</v>
      </c>
    </row>
    <row r="3696">
      <c r="A3696" t="inlineStr">
        <is>
          <t>Heptane</t>
        </is>
      </c>
      <c r="B3696">
        <v>5.890599420015494e-09</v>
      </c>
      <c r="D3696" t="inlineStr">
        <is>
          <t>kilogram</t>
        </is>
      </c>
      <c r="E3696" t="inlineStr">
        <is>
          <t>air::low population density, long-term</t>
        </is>
      </c>
      <c r="F3696" t="inlineStr">
        <is>
          <t>biosphere</t>
        </is>
      </c>
      <c r="I3696">
        <v>0</v>
      </c>
    </row>
    <row r="3697">
      <c r="A3697" t="inlineStr">
        <is>
          <t>Heptane</t>
        </is>
      </c>
      <c r="B3697">
        <v>1.269579592563374e-09</v>
      </c>
      <c r="D3697" t="inlineStr">
        <is>
          <t>kilogram</t>
        </is>
      </c>
      <c r="E3697" t="inlineStr">
        <is>
          <t>air::urban air close to ground</t>
        </is>
      </c>
      <c r="F3697" t="inlineStr">
        <is>
          <t>biosphere</t>
        </is>
      </c>
      <c r="I3697">
        <v>0</v>
      </c>
    </row>
    <row r="3698">
      <c r="A3698" t="inlineStr">
        <is>
          <t>Hydrocarbons, chlorinated</t>
        </is>
      </c>
      <c r="B3698">
        <v>3.08619969068454e-07</v>
      </c>
      <c r="D3698" t="inlineStr">
        <is>
          <t>kilogram</t>
        </is>
      </c>
      <c r="E3698" t="inlineStr">
        <is>
          <t>air::urban air close to ground</t>
        </is>
      </c>
      <c r="F3698" t="inlineStr">
        <is>
          <t>biosphere</t>
        </is>
      </c>
      <c r="I3698">
        <v>0</v>
      </c>
    </row>
    <row r="3699">
      <c r="A3699" t="inlineStr">
        <is>
          <t>Hydrocarbons, chlorinated</t>
        </is>
      </c>
      <c r="B3699">
        <v>1.4319359112643316e-06</v>
      </c>
      <c r="D3699" t="inlineStr">
        <is>
          <t>kilogram</t>
        </is>
      </c>
      <c r="E3699" t="inlineStr">
        <is>
          <t>air::low population density, long-term</t>
        </is>
      </c>
      <c r="F3699" t="inlineStr">
        <is>
          <t>biosphere</t>
        </is>
      </c>
      <c r="I3699">
        <v>0</v>
      </c>
    </row>
    <row r="3700">
      <c r="A3700" t="inlineStr">
        <is>
          <t>Mercury II</t>
        </is>
      </c>
      <c r="B3700">
        <v>2.1809270961414234e-11</v>
      </c>
      <c r="D3700" t="inlineStr">
        <is>
          <t>kilogram</t>
        </is>
      </c>
      <c r="E3700" t="inlineStr">
        <is>
          <t>air::urban air close to ground</t>
        </is>
      </c>
      <c r="F3700" t="inlineStr">
        <is>
          <t>biosphere</t>
        </is>
      </c>
      <c r="I3700">
        <v>0</v>
      </c>
    </row>
    <row r="3701">
      <c r="A3701" t="inlineStr">
        <is>
          <t>Mercury II</t>
        </is>
      </c>
      <c r="B3701">
        <v>1.0119072457432758e-10</v>
      </c>
      <c r="D3701" t="inlineStr">
        <is>
          <t>kilogram</t>
        </is>
      </c>
      <c r="E3701" t="inlineStr">
        <is>
          <t>air::low population density, long-term</t>
        </is>
      </c>
      <c r="F3701" t="inlineStr">
        <is>
          <t>biosphere</t>
        </is>
      </c>
      <c r="I3701">
        <v>0</v>
      </c>
    </row>
    <row r="3702">
      <c r="A3702" t="inlineStr">
        <is>
          <t>Methane, fossil</t>
        </is>
      </c>
      <c r="B3702">
        <v>7.4068793501437964e-09</v>
      </c>
      <c r="D3702" t="inlineStr">
        <is>
          <t>kilogram</t>
        </is>
      </c>
      <c r="E3702" t="inlineStr">
        <is>
          <t>air::urban air close to ground</t>
        </is>
      </c>
      <c r="F3702" t="inlineStr">
        <is>
          <t>biosphere</t>
        </is>
      </c>
      <c r="I3702">
        <v>0</v>
      </c>
    </row>
    <row r="3703">
      <c r="A3703" t="inlineStr">
        <is>
          <t>Methane, fossil</t>
        </is>
      </c>
      <c r="B3703">
        <v>3.436646229952995e-08</v>
      </c>
      <c r="D3703" t="inlineStr">
        <is>
          <t>kilogram</t>
        </is>
      </c>
      <c r="E3703" t="inlineStr">
        <is>
          <t>air::low population density, long-term</t>
        </is>
      </c>
      <c r="F3703" t="inlineStr">
        <is>
          <t>biosphere</t>
        </is>
      </c>
      <c r="I3703">
        <v>0</v>
      </c>
    </row>
    <row r="3704">
      <c r="A3704" t="inlineStr">
        <is>
          <t>NMVOC, non-methane volatile organic compounds</t>
        </is>
      </c>
      <c r="B3704">
        <v>1.1362239672364376e-06</v>
      </c>
      <c r="D3704" t="inlineStr">
        <is>
          <t>kilogram</t>
        </is>
      </c>
      <c r="E3704" t="inlineStr">
        <is>
          <t>air::low population density, long-term</t>
        </is>
      </c>
      <c r="F3704" t="inlineStr">
        <is>
          <t>biosphere</t>
        </is>
      </c>
      <c r="I3704">
        <v>0</v>
      </c>
    </row>
    <row r="3705">
      <c r="A3705" t="inlineStr">
        <is>
          <t>NMVOC, non-methane volatile organic compounds</t>
        </is>
      </c>
      <c r="B3705">
        <v>2.448862430677696e-07</v>
      </c>
      <c r="D3705" t="inlineStr">
        <is>
          <t>kilogram</t>
        </is>
      </c>
      <c r="E3705" t="inlineStr">
        <is>
          <t>air::urban air close to ground</t>
        </is>
      </c>
      <c r="F3705" t="inlineStr">
        <is>
          <t>biosphere</t>
        </is>
      </c>
      <c r="I3705">
        <v>0</v>
      </c>
    </row>
    <row r="3706">
      <c r="A3706" t="inlineStr">
        <is>
          <t>Nickel II</t>
        </is>
      </c>
      <c r="B3706">
        <v>1.6865120762387935e-10</v>
      </c>
      <c r="D3706" t="inlineStr">
        <is>
          <t>kilogram</t>
        </is>
      </c>
      <c r="E3706" t="inlineStr">
        <is>
          <t>air::low population density, long-term</t>
        </is>
      </c>
      <c r="F3706" t="inlineStr">
        <is>
          <t>biosphere</t>
        </is>
      </c>
      <c r="I3706">
        <v>0</v>
      </c>
    </row>
    <row r="3707">
      <c r="A3707" t="inlineStr">
        <is>
          <t>Nickel II</t>
        </is>
      </c>
      <c r="B3707">
        <v>3.634878493569039e-11</v>
      </c>
      <c r="D3707" t="inlineStr">
        <is>
          <t>kilogram</t>
        </is>
      </c>
      <c r="E3707" t="inlineStr">
        <is>
          <t>air::urban air close to ground</t>
        </is>
      </c>
      <c r="F3707" t="inlineStr">
        <is>
          <t>biosphere</t>
        </is>
      </c>
      <c r="I3707">
        <v>0</v>
      </c>
    </row>
    <row r="3708">
      <c r="A3708" t="inlineStr">
        <is>
          <t>Nitrogen oxides</t>
        </is>
      </c>
      <c r="B3708">
        <v>3.5263308160178145e-05</v>
      </c>
      <c r="D3708" t="inlineStr">
        <is>
          <t>kilogram</t>
        </is>
      </c>
      <c r="E3708" t="inlineStr">
        <is>
          <t>air::low population density, long-term</t>
        </is>
      </c>
      <c r="F3708" t="inlineStr">
        <is>
          <t>biosphere</t>
        </is>
      </c>
      <c r="I3708">
        <v>0</v>
      </c>
    </row>
    <row r="3709">
      <c r="A3709" t="inlineStr">
        <is>
          <t>Nitrogen oxides</t>
        </is>
      </c>
      <c r="B3709">
        <v>7.600173295490856e-06</v>
      </c>
      <c r="D3709" t="inlineStr">
        <is>
          <t>kilogram</t>
        </is>
      </c>
      <c r="E3709" t="inlineStr">
        <is>
          <t>air::urban air close to ground</t>
        </is>
      </c>
      <c r="F3709" t="inlineStr">
        <is>
          <t>biosphere</t>
        </is>
      </c>
      <c r="I3709">
        <v>0</v>
      </c>
    </row>
    <row r="3710">
      <c r="A3710" t="inlineStr">
        <is>
          <t>PAH, polycyclic aromatic hydrocarbons</t>
        </is>
      </c>
      <c r="B3710">
        <v>3.2270628577051953e-10</v>
      </c>
      <c r="D3710" t="inlineStr">
        <is>
          <t>kilogram</t>
        </is>
      </c>
      <c r="E3710" t="inlineStr">
        <is>
          <t>air::urban air close to ground</t>
        </is>
      </c>
      <c r="F3710" t="inlineStr">
        <is>
          <t>biosphere</t>
        </is>
      </c>
      <c r="I3710">
        <v>0</v>
      </c>
    </row>
    <row r="3711">
      <c r="A3711" t="inlineStr">
        <is>
          <t>PAH, polycyclic aromatic hydrocarbons</t>
        </is>
      </c>
      <c r="B3711">
        <v>1.497293648172977e-09</v>
      </c>
      <c r="D3711" t="inlineStr">
        <is>
          <t>kilogram</t>
        </is>
      </c>
      <c r="E3711" t="inlineStr">
        <is>
          <t>air::low population density, long-term</t>
        </is>
      </c>
      <c r="F3711" t="inlineStr">
        <is>
          <t>biosphere</t>
        </is>
      </c>
      <c r="I3711">
        <v>0</v>
      </c>
    </row>
    <row r="3712">
      <c r="A3712" t="inlineStr">
        <is>
          <t>Particulate Matter, &lt; 2.5 um</t>
        </is>
      </c>
      <c r="B3712">
        <v>4.46504693786539e-07</v>
      </c>
      <c r="D3712" t="inlineStr">
        <is>
          <t>kilogram</t>
        </is>
      </c>
      <c r="E3712" t="inlineStr">
        <is>
          <t>air::urban air close to ground</t>
        </is>
      </c>
      <c r="F3712" t="inlineStr">
        <is>
          <t>biosphere</t>
        </is>
      </c>
      <c r="I3712">
        <v>0</v>
      </c>
    </row>
    <row r="3713">
      <c r="A3713" t="inlineStr">
        <is>
          <t>Particulate Matter, &lt; 2.5 um</t>
        </is>
      </c>
      <c r="B3713">
        <v>2.071693894309262e-06</v>
      </c>
      <c r="D3713" t="inlineStr">
        <is>
          <t>kilogram</t>
        </is>
      </c>
      <c r="E3713" t="inlineStr">
        <is>
          <t>air::low population density, long-term</t>
        </is>
      </c>
      <c r="F3713" t="inlineStr">
        <is>
          <t>biosphere</t>
        </is>
      </c>
      <c r="I3713">
        <v>0</v>
      </c>
    </row>
    <row r="3714">
      <c r="A3714" t="inlineStr">
        <is>
          <t>Pentane</t>
        </is>
      </c>
      <c r="B3714">
        <v>1.1781198840030987e-09</v>
      </c>
      <c r="D3714" t="inlineStr">
        <is>
          <t>kilogram</t>
        </is>
      </c>
      <c r="E3714" t="inlineStr">
        <is>
          <t>air::low population density, long-term</t>
        </is>
      </c>
      <c r="F3714" t="inlineStr">
        <is>
          <t>biosphere</t>
        </is>
      </c>
      <c r="I3714">
        <v>0</v>
      </c>
    </row>
    <row r="3715">
      <c r="A3715" t="inlineStr">
        <is>
          <t>Pentane</t>
        </is>
      </c>
      <c r="B3715">
        <v>2.5391591851267473e-10</v>
      </c>
      <c r="D3715" t="inlineStr">
        <is>
          <t>kilogram</t>
        </is>
      </c>
      <c r="E3715" t="inlineStr">
        <is>
          <t>air::urban air close to ground</t>
        </is>
      </c>
      <c r="F3715" t="inlineStr">
        <is>
          <t>biosphere</t>
        </is>
      </c>
      <c r="I3715">
        <v>0</v>
      </c>
    </row>
    <row r="3716">
      <c r="A3716" t="inlineStr">
        <is>
          <t>Propane</t>
        </is>
      </c>
      <c r="B3716">
        <v>4.2319319752112463e-10</v>
      </c>
      <c r="D3716" t="inlineStr">
        <is>
          <t>kilogram</t>
        </is>
      </c>
      <c r="E3716" t="inlineStr">
        <is>
          <t>air::urban air close to ground</t>
        </is>
      </c>
      <c r="F3716" t="inlineStr">
        <is>
          <t>biosphere</t>
        </is>
      </c>
      <c r="I3716">
        <v>0</v>
      </c>
    </row>
    <row r="3717">
      <c r="A3717" t="inlineStr">
        <is>
          <t>Propane</t>
        </is>
      </c>
      <c r="B3717">
        <v>1.9635331400051646e-09</v>
      </c>
      <c r="D3717" t="inlineStr">
        <is>
          <t>kilogram</t>
        </is>
      </c>
      <c r="E3717" t="inlineStr">
        <is>
          <t>air::low population density, long-term</t>
        </is>
      </c>
      <c r="F3717" t="inlineStr">
        <is>
          <t>biosphere</t>
        </is>
      </c>
      <c r="I3717">
        <v>0</v>
      </c>
    </row>
    <row r="3718">
      <c r="A3718" t="inlineStr">
        <is>
          <t>Selenium IV</t>
        </is>
      </c>
      <c r="B3718">
        <v>1.9168649451884822e-12</v>
      </c>
      <c r="D3718" t="inlineStr">
        <is>
          <t>kilogram</t>
        </is>
      </c>
      <c r="E3718" t="inlineStr">
        <is>
          <t>air::low population density, long-term</t>
        </is>
      </c>
      <c r="F3718" t="inlineStr">
        <is>
          <t>biosphere</t>
        </is>
      </c>
      <c r="I3718">
        <v>0</v>
      </c>
    </row>
    <row r="3719">
      <c r="A3719" t="inlineStr">
        <is>
          <t>Selenium IV</t>
        </is>
      </c>
      <c r="B3719">
        <v>4.131349702446761e-13</v>
      </c>
      <c r="D3719" t="inlineStr">
        <is>
          <t>kilogram</t>
        </is>
      </c>
      <c r="E3719" t="inlineStr">
        <is>
          <t>air::urban air close to ground</t>
        </is>
      </c>
      <c r="F3719" t="inlineStr">
        <is>
          <t>biosphere</t>
        </is>
      </c>
      <c r="I3719">
        <v>0</v>
      </c>
    </row>
    <row r="3720">
      <c r="A3720" t="inlineStr">
        <is>
          <t>Styrene</t>
        </is>
      </c>
      <c r="B3720">
        <v>1.099578558402892e-08</v>
      </c>
      <c r="D3720" t="inlineStr">
        <is>
          <t>kilogram</t>
        </is>
      </c>
      <c r="E3720" t="inlineStr">
        <is>
          <t>air::low population density, long-term</t>
        </is>
      </c>
      <c r="F3720" t="inlineStr">
        <is>
          <t>biosphere</t>
        </is>
      </c>
      <c r="I3720">
        <v>0</v>
      </c>
    </row>
    <row r="3721">
      <c r="A3721" t="inlineStr">
        <is>
          <t>Styrene</t>
        </is>
      </c>
      <c r="B3721">
        <v>2.369881906118298e-09</v>
      </c>
      <c r="D3721" t="inlineStr">
        <is>
          <t>kilogram</t>
        </is>
      </c>
      <c r="E3721" t="inlineStr">
        <is>
          <t>air::urban air close to ground</t>
        </is>
      </c>
      <c r="F3721" t="inlineStr">
        <is>
          <t>biosphere</t>
        </is>
      </c>
      <c r="I3721">
        <v>0</v>
      </c>
    </row>
    <row r="3722">
      <c r="A3722" t="inlineStr">
        <is>
          <t>Sulfur dioxide</t>
        </is>
      </c>
      <c r="B3722">
        <v>4.6511627906976743e-07</v>
      </c>
      <c r="D3722" t="inlineStr">
        <is>
          <t>kilogram</t>
        </is>
      </c>
      <c r="E3722" t="inlineStr">
        <is>
          <t>air::unspecified</t>
        </is>
      </c>
      <c r="F3722" t="inlineStr">
        <is>
          <t>biosphere</t>
        </is>
      </c>
      <c r="I3722">
        <v>0</v>
      </c>
    </row>
    <row r="3723">
      <c r="A3723" t="inlineStr">
        <is>
          <t>Toluene</t>
        </is>
      </c>
      <c r="B3723">
        <v>1.9635331400051643e-10</v>
      </c>
      <c r="D3723" t="inlineStr">
        <is>
          <t>kilogram</t>
        </is>
      </c>
      <c r="E3723" t="inlineStr">
        <is>
          <t>air::low population density, long-term</t>
        </is>
      </c>
      <c r="F3723" t="inlineStr">
        <is>
          <t>biosphere</t>
        </is>
      </c>
      <c r="I3723">
        <v>0</v>
      </c>
    </row>
    <row r="3724">
      <c r="A3724" t="inlineStr">
        <is>
          <t>Toluene</t>
        </is>
      </c>
      <c r="B3724">
        <v>4.231931975211246e-11</v>
      </c>
      <c r="D3724" t="inlineStr">
        <is>
          <t>kilogram</t>
        </is>
      </c>
      <c r="E3724" t="inlineStr">
        <is>
          <t>air::urban air close to ground</t>
        </is>
      </c>
      <c r="F3724" t="inlineStr">
        <is>
          <t>biosphere</t>
        </is>
      </c>
      <c r="I3724">
        <v>0</v>
      </c>
    </row>
    <row r="3725">
      <c r="A3725" t="inlineStr">
        <is>
          <t>Zinc II</t>
        </is>
      </c>
      <c r="B3725">
        <v>3.331889711593714e-08</v>
      </c>
      <c r="D3725" t="inlineStr">
        <is>
          <t>kilogram</t>
        </is>
      </c>
      <c r="E3725" t="inlineStr">
        <is>
          <t>air::low population density, long-term</t>
        </is>
      </c>
      <c r="F3725" t="inlineStr">
        <is>
          <t>biosphere</t>
        </is>
      </c>
      <c r="I3725">
        <v>0</v>
      </c>
    </row>
    <row r="3726">
      <c r="A3726" t="inlineStr">
        <is>
          <t>Zinc II</t>
        </is>
      </c>
      <c r="B3726">
        <v>7.1811014141241974e-09</v>
      </c>
      <c r="D3726" t="inlineStr">
        <is>
          <t>kilogram</t>
        </is>
      </c>
      <c r="E3726" t="inlineStr">
        <is>
          <t>air::urban air close to ground</t>
        </is>
      </c>
      <c r="F3726" t="inlineStr">
        <is>
          <t>biosphere</t>
        </is>
      </c>
      <c r="I3726">
        <v>0</v>
      </c>
    </row>
    <row r="3727">
      <c r="A3727" t="inlineStr">
        <is>
          <t>m-Xylene</t>
        </is>
      </c>
      <c r="B3727">
        <v>4.147293335707022e-09</v>
      </c>
      <c r="D3727" t="inlineStr">
        <is>
          <t>kilogram</t>
        </is>
      </c>
      <c r="E3727" t="inlineStr">
        <is>
          <t>air::urban air close to ground</t>
        </is>
      </c>
      <c r="F3727" t="inlineStr">
        <is>
          <t>biosphere</t>
        </is>
      </c>
      <c r="I3727">
        <v>0</v>
      </c>
    </row>
    <row r="3728">
      <c r="A3728" t="inlineStr">
        <is>
          <t>m-Xylene</t>
        </is>
      </c>
      <c r="B3728">
        <v>1.924262477205061e-08</v>
      </c>
      <c r="D3728" t="inlineStr">
        <is>
          <t>kilogram</t>
        </is>
      </c>
      <c r="E3728" t="inlineStr">
        <is>
          <t>air::low population density, long-term</t>
        </is>
      </c>
      <c r="F3728" t="inlineStr">
        <is>
          <t>biosphere</t>
        </is>
      </c>
      <c r="I3728">
        <v>0</v>
      </c>
    </row>
    <row r="3729">
      <c r="A3729" t="inlineStr">
        <is>
          <t>o-Xylene</t>
        </is>
      </c>
      <c r="B3729">
        <v>7.854132560020658e-09</v>
      </c>
      <c r="D3729" t="inlineStr">
        <is>
          <t>kilogram</t>
        </is>
      </c>
      <c r="E3729" t="inlineStr">
        <is>
          <t>air::low population density, long-term</t>
        </is>
      </c>
      <c r="F3729" t="inlineStr">
        <is>
          <t>biosphere</t>
        </is>
      </c>
      <c r="I3729">
        <v>0</v>
      </c>
    </row>
    <row r="3730">
      <c r="A3730" t="inlineStr">
        <is>
          <t>o-Xylene</t>
        </is>
      </c>
      <c r="B3730">
        <v>1.6927727900844985e-09</v>
      </c>
      <c r="D3730" t="inlineStr">
        <is>
          <t>kilogram</t>
        </is>
      </c>
      <c r="E3730" t="inlineStr">
        <is>
          <t>air::urban air close to ground</t>
        </is>
      </c>
      <c r="F3730" t="inlineStr">
        <is>
          <t>biosphere</t>
        </is>
      </c>
      <c r="I3730">
        <v>0</v>
      </c>
    </row>
    <row r="3731">
      <c r="A3731" t="inlineStr">
        <is>
          <t>exhaust system, for lorry</t>
        </is>
      </c>
      <c r="B3731">
        <v>1.837490293980541e-05</v>
      </c>
      <c r="C3731" t="inlineStr">
        <is>
          <t>RER</t>
        </is>
      </c>
      <c r="D3731" t="inlineStr">
        <is>
          <t>kilogram</t>
        </is>
      </c>
      <c r="F3731" t="inlineStr">
        <is>
          <t>technosphere</t>
        </is>
      </c>
      <c r="G3731" t="inlineStr">
        <is>
          <t>exhaust system, for lorry</t>
        </is>
      </c>
      <c r="H3731" t="inlineStr">
        <is>
          <t> Energy-use allocation: 118 * 6.802721088435375e-08 / 0.436857321676756 MJ per person kilometer.</t>
        </is>
      </c>
      <c r="I3731">
        <v>0</v>
      </c>
    </row>
    <row r="3732">
      <c r="A3732" t="inlineStr">
        <is>
          <t>fuel tank, for diesel vehicle</t>
        </is>
      </c>
      <c r="B3732">
        <v>8.356310521329906e-06</v>
      </c>
      <c r="C3732" t="inlineStr">
        <is>
          <t>RER</t>
        </is>
      </c>
      <c r="D3732" t="inlineStr">
        <is>
          <t>kilogram</t>
        </is>
      </c>
      <c r="F3732" t="inlineStr">
        <is>
          <t>technosphere</t>
        </is>
      </c>
      <c r="G3732" t="inlineStr">
        <is>
          <t>fuel tank</t>
        </is>
      </c>
      <c r="H3732" t="inlineStr">
        <is>
          <t> Energy-use allocation: 53.66257687167794 * 6.802721088435375e-08 / 0.436857321676756 MJ per person kilometer.</t>
        </is>
      </c>
      <c r="I3732">
        <v>0</v>
      </c>
    </row>
    <row r="3733">
      <c r="A3733" t="inlineStr">
        <is>
          <t>gearbox, for lorry</t>
        </is>
      </c>
      <c r="B3733">
        <v>2.454264134376666e-05</v>
      </c>
      <c r="C3733" t="inlineStr">
        <is>
          <t>RER</t>
        </is>
      </c>
      <c r="D3733" t="inlineStr">
        <is>
          <t>kilogram</t>
        </is>
      </c>
      <c r="F3733" t="inlineStr">
        <is>
          <t>technosphere</t>
        </is>
      </c>
      <c r="G3733" t="inlineStr">
        <is>
          <t>gearbox, for lorry</t>
        </is>
      </c>
      <c r="H3733" t="inlineStr">
        <is>
          <t> Energy-use allocation: 157.6079986953735 * 6.802721088435375e-08 / 0.436857321676756 MJ per person kilometer.</t>
        </is>
      </c>
      <c r="I3733">
        <v>0</v>
      </c>
    </row>
    <row r="3734">
      <c r="A3734" t="inlineStr">
        <is>
          <t>internal combustion engine, for lorry</t>
        </is>
      </c>
      <c r="B3734">
        <v>0.0001378112816823617</v>
      </c>
      <c r="C3734" t="inlineStr">
        <is>
          <t>RER</t>
        </is>
      </c>
      <c r="D3734" t="inlineStr">
        <is>
          <t>kilogram</t>
        </is>
      </c>
      <c r="F3734" t="inlineStr">
        <is>
          <t>technosphere</t>
        </is>
      </c>
      <c r="G3734" t="inlineStr">
        <is>
          <t>internal combustion engine, for lorry</t>
        </is>
      </c>
      <c r="H3734" t="inlineStr">
        <is>
          <t> Energy-use allocation: 884.9968509651834 * 6.802721088435375e-08 / 0.436857321676756 MJ per person kilometer.</t>
        </is>
      </c>
      <c r="I3734">
        <v>0</v>
      </c>
    </row>
    <row r="3735">
      <c r="A3735" t="inlineStr">
        <is>
          <t>power electronics, for lorry</t>
        </is>
      </c>
      <c r="B3735">
        <v>3.425829361658636e-05</v>
      </c>
      <c r="C3735" t="inlineStr">
        <is>
          <t>RER</t>
        </is>
      </c>
      <c r="D3735" t="inlineStr">
        <is>
          <t>kilogram</t>
        </is>
      </c>
      <c r="F3735" t="inlineStr">
        <is>
          <t>technosphere</t>
        </is>
      </c>
      <c r="G3735" t="inlineStr">
        <is>
          <t>power electronics, for lorry</t>
        </is>
      </c>
      <c r="H3735" t="inlineStr">
        <is>
          <t> Energy-use allocation: 220 * 6.802721088435375e-08 / 0.436857321676756 MJ per person kilometer.</t>
        </is>
      </c>
      <c r="I3735">
        <v>0</v>
      </c>
    </row>
    <row r="3736">
      <c r="A3736" t="inlineStr">
        <is>
          <t>retarder, for lorry</t>
        </is>
      </c>
      <c r="B3736">
        <v>8.180880447922222e-06</v>
      </c>
      <c r="C3736" t="inlineStr">
        <is>
          <t>RER</t>
        </is>
      </c>
      <c r="D3736" t="inlineStr">
        <is>
          <t>kilogram</t>
        </is>
      </c>
      <c r="F3736" t="inlineStr">
        <is>
          <t>technosphere</t>
        </is>
      </c>
      <c r="G3736" t="inlineStr">
        <is>
          <t>retarder, for lorry</t>
        </is>
      </c>
      <c r="H3736" t="inlineStr">
        <is>
          <t> Energy-use allocation: 52.53599956512451 * 6.802721088435375e-08 / 0.436857321676756 MJ per person kilometer.</t>
        </is>
      </c>
      <c r="I3736">
        <v>0</v>
      </c>
    </row>
    <row r="3737">
      <c r="A3737" t="inlineStr">
        <is>
          <t>transmission, for lorry</t>
        </is>
      </c>
      <c r="B3737">
        <v>3.545048194099629e-05</v>
      </c>
      <c r="C3737" t="inlineStr">
        <is>
          <t>RER</t>
        </is>
      </c>
      <c r="D3737" t="inlineStr">
        <is>
          <t>kilogram</t>
        </is>
      </c>
      <c r="F3737" t="inlineStr">
        <is>
          <t>technosphere</t>
        </is>
      </c>
      <c r="G3737" t="inlineStr">
        <is>
          <t>transmission, for lorry</t>
        </is>
      </c>
      <c r="H3737" t="inlineStr">
        <is>
          <t> Energy-use allocation: 227.6559981155395 * 6.802721088435375e-08 / 0.436857321676756 MJ per person kilometer.</t>
        </is>
      </c>
      <c r="I3737">
        <v>0</v>
      </c>
    </row>
    <row r="3738">
      <c r="A3738" t="inlineStr">
        <is>
          <t>market for refrigerant R134a</t>
        </is>
      </c>
      <c r="B3738">
        <v>3.659408636317179e-06</v>
      </c>
      <c r="C3738" t="inlineStr">
        <is>
          <t>GLO</t>
        </is>
      </c>
      <c r="D3738" t="inlineStr">
        <is>
          <t>kilogram</t>
        </is>
      </c>
      <c r="F3738" t="inlineStr">
        <is>
          <t>technosphere</t>
        </is>
      </c>
      <c r="G3738" t="inlineStr">
        <is>
          <t>refrigerant R134a</t>
        </is>
      </c>
      <c r="I3738">
        <v>0</v>
      </c>
    </row>
    <row r="3739">
      <c r="A3739" t="inlineStr">
        <is>
          <t>treatment of brake wear emissions, lorry</t>
        </is>
      </c>
      <c r="B3739">
        <v>-7.155284632502334e-06</v>
      </c>
      <c r="C3739" t="inlineStr">
        <is>
          <t>RER</t>
        </is>
      </c>
      <c r="D3739" t="inlineStr">
        <is>
          <t>kilogram</t>
        </is>
      </c>
      <c r="F3739" t="inlineStr">
        <is>
          <t>technosphere</t>
        </is>
      </c>
      <c r="G3739" t="inlineStr">
        <is>
          <t>brake wear emissions, lorry</t>
        </is>
      </c>
      <c r="I3739">
        <v>0</v>
      </c>
    </row>
    <row r="3740">
      <c r="A3740" t="inlineStr">
        <is>
          <t>treatment of road wear emissions, lorry</t>
        </is>
      </c>
      <c r="B3740">
        <v>-9.656798590276932e-06</v>
      </c>
      <c r="C3740" t="inlineStr">
        <is>
          <t>RER</t>
        </is>
      </c>
      <c r="D3740" t="inlineStr">
        <is>
          <t>kilogram</t>
        </is>
      </c>
      <c r="F3740" t="inlineStr">
        <is>
          <t>technosphere</t>
        </is>
      </c>
      <c r="G3740" t="inlineStr">
        <is>
          <t>road wear emissions, lorry</t>
        </is>
      </c>
      <c r="I3740">
        <v>0</v>
      </c>
    </row>
    <row r="3741">
      <c r="A3741" t="inlineStr">
        <is>
          <t>treatment of tyre wear emissions, lorry</t>
        </is>
      </c>
      <c r="B3741">
        <v>-8.139328484827061e-06</v>
      </c>
      <c r="C3741" t="inlineStr">
        <is>
          <t>RER</t>
        </is>
      </c>
      <c r="D3741" t="inlineStr">
        <is>
          <t>kilogram</t>
        </is>
      </c>
      <c r="F3741" t="inlineStr">
        <is>
          <t>technosphere</t>
        </is>
      </c>
      <c r="G3741" t="inlineStr">
        <is>
          <t>tyre wear emissions, lorry</t>
        </is>
      </c>
      <c r="I3741">
        <v>0</v>
      </c>
    </row>
    <row r="3742"/>
    <row r="3743">
      <c r="A3743" t="inlineStr">
        <is>
          <t>Activity</t>
        </is>
      </c>
      <c r="B3743" t="inlineStr">
        <is>
          <t>compressed gas, burned in light duty vehicle</t>
        </is>
      </c>
    </row>
    <row r="3744">
      <c r="A3744" t="inlineStr">
        <is>
          <t>location</t>
        </is>
      </c>
      <c r="B3744" t="inlineStr">
        <is>
          <t>CH</t>
        </is>
      </c>
    </row>
    <row r="3745">
      <c r="A3745" t="inlineStr">
        <is>
          <t>production amount</t>
        </is>
      </c>
      <c r="B3745">
        <v>1</v>
      </c>
    </row>
    <row r="3746">
      <c r="A3746" t="inlineStr">
        <is>
          <t>reference product</t>
        </is>
      </c>
      <c r="B3746" t="inlineStr">
        <is>
          <t>heat</t>
        </is>
      </c>
    </row>
    <row r="3747">
      <c r="A3747" t="inlineStr">
        <is>
          <t>comment</t>
        </is>
      </c>
      <c r="B3747" t="inlineStr">
        <is>
          <t>Produces consumption of 1 MJ of purchased energy. Representative powertrain carrier: gas. energy-specific equipment; excludes chassis, body, roads and whole-vehicle maintenance. Source transport, passenger car, compressed gas, Van, EURO-6 [RER]; 2.9729864698575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393 km. Tank-to-wheel efficiency: 18.8 \%. Tank-to-wheel energy consumption: 2972 kj/km. Fuel consumption: 8729.3 l/100km. Electricity consumption: 0.0 kWh/100km. Battery capacity: 0.0 kWh. Fuel tank capacity: 324 kWh. Power share from combustion engine: 100.0 \%. Combustion engine power: 107 kW. Electric motor power: 0.0 kW. Curb mass (excl. driver and cargo): 1656 kg. Driving mass (incl. driver and cargo): 1796 kg. Battery mass: 0.0 kg. Fuel cell system efficiency: 0.0 \%. Number of passengers onboard: 1.6 passenger(s). Payload: 20 kg.  Carbon accounting: full-oxidation CO2 plus separately estimated pollutants; not a closed elemental carbon balance.</t>
        </is>
      </c>
    </row>
    <row r="3748">
      <c r="A3748" t="inlineStr">
        <is>
          <t>type</t>
        </is>
      </c>
      <c r="B3748" t="inlineStr">
        <is>
          <t>process</t>
        </is>
      </c>
    </row>
    <row r="3749">
      <c r="A3749" t="inlineStr">
        <is>
          <t>unit</t>
        </is>
      </c>
      <c r="B3749" t="inlineStr">
        <is>
          <t>megajoule</t>
        </is>
      </c>
    </row>
    <row r="3750">
      <c r="A3750" t="inlineStr">
        <is>
          <t>energy use source</t>
        </is>
      </c>
      <c r="B3750" t="inlineStr">
        <is>
          <t>{"source": ["transport, passenger car, compressed gas, Van, EURO-6", "transport, passenger car, EURO-6", "RER", "kilometer"], "source unit": "kilometer", "purchased MJ per source service": 2.9729864698574997, "boundary": "energy-specific equipment; excludes chassis, body, roads and whole-vehicle maintenance", "retained equipment": [{"supplier": ["fuel tank assembly, compressed natural gas, 200 bar, carculator passenger car 2020", "fuel tank, compressed natural gas, 200 bar", "RER", "kilogram"], "amount per vehicle": 89.99697875976562, "vehicle per source service": 4.999999873689376e-06, "replacement correction factor": 1.0, "amount per MJ": 0.00015135786421955095}, {"supplier": ["market for internal combustion engine, passenger car", "internal combustion engine, passenger car", "GLO", "kilogram"], "amount per vehicle": 246.2209777832031, "vehicle per source service": 4.999999873689376e-06, "replacement correction factor": 1.0, "amount per MJ": 0.00041409702677681513}, {"supplier": ["market for waste plastic, industrial electronics", "waste plastic, industrial electronics", "CH", "kilogram"], "amount per vehicle": -89.99697875976562, "vehicle per source service": 4.999999873689376e-06, "replacement correction factor": 1.0, "amount per MJ": -0.00015135786421955095}], "excluded": [{"supplier": "maintenance, passenger car", "amount per source service": 8.905332883199055e-06}, {"supplier": "market for road", "amount per source service": 0.0009646624093875289}, {"supplier": "market for road maintenance", "amount per source service": 0.00129}, {"supplier": ["glider lightweighting, carculator passenger car 2020", "glider lightweighting", "GLO", "kilogram"], "amount per vehicle": 154.4565277099609, "vehicle per source service": 4.999999873689376e-06}, {"supplier": ["market for glider, passenger car", "glider, passenger car", "GLO", "kilogram"], "amount per vehicle": 1450.0, "vehicle per source service": 4.999999873689376e-06}], "alternative fuel recipe retained": false}</t>
        </is>
      </c>
    </row>
    <row r="3751">
      <c r="A3751" t="inlineStr">
        <is>
          <t>Exchanges</t>
        </is>
      </c>
    </row>
    <row r="3752">
      <c r="A3752" t="inlineStr">
        <is>
          <t>name</t>
        </is>
      </c>
      <c r="B3752" t="inlineStr">
        <is>
          <t>amount</t>
        </is>
      </c>
      <c r="C3752" t="inlineStr">
        <is>
          <t>location</t>
        </is>
      </c>
      <c r="D3752" t="inlineStr">
        <is>
          <t>unit</t>
        </is>
      </c>
      <c r="E3752" t="inlineStr">
        <is>
          <t>categories</t>
        </is>
      </c>
      <c r="F3752" t="inlineStr">
        <is>
          <t>type</t>
        </is>
      </c>
      <c r="G3752" t="inlineStr">
        <is>
          <t>reference product</t>
        </is>
      </c>
      <c r="H3752" t="inlineStr">
        <is>
          <t>comment</t>
        </is>
      </c>
      <c r="I3752" t="inlineStr">
        <is>
          <t>uncertainty type</t>
        </is>
      </c>
    </row>
    <row r="3753">
      <c r="A3753" t="inlineStr">
        <is>
          <t>compressed gas, burned in light duty vehicle</t>
        </is>
      </c>
      <c r="B3753">
        <v>1.0</v>
      </c>
      <c r="C3753" t="inlineStr">
        <is>
          <t>CH</t>
        </is>
      </c>
      <c r="D3753" t="inlineStr">
        <is>
          <t>megajoule</t>
        </is>
      </c>
      <c r="F3753" t="inlineStr">
        <is>
          <t>production</t>
        </is>
      </c>
      <c r="G3753" t="inlineStr">
        <is>
          <t>heat</t>
        </is>
      </c>
      <c r="I3753">
        <v>0</v>
      </c>
    </row>
    <row r="3754">
      <c r="A3754" t="inlineStr">
        <is>
          <t>market for natural gas, medium pressure, vehicle grade</t>
        </is>
      </c>
      <c r="B3754">
        <v>0.021505376344086023</v>
      </c>
      <c r="C3754" t="inlineStr">
        <is>
          <t>GLO</t>
        </is>
      </c>
      <c r="D3754" t="inlineStr">
        <is>
          <t>kilogram</t>
        </is>
      </c>
      <c r="F3754" t="inlineStr">
        <is>
          <t>technosphere</t>
        </is>
      </c>
      <c r="G3754" t="inlineStr">
        <is>
          <t>natural gas, medium pressure, vehicle grade</t>
        </is>
      </c>
      <c r="H3754" t="inlineStr">
        <is>
          <t>Default carculator fuel energy preserved (2.97298646986 MJ/vkm); premise reference LHV 46.5 MJ/kg. Regional scenario blend belongs to premise.</t>
        </is>
      </c>
      <c r="I3754">
        <v>0</v>
      </c>
    </row>
    <row r="3755">
      <c r="A3755" t="inlineStr">
        <is>
          <t>treatment of brake wear emissions, passenger car</t>
        </is>
      </c>
      <c r="B3755">
        <v>-5.1079617756663074e-06</v>
      </c>
      <c r="C3755" t="inlineStr">
        <is>
          <t>RER</t>
        </is>
      </c>
      <c r="D3755" t="inlineStr">
        <is>
          <t>kilogram</t>
        </is>
      </c>
      <c r="F3755" t="inlineStr">
        <is>
          <t>technosphere</t>
        </is>
      </c>
      <c r="G3755" t="inlineStr">
        <is>
          <t>brake wear emissions, passenger car</t>
        </is>
      </c>
      <c r="I3755">
        <v>0</v>
      </c>
    </row>
    <row r="3756">
      <c r="A3756" t="inlineStr">
        <is>
          <t>treatment of road wear emissions, passenger car</t>
        </is>
      </c>
      <c r="B3756">
        <v>-5.872685104309627e-06</v>
      </c>
      <c r="C3756" t="inlineStr">
        <is>
          <t>RER</t>
        </is>
      </c>
      <c r="D3756" t="inlineStr">
        <is>
          <t>kilogram</t>
        </is>
      </c>
      <c r="F3756" t="inlineStr">
        <is>
          <t>technosphere</t>
        </is>
      </c>
      <c r="G3756" t="inlineStr">
        <is>
          <t>road wear emissions, passenger car</t>
        </is>
      </c>
      <c r="I3756">
        <v>0</v>
      </c>
    </row>
    <row r="3757">
      <c r="A3757" t="inlineStr">
        <is>
          <t>treatment of tyre wear emissions, passenger car</t>
        </is>
      </c>
      <c r="B3757">
        <v>-6.74737152338795e-06</v>
      </c>
      <c r="C3757" t="inlineStr">
        <is>
          <t>RER</t>
        </is>
      </c>
      <c r="D3757" t="inlineStr">
        <is>
          <t>kilogram</t>
        </is>
      </c>
      <c r="F3757" t="inlineStr">
        <is>
          <t>technosphere</t>
        </is>
      </c>
      <c r="G3757" t="inlineStr">
        <is>
          <t>tyre wear emissions, passenger car</t>
        </is>
      </c>
      <c r="I3757">
        <v>0</v>
      </c>
    </row>
    <row r="3758">
      <c r="A3758" t="inlineStr">
        <is>
          <t>market for tetrafluoroethane, R134a</t>
        </is>
      </c>
      <c r="B3758">
        <v>2.1863536859813613e-06</v>
      </c>
      <c r="C3758" t="inlineStr">
        <is>
          <t>GLO</t>
        </is>
      </c>
      <c r="D3758" t="inlineStr">
        <is>
          <t>kilogram</t>
        </is>
      </c>
      <c r="F3758" t="inlineStr">
        <is>
          <t>technosphere</t>
        </is>
      </c>
      <c r="G3758" t="inlineStr">
        <is>
          <t>tetrafluoroethane, R134a</t>
        </is>
      </c>
      <c r="I3758">
        <v>0</v>
      </c>
    </row>
    <row r="3759">
      <c r="A3759" t="inlineStr">
        <is>
          <t>NMVOC, non-methane volatile organic compounds</t>
        </is>
      </c>
      <c r="B3759">
        <v>2.7021091254753247e-06</v>
      </c>
      <c r="D3759" t="inlineStr">
        <is>
          <t>kilogram</t>
        </is>
      </c>
      <c r="E3759" t="inlineStr">
        <is>
          <t>air::non-urban air or from high stacks</t>
        </is>
      </c>
      <c r="F3759" t="inlineStr">
        <is>
          <t>biosphere</t>
        </is>
      </c>
      <c r="I3759">
        <v>0</v>
      </c>
    </row>
    <row r="3760">
      <c r="A3760" t="inlineStr">
        <is>
          <t>Nitrogen oxides</t>
        </is>
      </c>
      <c r="B3760">
        <v>4.6448748236245886e-06</v>
      </c>
      <c r="D3760" t="inlineStr">
        <is>
          <t>kilogram</t>
        </is>
      </c>
      <c r="E3760" t="inlineStr">
        <is>
          <t>air::non-urban air or from high stacks</t>
        </is>
      </c>
      <c r="F3760" t="inlineStr">
        <is>
          <t>biosphere</t>
        </is>
      </c>
      <c r="I3760">
        <v>0</v>
      </c>
    </row>
    <row r="3761">
      <c r="A3761" t="inlineStr">
        <is>
          <t>Benzene</t>
        </is>
      </c>
      <c r="B3761">
        <v>2.1791204475120906e-08</v>
      </c>
      <c r="D3761" t="inlineStr">
        <is>
          <t>kilogram</t>
        </is>
      </c>
      <c r="E3761" t="inlineStr">
        <is>
          <t>air::non-urban air or from high stacks</t>
        </is>
      </c>
      <c r="F3761" t="inlineStr">
        <is>
          <t>biosphere</t>
        </is>
      </c>
      <c r="I3761">
        <v>0</v>
      </c>
    </row>
    <row r="3762">
      <c r="A3762" t="inlineStr">
        <is>
          <t>Methane, fossil</t>
        </is>
      </c>
      <c r="B3762">
        <v>9.861274833697473e-07</v>
      </c>
      <c r="D3762" t="inlineStr">
        <is>
          <t>kilogram</t>
        </is>
      </c>
      <c r="E3762" t="inlineStr">
        <is>
          <t>air::urban air close to ground</t>
        </is>
      </c>
      <c r="F3762" t="inlineStr">
        <is>
          <t>biosphere</t>
        </is>
      </c>
      <c r="I3762">
        <v>0</v>
      </c>
    </row>
    <row r="3763">
      <c r="A3763" t="inlineStr">
        <is>
          <t>NMVOC, non-methane volatile organic compounds</t>
        </is>
      </c>
      <c r="B3763">
        <v>2.6559769458551438e-05</v>
      </c>
      <c r="D3763" t="inlineStr">
        <is>
          <t>kilogram</t>
        </is>
      </c>
      <c r="E3763" t="inlineStr">
        <is>
          <t>air::urban air close to ground</t>
        </is>
      </c>
      <c r="F3763" t="inlineStr">
        <is>
          <t>biosphere</t>
        </is>
      </c>
      <c r="I3763">
        <v>0</v>
      </c>
    </row>
    <row r="3764">
      <c r="A3764" t="inlineStr">
        <is>
          <t>Nitrogen oxides</t>
        </is>
      </c>
      <c r="B3764">
        <v>7.709648829828808e-06</v>
      </c>
      <c r="D3764" t="inlineStr">
        <is>
          <t>kilogram</t>
        </is>
      </c>
      <c r="E3764" t="inlineStr">
        <is>
          <t>air::urban air close to ground</t>
        </is>
      </c>
      <c r="F3764" t="inlineStr">
        <is>
          <t>biosphere</t>
        </is>
      </c>
      <c r="I3764">
        <v>0</v>
      </c>
    </row>
    <row r="3765">
      <c r="A3765" t="inlineStr">
        <is>
          <t>Carbon monoxide, fossil</t>
        </is>
      </c>
      <c r="B3765">
        <v>0.00010844136579915682</v>
      </c>
      <c r="D3765" t="inlineStr">
        <is>
          <t>kilogram</t>
        </is>
      </c>
      <c r="E3765" t="inlineStr">
        <is>
          <t>air::urban air close to ground</t>
        </is>
      </c>
      <c r="F3765" t="inlineStr">
        <is>
          <t>biosphere</t>
        </is>
      </c>
      <c r="I3765">
        <v>0</v>
      </c>
    </row>
    <row r="3766">
      <c r="A3766" t="inlineStr">
        <is>
          <t>1,1,1,2-Tetrafluoroethane</t>
        </is>
      </c>
      <c r="B3766">
        <v>1.2613578781092723e-06</v>
      </c>
      <c r="D3766" t="inlineStr">
        <is>
          <t>kilogram</t>
        </is>
      </c>
      <c r="E3766" t="inlineStr">
        <is>
          <t>air</t>
        </is>
      </c>
      <c r="F3766" t="inlineStr">
        <is>
          <t>biosphere</t>
        </is>
      </c>
      <c r="I3766">
        <v>0</v>
      </c>
    </row>
    <row r="3767">
      <c r="A3767" t="inlineStr">
        <is>
          <t>Benzene</t>
        </is>
      </c>
      <c r="B3767">
        <v>1.3044594962368293e-06</v>
      </c>
      <c r="D3767" t="inlineStr">
        <is>
          <t>kilogram</t>
        </is>
      </c>
      <c r="E3767" t="inlineStr">
        <is>
          <t>air::urban air close to ground</t>
        </is>
      </c>
      <c r="F3767" t="inlineStr">
        <is>
          <t>biosphere</t>
        </is>
      </c>
      <c r="I3767">
        <v>0</v>
      </c>
    </row>
    <row r="3768">
      <c r="A3768" t="inlineStr">
        <is>
          <t>fuel tank assembly, compressed natural gas, 200 bar, carculator passenger car 2020</t>
        </is>
      </c>
      <c r="B3768">
        <v>0.00015135786421955095</v>
      </c>
      <c r="C3768" t="inlineStr">
        <is>
          <t>RER</t>
        </is>
      </c>
      <c r="D3768" t="inlineStr">
        <is>
          <t>kilogram</t>
        </is>
      </c>
      <c r="F3768" t="inlineStr">
        <is>
          <t>technosphere</t>
        </is>
      </c>
      <c r="G3768" t="inlineStr">
        <is>
          <t>fuel tank, compressed natural gas, 200 bar</t>
        </is>
      </c>
      <c r="H3768" t="inlineStr">
        <is>
          <t> Energy-use allocation: 89.99697875976562 * 4.999999873689376e-06 / 2.9729864698574997 MJ per kilometer.</t>
        </is>
      </c>
      <c r="I3768">
        <v>0</v>
      </c>
    </row>
    <row r="3769">
      <c r="A3769" t="inlineStr">
        <is>
          <t>market for internal combustion engine, passenger car</t>
        </is>
      </c>
      <c r="B3769">
        <v>0.00041409702677681513</v>
      </c>
      <c r="C3769" t="inlineStr">
        <is>
          <t>GLO</t>
        </is>
      </c>
      <c r="D3769" t="inlineStr">
        <is>
          <t>kilogram</t>
        </is>
      </c>
      <c r="F3769" t="inlineStr">
        <is>
          <t>technosphere</t>
        </is>
      </c>
      <c r="G3769" t="inlineStr">
        <is>
          <t>internal combustion engine, passenger car</t>
        </is>
      </c>
      <c r="H3769" t="inlineStr">
        <is>
          <t> Energy-use allocation: 246.2209777832031 * 4.999999873689376e-06 / 2.9729864698574997 MJ per kilometer.</t>
        </is>
      </c>
      <c r="I3769">
        <v>0</v>
      </c>
    </row>
    <row r="3770">
      <c r="A3770" t="inlineStr">
        <is>
          <t>market for waste plastic, industrial electronics</t>
        </is>
      </c>
      <c r="B3770">
        <v>-0.00015135786421955095</v>
      </c>
      <c r="C3770" t="inlineStr">
        <is>
          <t>CH</t>
        </is>
      </c>
      <c r="D3770" t="inlineStr">
        <is>
          <t>kilogram</t>
        </is>
      </c>
      <c r="F3770" t="inlineStr">
        <is>
          <t>technosphere</t>
        </is>
      </c>
      <c r="G3770" t="inlineStr">
        <is>
          <t>waste plastic, industrial electronics</t>
        </is>
      </c>
      <c r="H3770" t="inlineStr">
        <is>
          <t> Energy-use allocation: -89.99697875976562 * 4.999999873689376e-06 / 2.9729864698574997 MJ per kilometer.</t>
        </is>
      </c>
      <c r="I3770">
        <v>0</v>
      </c>
    </row>
    <row r="3771">
      <c r="A3771" t="inlineStr">
        <is>
          <t>Carbon dioxide, fossil</t>
        </is>
      </c>
      <c r="B3771">
        <v>0.060000000000000005</v>
      </c>
      <c r="D3771" t="inlineStr">
        <is>
          <t>kilogram</t>
        </is>
      </c>
      <c r="E3771" t="inlineStr">
        <is>
          <t>air</t>
        </is>
      </c>
      <c r="F3771" t="inlineStr">
        <is>
          <t>biosphere</t>
        </is>
      </c>
      <c r="H3771" t="inlineStr">
        <is>
          <t>Reference fuel full-oxidation CO2; premise reclassifies fossil/biogenic emissions with its regional blend. Other carbon pollutants remain model defaults (not an elemental closure).</t>
        </is>
      </c>
      <c r="I3771">
        <v>0</v>
      </c>
    </row>
    <row r="3772"/>
    <row r="3773">
      <c r="A3773" t="inlineStr">
        <is>
          <t>Activity</t>
        </is>
      </c>
      <c r="B3773" t="inlineStr">
        <is>
          <t>compressed gas, burned in dedicated coach</t>
        </is>
      </c>
    </row>
    <row r="3774">
      <c r="A3774" t="inlineStr">
        <is>
          <t>comment</t>
        </is>
      </c>
      <c r="B3774" t="inlineStr">
        <is>
          <t>Produces consumption of 1 MJ of purchased energy. Representative powertrain carrier: gas. energy-specific equipment; excludes chassis, body, roads and whole-vehicle maintenance. Source transport, passenger bus, compressed gas, 13m single deck coach bus, EURO-VI [RER]; 0.561004272608964 purchased MJ per person kilometer. All retained exchanges divided by this energy; lifetime, occupancy/payload and replacement allocation are carried by source production links. Baseline source specifications: Combustion engine power: 299 [kW]. Power share from combustion engine: 100 [%]. Km over lifetime: 700000 [km]. Yearly mileage: 50000 [km/year]. Daily distance driven: 511 [km]. Daily operating time: 9 [hours]. Tank-to-wheel efficiency: 18 [%]. Tank-to-wheel energy consumption: 11986 [kj/km]. Fuel tank capacity: 1701 [kWh]. Maximum passenger capacity: 55 [unit]. Number of passengers onboard: 21 [unit]. Curb mass (excl. driver and cargo): 13596 [kg]. Driving mass (incl. driver and cargo): 15528 [kg].</t>
        </is>
      </c>
    </row>
    <row r="3775">
      <c r="A3775" t="inlineStr">
        <is>
          <t>description</t>
        </is>
      </c>
      <c r="B37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776">
      <c r="A3776" t="inlineStr">
        <is>
          <t>location</t>
        </is>
      </c>
      <c r="B3776" t="inlineStr">
        <is>
          <t>CH</t>
        </is>
      </c>
    </row>
    <row r="3777">
      <c r="A3777" t="inlineStr">
        <is>
          <t>production amount</t>
        </is>
      </c>
      <c r="B3777">
        <v>1</v>
      </c>
    </row>
    <row r="3778">
      <c r="A3778" t="inlineStr">
        <is>
          <t>reference product</t>
        </is>
      </c>
      <c r="B3778" t="inlineStr">
        <is>
          <t>heat</t>
        </is>
      </c>
    </row>
    <row r="3779">
      <c r="A3779" t="inlineStr">
        <is>
          <t>source</t>
        </is>
      </c>
      <c r="B3779" t="inlineStr">
        <is>
          <t>Sacchi, R., Bauer, C., and Cox, B. Does size matter? The influence of size, load factor, range autonomy and application type on the Life Cycle Assessment of current and future trucks. 2021. Environmental Science and Technology.</t>
        </is>
      </c>
    </row>
    <row r="3780">
      <c r="A3780" t="inlineStr">
        <is>
          <t>type</t>
        </is>
      </c>
      <c r="B3780" t="inlineStr">
        <is>
          <t>process</t>
        </is>
      </c>
    </row>
    <row r="3781">
      <c r="A3781" t="inlineStr">
        <is>
          <t>unit</t>
        </is>
      </c>
      <c r="B3781" t="inlineStr">
        <is>
          <t>megajoule</t>
        </is>
      </c>
    </row>
    <row r="3782">
      <c r="A3782" t="inlineStr">
        <is>
          <t>energy use source</t>
        </is>
      </c>
      <c r="B3782" t="inlineStr">
        <is>
          <t>{"source": ["transport, passenger bus, compressed gas, 13m single deck coach bus, EURO-VI", "transport, passenger bus, EURO-VI", "RER", "person kilometer"], "source unit": "person kilometer", "purchased MJ per source service": 0.5610042726089636, "boundary": "energy-specific equipment; excludes chassis, body, roads and whole-vehicle maintenance", "retained equipment": [{"supplier": ["fuel tank assembly, compressed natural gas, 200 bar", "fuel tank, compressed natural gas, 200 bar", "RER", "kilogram"], "amount per vehicle": 231.99396, "vehicle per source service": 6.802721088435375e-08, "replacement correction factor": 1.0, "amount per MJ": 2.813151844177981e-05}, {"supplier": ["exhaust system, for lorry", "exhaust system, for lorry", "RER", "kilogram"], "amount per vehicle": 118.0, "vehicle per source service": 6.802721088435375e-08, "replacement correction factor": 1.0, "amount per MJ": 1.4308644829072351e-05}, {"supplier": ["gearbox, for lorry", "gearbox, for lorry", "RER", "kilogram"], "amount per vehicle": 157.6079986953735, "vehicle per source service": 6.802721088435375e-08, "replacement correction factor": 1.0, "amount per MJ": 1.9111498945364388e-05}, {"supplier": ["internal combustion engine, for lorry", "internal combustion engine, for lorry", "RER", "kilogram"], "amount per vehicle": 1059.173869289659, "vehicle per source service": 6.802721088435375e-08, "replacement correction factor": 1.0, "amount per MJ": 0.00012843510769406809}, {"supplier": ["power electronics, for lorry", "power electronics, for lorry", "RER", "kilogram"], "amount per vehicle": 220.0, "vehicle per source service": 6.802721088435375e-08, "replacement correction factor": 1.0, "amount per MJ": 2.6677134427084043e-05}, {"supplier": ["retarder, for lorry", "retarder, for lorry", "RER", "kilogram"], "amount per vehicle": 52.53599956512451, "vehicle per source service": 6.802721088435375e-08, "replacement correction factor": 1.0, "amount per MJ": 6.370499648454798e-06}, {"supplier": ["transmission, for lorry", "transmission, for lorry", "RER", "kilogram"], "amount per vehicle": 227.6559981155395, "vehicle per source service": 6.802721088435375e-08, "replacement correction factor": 1.0, "amount per MJ": 2.760549847663745e-05}], "excluded": [{"supplier": ["Glider lightweighting", "Glider lightweighting", "GLO", "kilogram"], "amount per vehicle": 75.83729893520649, "vehicle per source service": 6.802721088435375e-08}, {"supplier": ["assembly operation, for lorry", "assembly operation, for lorry", "RER", "kilogram"], "amount per vehicle": 13596.0, "vehicle per source service": 6.802721088435375e-08}, {"supplier": ["frame, blanks and saddle, for lorry", "frame, blanks and saddle, for lorry", "RER", "kilogram"], "amount per vehicle": 7546.0, "vehicle per source service": 6.802721088435375e-08}, {"supplier": ["maintenance, bus", "maintenance, bus", "CH", "unit"], "amount per vehicle": 1.0, "vehicle per source service": 6.802721088435375e-08}, {"supplier": ["other components, for hybrid electric lorry", "other components, for hybrid electric lorry", "RER", "kilogram"], "amount per vehicle": 1033.0, "vehicle per source service": 6.802721088435375e-08}, {"supplier": ["suspension, for lorry", "suspension, for lorry", "RER", "kilogram"], "amount per vehicle": 2123.0, "vehicle per source service": 6.802721088435375e-08}, {"supplier": ["tires and wheels, for lorry", "tires and wheels, for lorry", "RER", "kilogram"], "amount per vehicle": 694.0, "vehicle per source service": 6.802721088435375e-08}, {"supplier": ["treatment of used bus", "used bus", "CH", "unit"], "amount per vehicle": -1.0, "vehicle per source service": 6.802721088435375e-08}, {"supplier": "market for road", "amount per source service": 0.0003970979434143198}, {"supplier": "market for road maintenance", "amount per source service": 6.142857142857142e-05}], "alternative fuel recipe retained": false}</t>
        </is>
      </c>
    </row>
    <row r="3783">
      <c r="A3783" t="inlineStr">
        <is>
          <t>Exchanges</t>
        </is>
      </c>
    </row>
    <row r="3784">
      <c r="A3784" t="inlineStr">
        <is>
          <t>name</t>
        </is>
      </c>
      <c r="B3784" t="inlineStr">
        <is>
          <t>amount</t>
        </is>
      </c>
      <c r="C3784" t="inlineStr">
        <is>
          <t>location</t>
        </is>
      </c>
      <c r="D3784" t="inlineStr">
        <is>
          <t>unit</t>
        </is>
      </c>
      <c r="E3784" t="inlineStr">
        <is>
          <t>categories</t>
        </is>
      </c>
      <c r="F3784" t="inlineStr">
        <is>
          <t>type</t>
        </is>
      </c>
      <c r="G3784" t="inlineStr">
        <is>
          <t>reference product</t>
        </is>
      </c>
      <c r="H3784" t="inlineStr">
        <is>
          <t>comment</t>
        </is>
      </c>
      <c r="I3784" t="inlineStr">
        <is>
          <t>uncertainty type</t>
        </is>
      </c>
    </row>
    <row r="3785">
      <c r="A3785" t="inlineStr">
        <is>
          <t>compressed gas, burned in dedicated coach</t>
        </is>
      </c>
      <c r="B3785">
        <v>1.0</v>
      </c>
      <c r="C3785" t="inlineStr">
        <is>
          <t>CH</t>
        </is>
      </c>
      <c r="D3785" t="inlineStr">
        <is>
          <t>megajoule</t>
        </is>
      </c>
      <c r="F3785" t="inlineStr">
        <is>
          <t>production</t>
        </is>
      </c>
      <c r="G3785" t="inlineStr">
        <is>
          <t>heat</t>
        </is>
      </c>
      <c r="I3785">
        <v>0</v>
      </c>
    </row>
    <row r="3786">
      <c r="A3786" t="inlineStr">
        <is>
          <t>market for natural gas, medium pressure, vehicle grade</t>
        </is>
      </c>
      <c r="B3786">
        <v>0.02150537634408602</v>
      </c>
      <c r="C3786" t="inlineStr">
        <is>
          <t>GLO</t>
        </is>
      </c>
      <c r="D3786" t="inlineStr">
        <is>
          <t>kilogram</t>
        </is>
      </c>
      <c r="F3786" t="inlineStr">
        <is>
          <t>technosphere</t>
        </is>
      </c>
      <c r="G3786" t="inlineStr">
        <is>
          <t>natural gas, medium pressure, vehicle grade</t>
        </is>
      </c>
      <c r="I3786">
        <v>0</v>
      </c>
    </row>
    <row r="3787">
      <c r="A3787" t="inlineStr">
        <is>
          <t>Acetaldehyde</t>
        </is>
      </c>
      <c r="B3787">
        <v>1.9645170185492734e-08</v>
      </c>
      <c r="D3787" t="inlineStr">
        <is>
          <t>kilogram</t>
        </is>
      </c>
      <c r="E3787" t="inlineStr">
        <is>
          <t>air::urban air close to ground</t>
        </is>
      </c>
      <c r="F3787" t="inlineStr">
        <is>
          <t>biosphere</t>
        </is>
      </c>
      <c r="I3787">
        <v>0</v>
      </c>
    </row>
    <row r="3788">
      <c r="A3788" t="inlineStr">
        <is>
          <t>Acetaldehyde</t>
        </is>
      </c>
      <c r="B3788">
        <v>9.132997958356246e-08</v>
      </c>
      <c r="D3788" t="inlineStr">
        <is>
          <t>kilogram</t>
        </is>
      </c>
      <c r="E3788" t="inlineStr">
        <is>
          <t>air::low population density, long-term</t>
        </is>
      </c>
      <c r="F3788" t="inlineStr">
        <is>
          <t>biosphere</t>
        </is>
      </c>
      <c r="I3788">
        <v>0</v>
      </c>
    </row>
    <row r="3789">
      <c r="A3789" t="inlineStr">
        <is>
          <t>Acrolein</t>
        </is>
      </c>
      <c r="B3789">
        <v>3.5372880495165346e-08</v>
      </c>
      <c r="D3789" t="inlineStr">
        <is>
          <t>kilogram</t>
        </is>
      </c>
      <c r="E3789" t="inlineStr">
        <is>
          <t>air::low population density, long-term</t>
        </is>
      </c>
      <c r="F3789" t="inlineStr">
        <is>
          <t>biosphere</t>
        </is>
      </c>
      <c r="I3789">
        <v>0</v>
      </c>
    </row>
    <row r="3790">
      <c r="A3790" t="inlineStr">
        <is>
          <t>Acrolein</t>
        </is>
      </c>
      <c r="B3790">
        <v>7.60874206309018e-09</v>
      </c>
      <c r="D3790" t="inlineStr">
        <is>
          <t>kilogram</t>
        </is>
      </c>
      <c r="E3790" t="inlineStr">
        <is>
          <t>air::urban air close to ground</t>
        </is>
      </c>
      <c r="F3790" t="inlineStr">
        <is>
          <t>biosphere</t>
        </is>
      </c>
      <c r="I3790">
        <v>0</v>
      </c>
    </row>
    <row r="3791">
      <c r="A3791" t="inlineStr">
        <is>
          <t>Ammonia</t>
        </is>
      </c>
      <c r="B3791">
        <v>8.843428939294029e-07</v>
      </c>
      <c r="D3791" t="inlineStr">
        <is>
          <t>kilogram</t>
        </is>
      </c>
      <c r="E3791" t="inlineStr">
        <is>
          <t>air::low population density, long-term</t>
        </is>
      </c>
      <c r="F3791" t="inlineStr">
        <is>
          <t>biosphere</t>
        </is>
      </c>
      <c r="I3791">
        <v>0</v>
      </c>
    </row>
    <row r="3792">
      <c r="A3792" t="inlineStr">
        <is>
          <t>Ammonia</t>
        </is>
      </c>
      <c r="B3792">
        <v>1.9022304321965554e-07</v>
      </c>
      <c r="D3792" t="inlineStr">
        <is>
          <t>kilogram</t>
        </is>
      </c>
      <c r="E3792" t="inlineStr">
        <is>
          <t>air::urban air close to ground</t>
        </is>
      </c>
      <c r="F3792" t="inlineStr">
        <is>
          <t>biosphere</t>
        </is>
      </c>
      <c r="I3792">
        <v>0</v>
      </c>
    </row>
    <row r="3793">
      <c r="A3793" t="inlineStr">
        <is>
          <t>Benzaldehyde</t>
        </is>
      </c>
      <c r="B3793">
        <v>2.7379009196822888e-08</v>
      </c>
      <c r="D3793" t="inlineStr">
        <is>
          <t>kilogram</t>
        </is>
      </c>
      <c r="E3793" t="inlineStr">
        <is>
          <t>air::low population density, long-term</t>
        </is>
      </c>
      <c r="F3793" t="inlineStr">
        <is>
          <t>biosphere</t>
        </is>
      </c>
      <c r="I3793">
        <v>0</v>
      </c>
    </row>
    <row r="3794">
      <c r="A3794" t="inlineStr">
        <is>
          <t>Benzaldehyde</t>
        </is>
      </c>
      <c r="B3794">
        <v>5.889252331318389e-09</v>
      </c>
      <c r="D3794" t="inlineStr">
        <is>
          <t>kilogram</t>
        </is>
      </c>
      <c r="E3794" t="inlineStr">
        <is>
          <t>air::urban air close to ground</t>
        </is>
      </c>
      <c r="F3794" t="inlineStr">
        <is>
          <t>biosphere</t>
        </is>
      </c>
      <c r="I3794">
        <v>0</v>
      </c>
    </row>
    <row r="3795">
      <c r="A3795" t="inlineStr">
        <is>
          <t>Butane</t>
        </is>
      </c>
      <c r="B3795">
        <v>6.448086494144221e-10</v>
      </c>
      <c r="D3795" t="inlineStr">
        <is>
          <t>kilogram</t>
        </is>
      </c>
      <c r="E3795" t="inlineStr">
        <is>
          <t>air::urban air close to ground</t>
        </is>
      </c>
      <c r="F3795" t="inlineStr">
        <is>
          <t>biosphere</t>
        </is>
      </c>
      <c r="I3795">
        <v>0</v>
      </c>
    </row>
    <row r="3796">
      <c r="A3796" t="inlineStr">
        <is>
          <t>Butane</t>
        </is>
      </c>
      <c r="B3796">
        <v>2.997701736878419e-09</v>
      </c>
      <c r="D3796" t="inlineStr">
        <is>
          <t>kilogram</t>
        </is>
      </c>
      <c r="E3796" t="inlineStr">
        <is>
          <t>air::low population density, long-term</t>
        </is>
      </c>
      <c r="F3796" t="inlineStr">
        <is>
          <t>biosphere</t>
        </is>
      </c>
      <c r="I3796">
        <v>0</v>
      </c>
    </row>
    <row r="3797">
      <c r="A3797" t="inlineStr">
        <is>
          <t>Carbon dioxide, fossil</t>
        </is>
      </c>
      <c r="B3797">
        <v>0.057404789433510156</v>
      </c>
      <c r="D3797" t="inlineStr">
        <is>
          <t>kilogram</t>
        </is>
      </c>
      <c r="E3797" t="inlineStr">
        <is>
          <t>air::unspecified</t>
        </is>
      </c>
      <c r="F3797" t="inlineStr">
        <is>
          <t>biosphere</t>
        </is>
      </c>
      <c r="I3797">
        <v>0</v>
      </c>
    </row>
    <row r="3798">
      <c r="A3798" t="inlineStr">
        <is>
          <t>Carbon monoxide, fossil</t>
        </is>
      </c>
      <c r="B3798">
        <v>4.230100440177612e-05</v>
      </c>
      <c r="D3798" t="inlineStr">
        <is>
          <t>kilogram</t>
        </is>
      </c>
      <c r="E3798" t="inlineStr">
        <is>
          <t>air::low population density, long-term</t>
        </is>
      </c>
      <c r="F3798" t="inlineStr">
        <is>
          <t>biosphere</t>
        </is>
      </c>
      <c r="I3798">
        <v>0</v>
      </c>
    </row>
    <row r="3799">
      <c r="A3799" t="inlineStr">
        <is>
          <t>Carbon monoxide, fossil</t>
        </is>
      </c>
      <c r="B3799">
        <v>9.098988462269774e-06</v>
      </c>
      <c r="D3799" t="inlineStr">
        <is>
          <t>kilogram</t>
        </is>
      </c>
      <c r="E3799" t="inlineStr">
        <is>
          <t>air::urban air close to ground</t>
        </is>
      </c>
      <c r="F3799" t="inlineStr">
        <is>
          <t>biosphere</t>
        </is>
      </c>
      <c r="I3799">
        <v>0</v>
      </c>
    </row>
    <row r="3800">
      <c r="A3800" t="inlineStr">
        <is>
          <t>Dinitrogen monoxide</t>
        </is>
      </c>
      <c r="B3800">
        <v>1.998467824585612e-06</v>
      </c>
      <c r="D3800" t="inlineStr">
        <is>
          <t>kilogram</t>
        </is>
      </c>
      <c r="E3800" t="inlineStr">
        <is>
          <t>air::low population density, long-term</t>
        </is>
      </c>
      <c r="F3800" t="inlineStr">
        <is>
          <t>biosphere</t>
        </is>
      </c>
      <c r="I3800">
        <v>0</v>
      </c>
    </row>
    <row r="3801">
      <c r="A3801" t="inlineStr">
        <is>
          <t>Dinitrogen monoxide</t>
        </is>
      </c>
      <c r="B3801">
        <v>4.2987243294294816e-07</v>
      </c>
      <c r="D3801" t="inlineStr">
        <is>
          <t>kilogram</t>
        </is>
      </c>
      <c r="E3801" t="inlineStr">
        <is>
          <t>air::urban air close to ground</t>
        </is>
      </c>
      <c r="F3801" t="inlineStr">
        <is>
          <t>biosphere</t>
        </is>
      </c>
      <c r="I3801">
        <v>0</v>
      </c>
    </row>
    <row r="3802">
      <c r="A3802" t="inlineStr">
        <is>
          <t>Ethane</t>
        </is>
      </c>
      <c r="B3802">
        <v>1.289617298828844e-10</v>
      </c>
      <c r="D3802" t="inlineStr">
        <is>
          <t>kilogram</t>
        </is>
      </c>
      <c r="E3802" t="inlineStr">
        <is>
          <t>air::urban air close to ground</t>
        </is>
      </c>
      <c r="F3802" t="inlineStr">
        <is>
          <t>biosphere</t>
        </is>
      </c>
      <c r="I3802">
        <v>0</v>
      </c>
    </row>
    <row r="3803">
      <c r="A3803" t="inlineStr">
        <is>
          <t>Ethane</t>
        </is>
      </c>
      <c r="B3803">
        <v>5.995403473756836e-10</v>
      </c>
      <c r="D3803" t="inlineStr">
        <is>
          <t>kilogram</t>
        </is>
      </c>
      <c r="E3803" t="inlineStr">
        <is>
          <t>air::low population density, long-term</t>
        </is>
      </c>
      <c r="F3803" t="inlineStr">
        <is>
          <t>biosphere</t>
        </is>
      </c>
      <c r="I3803">
        <v>0</v>
      </c>
    </row>
    <row r="3804">
      <c r="A3804" t="inlineStr">
        <is>
          <t>1,1,1,2-Tetrafluoroethane</t>
        </is>
      </c>
      <c r="B3804">
        <v>1.9401552310606577e-06</v>
      </c>
      <c r="D3804" t="inlineStr">
        <is>
          <t>kilogram</t>
        </is>
      </c>
      <c r="E3804" t="inlineStr">
        <is>
          <t>air::unspecified</t>
        </is>
      </c>
      <c r="F3804" t="inlineStr">
        <is>
          <t>biosphere</t>
        </is>
      </c>
      <c r="I3804">
        <v>0</v>
      </c>
    </row>
    <row r="3805">
      <c r="A3805" t="inlineStr">
        <is>
          <t>Formaldehyde</t>
        </is>
      </c>
      <c r="B3805">
        <v>1.6787129726519143e-07</v>
      </c>
      <c r="D3805" t="inlineStr">
        <is>
          <t>kilogram</t>
        </is>
      </c>
      <c r="E3805" t="inlineStr">
        <is>
          <t>air::low population density, long-term</t>
        </is>
      </c>
      <c r="F3805" t="inlineStr">
        <is>
          <t>biosphere</t>
        </is>
      </c>
      <c r="I3805">
        <v>0</v>
      </c>
    </row>
    <row r="3806">
      <c r="A3806" t="inlineStr">
        <is>
          <t>Formaldehyde</t>
        </is>
      </c>
      <c r="B3806">
        <v>3.6109284367207636e-08</v>
      </c>
      <c r="D3806" t="inlineStr">
        <is>
          <t>kilogram</t>
        </is>
      </c>
      <c r="E3806" t="inlineStr">
        <is>
          <t>air::urban air close to ground</t>
        </is>
      </c>
      <c r="F3806" t="inlineStr">
        <is>
          <t>biosphere</t>
        </is>
      </c>
      <c r="I3806">
        <v>0</v>
      </c>
    </row>
    <row r="3807">
      <c r="A3807" t="inlineStr">
        <is>
          <t>Heptane</t>
        </is>
      </c>
      <c r="B3807">
        <v>5.995403473756835e-09</v>
      </c>
      <c r="D3807" t="inlineStr">
        <is>
          <t>kilogram</t>
        </is>
      </c>
      <c r="E3807" t="inlineStr">
        <is>
          <t>air::low population density, long-term</t>
        </is>
      </c>
      <c r="F3807" t="inlineStr">
        <is>
          <t>biosphere</t>
        </is>
      </c>
      <c r="I3807">
        <v>0</v>
      </c>
    </row>
    <row r="3808">
      <c r="A3808" t="inlineStr">
        <is>
          <t>Heptane</t>
        </is>
      </c>
      <c r="B3808">
        <v>1.2896172988288443e-09</v>
      </c>
      <c r="D3808" t="inlineStr">
        <is>
          <t>kilogram</t>
        </is>
      </c>
      <c r="E3808" t="inlineStr">
        <is>
          <t>air::urban air close to ground</t>
        </is>
      </c>
      <c r="F3808" t="inlineStr">
        <is>
          <t>biosphere</t>
        </is>
      </c>
      <c r="I3808">
        <v>0</v>
      </c>
    </row>
    <row r="3809">
      <c r="A3809" t="inlineStr">
        <is>
          <t>Hydrocarbons, chlorinated</t>
        </is>
      </c>
      <c r="B3809">
        <v>4.293130550601446e-06</v>
      </c>
      <c r="D3809" t="inlineStr">
        <is>
          <t>kilogram</t>
        </is>
      </c>
      <c r="E3809" t="inlineStr">
        <is>
          <t>air::urban air close to ground</t>
        </is>
      </c>
      <c r="F3809" t="inlineStr">
        <is>
          <t>biosphere</t>
        </is>
      </c>
      <c r="I3809">
        <v>0</v>
      </c>
    </row>
    <row r="3810">
      <c r="A3810" t="inlineStr">
        <is>
          <t>Hydrocarbons, chlorinated</t>
        </is>
      </c>
      <c r="B3810">
        <v>1.9958672886710043e-05</v>
      </c>
      <c r="D3810" t="inlineStr">
        <is>
          <t>kilogram</t>
        </is>
      </c>
      <c r="E3810" t="inlineStr">
        <is>
          <t>air::low population density, long-term</t>
        </is>
      </c>
      <c r="F3810" t="inlineStr">
        <is>
          <t>biosphere</t>
        </is>
      </c>
      <c r="I3810">
        <v>0</v>
      </c>
    </row>
    <row r="3811">
      <c r="A3811" t="inlineStr">
        <is>
          <t>Methane, fossil</t>
        </is>
      </c>
      <c r="B3811">
        <v>3.9496801692328545e-06</v>
      </c>
      <c r="D3811" t="inlineStr">
        <is>
          <t>kilogram</t>
        </is>
      </c>
      <c r="E3811" t="inlineStr">
        <is>
          <t>air::urban air close to ground</t>
        </is>
      </c>
      <c r="F3811" t="inlineStr">
        <is>
          <t>biosphere</t>
        </is>
      </c>
      <c r="I3811">
        <v>0</v>
      </c>
    </row>
    <row r="3812">
      <c r="A3812" t="inlineStr">
        <is>
          <t>Methane, fossil</t>
        </is>
      </c>
      <c r="B3812">
        <v>1.836197934716902e-05</v>
      </c>
      <c r="D3812" t="inlineStr">
        <is>
          <t>kilogram</t>
        </is>
      </c>
      <c r="E3812" t="inlineStr">
        <is>
          <t>air::low population density, long-term</t>
        </is>
      </c>
      <c r="F3812" t="inlineStr">
        <is>
          <t>biosphere</t>
        </is>
      </c>
      <c r="I3812">
        <v>0</v>
      </c>
    </row>
    <row r="3813">
      <c r="A3813" t="inlineStr">
        <is>
          <t>Methane, fossil</t>
        </is>
      </c>
      <c r="B3813">
        <v>8.567879426879305e-05</v>
      </c>
      <c r="D3813" t="inlineStr">
        <is>
          <t>kilogram</t>
        </is>
      </c>
      <c r="E3813" t="inlineStr">
        <is>
          <t>air::unspecified</t>
        </is>
      </c>
      <c r="F3813" t="inlineStr">
        <is>
          <t>biosphere</t>
        </is>
      </c>
      <c r="I3813">
        <v>0</v>
      </c>
    </row>
    <row r="3814">
      <c r="A3814" t="inlineStr">
        <is>
          <t>NMVOC, non-methane volatile organic compounds</t>
        </is>
      </c>
      <c r="B3814">
        <v>1.2981120494261394e-06</v>
      </c>
      <c r="D3814" t="inlineStr">
        <is>
          <t>kilogram</t>
        </is>
      </c>
      <c r="E3814" t="inlineStr">
        <is>
          <t>air::low population density, long-term</t>
        </is>
      </c>
      <c r="F3814" t="inlineStr">
        <is>
          <t>biosphere</t>
        </is>
      </c>
      <c r="I3814">
        <v>0</v>
      </c>
    </row>
    <row r="3815">
      <c r="A3815" t="inlineStr">
        <is>
          <t>NMVOC, non-methane volatile organic compounds</t>
        </is>
      </c>
      <c r="B3815">
        <v>2.792252034555915e-07</v>
      </c>
      <c r="D3815" t="inlineStr">
        <is>
          <t>kilogram</t>
        </is>
      </c>
      <c r="E3815" t="inlineStr">
        <is>
          <t>air::urban air close to ground</t>
        </is>
      </c>
      <c r="F3815" t="inlineStr">
        <is>
          <t>biosphere</t>
        </is>
      </c>
      <c r="I3815">
        <v>0</v>
      </c>
    </row>
    <row r="3816">
      <c r="A3816" t="inlineStr">
        <is>
          <t>Nitrogen oxides</t>
        </is>
      </c>
      <c r="B3816">
        <v>7.692757340486473e-05</v>
      </c>
      <c r="D3816" t="inlineStr">
        <is>
          <t>kilogram</t>
        </is>
      </c>
      <c r="E3816" t="inlineStr">
        <is>
          <t>air::low population density, long-term</t>
        </is>
      </c>
      <c r="F3816" t="inlineStr">
        <is>
          <t>biosphere</t>
        </is>
      </c>
      <c r="I3816">
        <v>0</v>
      </c>
    </row>
    <row r="3817">
      <c r="A3817" t="inlineStr">
        <is>
          <t>Nitrogen oxides</t>
        </is>
      </c>
      <c r="B3817">
        <v>1.654719817508365e-05</v>
      </c>
      <c r="D3817" t="inlineStr">
        <is>
          <t>kilogram</t>
        </is>
      </c>
      <c r="E3817" t="inlineStr">
        <is>
          <t>air::urban air close to ground</t>
        </is>
      </c>
      <c r="F3817" t="inlineStr">
        <is>
          <t>biosphere</t>
        </is>
      </c>
      <c r="I3817">
        <v>0</v>
      </c>
    </row>
    <row r="3818">
      <c r="A3818" t="inlineStr">
        <is>
          <t>Particulate Matter, &lt; 2.5 um</t>
        </is>
      </c>
      <c r="B3818">
        <v>7.099695341839355e-08</v>
      </c>
      <c r="D3818" t="inlineStr">
        <is>
          <t>kilogram</t>
        </is>
      </c>
      <c r="E3818" t="inlineStr">
        <is>
          <t>air::urban air close to ground</t>
        </is>
      </c>
      <c r="F3818" t="inlineStr">
        <is>
          <t>biosphere</t>
        </is>
      </c>
      <c r="I3818">
        <v>0</v>
      </c>
    </row>
    <row r="3819">
      <c r="A3819" t="inlineStr">
        <is>
          <t>Particulate Matter, &lt; 2.5 um</t>
        </is>
      </c>
      <c r="B3819">
        <v>3.300633308326001e-07</v>
      </c>
      <c r="D3819" t="inlineStr">
        <is>
          <t>kilogram</t>
        </is>
      </c>
      <c r="E3819" t="inlineStr">
        <is>
          <t>air::low population density, long-term</t>
        </is>
      </c>
      <c r="F3819" t="inlineStr">
        <is>
          <t>biosphere</t>
        </is>
      </c>
      <c r="I3819">
        <v>0</v>
      </c>
    </row>
    <row r="3820">
      <c r="A3820" t="inlineStr">
        <is>
          <t>Pentane</t>
        </is>
      </c>
      <c r="B3820">
        <v>1.1990806947513671e-09</v>
      </c>
      <c r="D3820" t="inlineStr">
        <is>
          <t>kilogram</t>
        </is>
      </c>
      <c r="E3820" t="inlineStr">
        <is>
          <t>air::low population density, long-term</t>
        </is>
      </c>
      <c r="F3820" t="inlineStr">
        <is>
          <t>biosphere</t>
        </is>
      </c>
      <c r="I3820">
        <v>0</v>
      </c>
    </row>
    <row r="3821">
      <c r="A3821" t="inlineStr">
        <is>
          <t>Pentane</t>
        </is>
      </c>
      <c r="B3821">
        <v>2.5792345976576875e-10</v>
      </c>
      <c r="D3821" t="inlineStr">
        <is>
          <t>kilogram</t>
        </is>
      </c>
      <c r="E3821" t="inlineStr">
        <is>
          <t>air::urban air close to ground</t>
        </is>
      </c>
      <c r="F3821" t="inlineStr">
        <is>
          <t>biosphere</t>
        </is>
      </c>
      <c r="I3821">
        <v>0</v>
      </c>
    </row>
    <row r="3822">
      <c r="A3822" t="inlineStr">
        <is>
          <t>Propane</t>
        </is>
      </c>
      <c r="B3822">
        <v>4.2987243294294815e-10</v>
      </c>
      <c r="D3822" t="inlineStr">
        <is>
          <t>kilogram</t>
        </is>
      </c>
      <c r="E3822" t="inlineStr">
        <is>
          <t>air::urban air close to ground</t>
        </is>
      </c>
      <c r="F3822" t="inlineStr">
        <is>
          <t>biosphere</t>
        </is>
      </c>
      <c r="I3822">
        <v>0</v>
      </c>
    </row>
    <row r="3823">
      <c r="A3823" t="inlineStr">
        <is>
          <t>Propane</t>
        </is>
      </c>
      <c r="B3823">
        <v>1.998467824585612e-09</v>
      </c>
      <c r="D3823" t="inlineStr">
        <is>
          <t>kilogram</t>
        </is>
      </c>
      <c r="E3823" t="inlineStr">
        <is>
          <t>air::low population density, long-term</t>
        </is>
      </c>
      <c r="F3823" t="inlineStr">
        <is>
          <t>biosphere</t>
        </is>
      </c>
      <c r="I3823">
        <v>0</v>
      </c>
    </row>
    <row r="3824">
      <c r="A3824" t="inlineStr">
        <is>
          <t>Styrene</t>
        </is>
      </c>
      <c r="B3824">
        <v>1.1191419817679426e-08</v>
      </c>
      <c r="D3824" t="inlineStr">
        <is>
          <t>kilogram</t>
        </is>
      </c>
      <c r="E3824" t="inlineStr">
        <is>
          <t>air::low population density, long-term</t>
        </is>
      </c>
      <c r="F3824" t="inlineStr">
        <is>
          <t>biosphere</t>
        </is>
      </c>
      <c r="I3824">
        <v>0</v>
      </c>
    </row>
    <row r="3825">
      <c r="A3825" t="inlineStr">
        <is>
          <t>Styrene</t>
        </is>
      </c>
      <c r="B3825">
        <v>2.4072856244805096e-09</v>
      </c>
      <c r="D3825" t="inlineStr">
        <is>
          <t>kilogram</t>
        </is>
      </c>
      <c r="E3825" t="inlineStr">
        <is>
          <t>air::urban air close to ground</t>
        </is>
      </c>
      <c r="F3825" t="inlineStr">
        <is>
          <t>biosphere</t>
        </is>
      </c>
      <c r="I3825">
        <v>0</v>
      </c>
    </row>
    <row r="3826">
      <c r="A3826" t="inlineStr">
        <is>
          <t>Toluene</t>
        </is>
      </c>
      <c r="B3826">
        <v>1.9984678245856117e-10</v>
      </c>
      <c r="D3826" t="inlineStr">
        <is>
          <t>kilogram</t>
        </is>
      </c>
      <c r="E3826" t="inlineStr">
        <is>
          <t>air::low population density, long-term</t>
        </is>
      </c>
      <c r="F3826" t="inlineStr">
        <is>
          <t>biosphere</t>
        </is>
      </c>
      <c r="I3826">
        <v>0</v>
      </c>
    </row>
    <row r="3827">
      <c r="A3827" t="inlineStr">
        <is>
          <t>Toluene</t>
        </is>
      </c>
      <c r="B3827">
        <v>4.298724329429479e-11</v>
      </c>
      <c r="D3827" t="inlineStr">
        <is>
          <t>kilogram</t>
        </is>
      </c>
      <c r="E3827" t="inlineStr">
        <is>
          <t>air::urban air close to ground</t>
        </is>
      </c>
      <c r="F3827" t="inlineStr">
        <is>
          <t>biosphere</t>
        </is>
      </c>
      <c r="I3827">
        <v>0</v>
      </c>
    </row>
    <row r="3828">
      <c r="A3828" t="inlineStr">
        <is>
          <t>m-Xylene</t>
        </is>
      </c>
      <c r="B3828">
        <v>4.2127498428408915e-09</v>
      </c>
      <c r="D3828" t="inlineStr">
        <is>
          <t>kilogram</t>
        </is>
      </c>
      <c r="E3828" t="inlineStr">
        <is>
          <t>air::urban air close to ground</t>
        </is>
      </c>
      <c r="F3828" t="inlineStr">
        <is>
          <t>biosphere</t>
        </is>
      </c>
      <c r="I3828">
        <v>0</v>
      </c>
    </row>
    <row r="3829">
      <c r="A3829" t="inlineStr">
        <is>
          <t>m-Xylene</t>
        </is>
      </c>
      <c r="B3829">
        <v>1.9584984680939002e-08</v>
      </c>
      <c r="D3829" t="inlineStr">
        <is>
          <t>kilogram</t>
        </is>
      </c>
      <c r="E3829" t="inlineStr">
        <is>
          <t>air::low population density, long-term</t>
        </is>
      </c>
      <c r="F3829" t="inlineStr">
        <is>
          <t>biosphere</t>
        </is>
      </c>
      <c r="I3829">
        <v>0</v>
      </c>
    </row>
    <row r="3830">
      <c r="A3830" t="inlineStr">
        <is>
          <t>o-Xylene</t>
        </is>
      </c>
      <c r="B3830">
        <v>7.993871298342448e-09</v>
      </c>
      <c r="D3830" t="inlineStr">
        <is>
          <t>kilogram</t>
        </is>
      </c>
      <c r="E3830" t="inlineStr">
        <is>
          <t>air::low population density, long-term</t>
        </is>
      </c>
      <c r="F3830" t="inlineStr">
        <is>
          <t>biosphere</t>
        </is>
      </c>
      <c r="I3830">
        <v>0</v>
      </c>
    </row>
    <row r="3831">
      <c r="A3831" t="inlineStr">
        <is>
          <t>o-Xylene</t>
        </is>
      </c>
      <c r="B3831">
        <v>1.7194897317717926e-09</v>
      </c>
      <c r="D3831" t="inlineStr">
        <is>
          <t>kilogram</t>
        </is>
      </c>
      <c r="E3831" t="inlineStr">
        <is>
          <t>air::urban air close to ground</t>
        </is>
      </c>
      <c r="F3831" t="inlineStr">
        <is>
          <t>biosphere</t>
        </is>
      </c>
      <c r="I3831">
        <v>0</v>
      </c>
    </row>
    <row r="3832">
      <c r="A3832" t="inlineStr">
        <is>
          <t>fuel tank assembly, compressed natural gas, 200 bar</t>
        </is>
      </c>
      <c r="B3832">
        <v>2.813151844177981e-05</v>
      </c>
      <c r="C3832" t="inlineStr">
        <is>
          <t>RER</t>
        </is>
      </c>
      <c r="D3832" t="inlineStr">
        <is>
          <t>kilogram</t>
        </is>
      </c>
      <c r="F3832" t="inlineStr">
        <is>
          <t>technosphere</t>
        </is>
      </c>
      <c r="G3832" t="inlineStr">
        <is>
          <t>fuel tank, compressed natural gas, 200 bar</t>
        </is>
      </c>
      <c r="H3832" t="inlineStr">
        <is>
          <t> Energy-use allocation: 231.99396 * 6.802721088435375e-08 / 0.5610042726089636 MJ per person kilometer.</t>
        </is>
      </c>
      <c r="I3832">
        <v>0</v>
      </c>
    </row>
    <row r="3833">
      <c r="A3833" t="inlineStr">
        <is>
          <t>exhaust system, for lorry</t>
        </is>
      </c>
      <c r="B3833">
        <v>1.4308644829072351e-05</v>
      </c>
      <c r="C3833" t="inlineStr">
        <is>
          <t>RER</t>
        </is>
      </c>
      <c r="D3833" t="inlineStr">
        <is>
          <t>kilogram</t>
        </is>
      </c>
      <c r="F3833" t="inlineStr">
        <is>
          <t>technosphere</t>
        </is>
      </c>
      <c r="G3833" t="inlineStr">
        <is>
          <t>exhaust system, for lorry</t>
        </is>
      </c>
      <c r="H3833" t="inlineStr">
        <is>
          <t> Energy-use allocation: 118 * 6.802721088435375e-08 / 0.5610042726089636 MJ per person kilometer.</t>
        </is>
      </c>
      <c r="I3833">
        <v>0</v>
      </c>
    </row>
    <row r="3834">
      <c r="A3834" t="inlineStr">
        <is>
          <t>gearbox, for lorry</t>
        </is>
      </c>
      <c r="B3834">
        <v>1.9111498945364388e-05</v>
      </c>
      <c r="C3834" t="inlineStr">
        <is>
          <t>RER</t>
        </is>
      </c>
      <c r="D3834" t="inlineStr">
        <is>
          <t>kilogram</t>
        </is>
      </c>
      <c r="F3834" t="inlineStr">
        <is>
          <t>technosphere</t>
        </is>
      </c>
      <c r="G3834" t="inlineStr">
        <is>
          <t>gearbox, for lorry</t>
        </is>
      </c>
      <c r="H3834" t="inlineStr">
        <is>
          <t> Energy-use allocation: 157.6079986953735 * 6.802721088435375e-08 / 0.5610042726089636 MJ per person kilometer.</t>
        </is>
      </c>
      <c r="I3834">
        <v>0</v>
      </c>
    </row>
    <row r="3835">
      <c r="A3835" t="inlineStr">
        <is>
          <t>internal combustion engine, for lorry</t>
        </is>
      </c>
      <c r="B3835">
        <v>0.00012843510769406809</v>
      </c>
      <c r="C3835" t="inlineStr">
        <is>
          <t>RER</t>
        </is>
      </c>
      <c r="D3835" t="inlineStr">
        <is>
          <t>kilogram</t>
        </is>
      </c>
      <c r="F3835" t="inlineStr">
        <is>
          <t>technosphere</t>
        </is>
      </c>
      <c r="G3835" t="inlineStr">
        <is>
          <t>internal combustion engine, for lorry</t>
        </is>
      </c>
      <c r="H3835" t="inlineStr">
        <is>
          <t> Energy-use allocation: 1059.173869289659 * 6.802721088435375e-08 / 0.5610042726089636 MJ per person kilometer.</t>
        </is>
      </c>
      <c r="I3835">
        <v>0</v>
      </c>
    </row>
    <row r="3836">
      <c r="A3836" t="inlineStr">
        <is>
          <t>power electronics, for lorry</t>
        </is>
      </c>
      <c r="B3836">
        <v>2.6677134427084043e-05</v>
      </c>
      <c r="C3836" t="inlineStr">
        <is>
          <t>RER</t>
        </is>
      </c>
      <c r="D3836" t="inlineStr">
        <is>
          <t>kilogram</t>
        </is>
      </c>
      <c r="F3836" t="inlineStr">
        <is>
          <t>technosphere</t>
        </is>
      </c>
      <c r="G3836" t="inlineStr">
        <is>
          <t>power electronics, for lorry</t>
        </is>
      </c>
      <c r="H3836" t="inlineStr">
        <is>
          <t> Energy-use allocation: 220 * 6.802721088435375e-08 / 0.5610042726089636 MJ per person kilometer.</t>
        </is>
      </c>
      <c r="I3836">
        <v>0</v>
      </c>
    </row>
    <row r="3837">
      <c r="A3837" t="inlineStr">
        <is>
          <t>retarder, for lorry</t>
        </is>
      </c>
      <c r="B3837">
        <v>6.370499648454798e-06</v>
      </c>
      <c r="C3837" t="inlineStr">
        <is>
          <t>RER</t>
        </is>
      </c>
      <c r="D3837" t="inlineStr">
        <is>
          <t>kilogram</t>
        </is>
      </c>
      <c r="F3837" t="inlineStr">
        <is>
          <t>technosphere</t>
        </is>
      </c>
      <c r="G3837" t="inlineStr">
        <is>
          <t>retarder, for lorry</t>
        </is>
      </c>
      <c r="H3837" t="inlineStr">
        <is>
          <t> Energy-use allocation: 52.53599956512451 * 6.802721088435375e-08 / 0.5610042726089636 MJ per person kilometer.</t>
        </is>
      </c>
      <c r="I3837">
        <v>0</v>
      </c>
    </row>
    <row r="3838">
      <c r="A3838" t="inlineStr">
        <is>
          <t>transmission, for lorry</t>
        </is>
      </c>
      <c r="B3838">
        <v>2.760549847663745e-05</v>
      </c>
      <c r="C3838" t="inlineStr">
        <is>
          <t>RER</t>
        </is>
      </c>
      <c r="D3838" t="inlineStr">
        <is>
          <t>kilogram</t>
        </is>
      </c>
      <c r="F3838" t="inlineStr">
        <is>
          <t>technosphere</t>
        </is>
      </c>
      <c r="G3838" t="inlineStr">
        <is>
          <t>transmission, for lorry</t>
        </is>
      </c>
      <c r="H3838" t="inlineStr">
        <is>
          <t> Energy-use allocation: 227.6559981155395 * 6.802721088435375e-08 / 0.5610042726089636 MJ per person kilometer.</t>
        </is>
      </c>
      <c r="I3838">
        <v>0</v>
      </c>
    </row>
    <row r="3839">
      <c r="A3839" t="inlineStr">
        <is>
          <t>market for refrigerant R134a</t>
        </is>
      </c>
      <c r="B3839">
        <v>2.849602995620341e-06</v>
      </c>
      <c r="C3839" t="inlineStr">
        <is>
          <t>GLO</t>
        </is>
      </c>
      <c r="D3839" t="inlineStr">
        <is>
          <t>kilogram</t>
        </is>
      </c>
      <c r="F3839" t="inlineStr">
        <is>
          <t>technosphere</t>
        </is>
      </c>
      <c r="G3839" t="inlineStr">
        <is>
          <t>refrigerant R134a</t>
        </is>
      </c>
      <c r="I3839">
        <v>0</v>
      </c>
    </row>
    <row r="3840">
      <c r="A3840" t="inlineStr">
        <is>
          <t>treatment of brake wear emissions, lorry</t>
        </is>
      </c>
      <c r="B3840">
        <v>-5.679986583949362e-06</v>
      </c>
      <c r="C3840" t="inlineStr">
        <is>
          <t>RER</t>
        </is>
      </c>
      <c r="D3840" t="inlineStr">
        <is>
          <t>kilogram</t>
        </is>
      </c>
      <c r="F3840" t="inlineStr">
        <is>
          <t>technosphere</t>
        </is>
      </c>
      <c r="G3840" t="inlineStr">
        <is>
          <t>brake wear emissions, lorry</t>
        </is>
      </c>
      <c r="I3840">
        <v>0</v>
      </c>
    </row>
    <row r="3841">
      <c r="A3841" t="inlineStr">
        <is>
          <t>treatment of road wear emissions, lorry</t>
        </is>
      </c>
      <c r="B3841">
        <v>-7.662968823281847e-06</v>
      </c>
      <c r="C3841" t="inlineStr">
        <is>
          <t>RER</t>
        </is>
      </c>
      <c r="D3841" t="inlineStr">
        <is>
          <t>kilogram</t>
        </is>
      </c>
      <c r="F3841" t="inlineStr">
        <is>
          <t>technosphere</t>
        </is>
      </c>
      <c r="G3841" t="inlineStr">
        <is>
          <t>road wear emissions, lorry</t>
        </is>
      </c>
      <c r="I3841">
        <v>0</v>
      </c>
    </row>
    <row r="3842">
      <c r="A3842" t="inlineStr">
        <is>
          <t>treatment of tyre wear emissions, lorry</t>
        </is>
      </c>
      <c r="B3842">
        <v>-6.4453384727989636e-06</v>
      </c>
      <c r="C3842" t="inlineStr">
        <is>
          <t>RER</t>
        </is>
      </c>
      <c r="D3842" t="inlineStr">
        <is>
          <t>kilogram</t>
        </is>
      </c>
      <c r="F3842" t="inlineStr">
        <is>
          <t>technosphere</t>
        </is>
      </c>
      <c r="G3842" t="inlineStr">
        <is>
          <t>tyre wear emissions, lorry</t>
        </is>
      </c>
      <c r="I3842">
        <v>0</v>
      </c>
    </row>
    <row r="3843"/>
    <row r="3844">
      <c r="A3844" t="inlineStr">
        <is>
          <t>Activity</t>
        </is>
      </c>
      <c r="B3844" t="inlineStr">
        <is>
          <t>electricity, used in freight train</t>
        </is>
      </c>
    </row>
    <row r="3845">
      <c r="A3845" t="inlineStr">
        <is>
          <t>location</t>
        </is>
      </c>
      <c r="B3845" t="inlineStr">
        <is>
          <t>CH</t>
        </is>
      </c>
    </row>
    <row r="3846">
      <c r="A3846" t="inlineStr">
        <is>
          <t>production amount</t>
        </is>
      </c>
      <c r="B3846">
        <v>1</v>
      </c>
    </row>
    <row r="3847">
      <c r="A3847" t="inlineStr">
        <is>
          <t>reference product</t>
        </is>
      </c>
      <c r="B3847" t="inlineStr">
        <is>
          <t>electricity, high voltage</t>
        </is>
      </c>
    </row>
    <row r="3848">
      <c r="A3848" t="inlineStr">
        <is>
          <t>type</t>
        </is>
      </c>
      <c r="B3848" t="inlineStr">
        <is>
          <t>process</t>
        </is>
      </c>
    </row>
    <row r="3849">
      <c r="A3849" t="inlineStr">
        <is>
          <t>unit</t>
        </is>
      </c>
      <c r="B3849" t="inlineStr">
        <is>
          <t>megajoule</t>
        </is>
      </c>
    </row>
    <row r="3850">
      <c r="A3850" t="inlineStr">
        <is>
          <t>energy use source</t>
        </is>
      </c>
      <c r="B3850"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["market for electric motor, electric passenger car", "electric motor, electric passenger car",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51">
      <c r="A3851" t="inlineStr">
        <is>
          <t>comment</t>
        </is>
      </c>
      <c r="B3851"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52">
      <c r="A3852" t="inlineStr">
        <is>
          <t>Exchanges</t>
        </is>
      </c>
    </row>
    <row r="3853">
      <c r="A3853" t="inlineStr">
        <is>
          <t>name</t>
        </is>
      </c>
      <c r="B3853" t="inlineStr">
        <is>
          <t>amount</t>
        </is>
      </c>
      <c r="C3853" t="inlineStr">
        <is>
          <t>location</t>
        </is>
      </c>
      <c r="D3853" t="inlineStr">
        <is>
          <t>unit</t>
        </is>
      </c>
      <c r="E3853" t="inlineStr">
        <is>
          <t>categories</t>
        </is>
      </c>
      <c r="F3853" t="inlineStr">
        <is>
          <t>type</t>
        </is>
      </c>
      <c r="G3853" t="inlineStr">
        <is>
          <t>reference product</t>
        </is>
      </c>
      <c r="H3853" t="inlineStr">
        <is>
          <t>comment</t>
        </is>
      </c>
      <c r="I3853" t="inlineStr">
        <is>
          <t>uncertainty type</t>
        </is>
      </c>
    </row>
    <row r="3854">
      <c r="A3854" t="inlineStr">
        <is>
          <t>electricity, used in freight train</t>
        </is>
      </c>
      <c r="B3854">
        <v>1.0</v>
      </c>
      <c r="C3854" t="inlineStr">
        <is>
          <t>CH</t>
        </is>
      </c>
      <c r="D3854" t="inlineStr">
        <is>
          <t>megajoule</t>
        </is>
      </c>
      <c r="F3854" t="inlineStr">
        <is>
          <t>production</t>
        </is>
      </c>
      <c r="G3854" t="inlineStr">
        <is>
          <t>electricity, high voltage</t>
        </is>
      </c>
      <c r="I3854">
        <v>0</v>
      </c>
    </row>
    <row r="3855">
      <c r="A3855" t="inlineStr">
        <is>
          <t>market group for electricity, high voltage</t>
        </is>
      </c>
      <c r="B3855">
        <v>0.27777777777777773</v>
      </c>
      <c r="C3855" t="inlineStr">
        <is>
          <t>RER</t>
        </is>
      </c>
      <c r="D3855" t="inlineStr">
        <is>
          <t>kilowatt hour</t>
        </is>
      </c>
      <c r="F3855" t="inlineStr">
        <is>
          <t>technosphere</t>
        </is>
      </c>
      <c r="G3855" t="inlineStr">
        <is>
          <t>electricity, high voltage</t>
        </is>
      </c>
      <c r="H3855"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55">
        <v>0</v>
      </c>
    </row>
    <row r="3856">
      <c r="A3856" t="inlineStr">
        <is>
          <t>market for diesel</t>
        </is>
      </c>
      <c r="B3856">
        <v>0.003188710842490739</v>
      </c>
      <c r="C3856" t="inlineStr">
        <is>
          <t>Europe without Switzerland</t>
        </is>
      </c>
      <c r="D3856" t="inlineStr">
        <is>
          <t>kilogram</t>
        </is>
      </c>
      <c r="F3856" t="inlineStr">
        <is>
          <t>technosphere</t>
        </is>
      </c>
      <c r="G3856" t="inlineStr">
        <is>
          <t>diesel</t>
        </is>
      </c>
      <c r="H3856"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56">
        <v>0</v>
      </c>
    </row>
    <row r="3857">
      <c r="A3857" t="inlineStr">
        <is>
          <t>market for transformer, high voltage use</t>
        </is>
      </c>
      <c r="B3857">
        <v>1.0214001325676948e-05</v>
      </c>
      <c r="C3857" t="inlineStr">
        <is>
          <t>GLO</t>
        </is>
      </c>
      <c r="D3857" t="inlineStr">
        <is>
          <t>kilogram</t>
        </is>
      </c>
      <c r="F3857" t="inlineStr">
        <is>
          <t>technosphere</t>
        </is>
      </c>
      <c r="G3857" t="inlineStr">
        <is>
          <t>transformer, high voltage use</t>
        </is>
      </c>
      <c r="H3857"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57">
        <v>0</v>
      </c>
    </row>
    <row r="3858">
      <c r="A3858" t="inlineStr">
        <is>
          <t>market for electric motor, electric passenger car</t>
        </is>
      </c>
      <c r="B3858">
        <v>1.2424244235495565e-05</v>
      </c>
      <c r="C3858" t="inlineStr">
        <is>
          <t>GLO</t>
        </is>
      </c>
      <c r="D3858" t="inlineStr">
        <is>
          <t>kilogram</t>
        </is>
      </c>
      <c r="F3858" t="inlineStr">
        <is>
          <t>technosphere</t>
        </is>
      </c>
      <c r="G3858" t="inlineStr">
        <is>
          <t>electric motor, electric passenger car</t>
        </is>
      </c>
      <c r="H3858"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58">
        <v>0</v>
      </c>
    </row>
    <row r="3859">
      <c r="A3859" t="inlineStr">
        <is>
          <t>market for converter, for electric passenger car</t>
        </is>
      </c>
      <c r="B3859">
        <v>3.4694115978364936e-05</v>
      </c>
      <c r="C3859" t="inlineStr">
        <is>
          <t>GLO</t>
        </is>
      </c>
      <c r="D3859" t="inlineStr">
        <is>
          <t>kilogram</t>
        </is>
      </c>
      <c r="F3859" t="inlineStr">
        <is>
          <t>technosphere</t>
        </is>
      </c>
      <c r="G3859" t="inlineStr">
        <is>
          <t>converter, for electric passenger car</t>
        </is>
      </c>
      <c r="H3859"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59">
        <v>0</v>
      </c>
    </row>
    <row r="3860">
      <c r="A3860" t="inlineStr">
        <is>
          <t>Ammonia</t>
        </is>
      </c>
      <c r="B3860">
        <v>6.377421684981479e-08</v>
      </c>
      <c r="D3860" t="inlineStr">
        <is>
          <t>kilogram</t>
        </is>
      </c>
      <c r="E3860" t="inlineStr">
        <is>
          <t>air</t>
        </is>
      </c>
      <c r="F3860" t="inlineStr">
        <is>
          <t>biosphere</t>
        </is>
      </c>
      <c r="H3860" t="inlineStr">
        <is>
          <t>2.0E-05 kg/kg fuel for diesel locomotives, according to Spielmann et al. (2007)
Spielmann, M., Bauer, C., Dones, R., Institut, P. S., &amp; Tuchschmid, M. (2007). Transport Services. Swiss Centre for Life Cycle Inventories, ecoinvent report No. 14.</t>
        </is>
      </c>
      <c r="I3860">
        <v>0</v>
      </c>
    </row>
    <row r="3861">
      <c r="A3861" t="inlineStr">
        <is>
          <t>Benzene</t>
        </is>
      </c>
      <c r="B3861">
        <v>3.1887108424907397e-07</v>
      </c>
      <c r="D3861" t="inlineStr">
        <is>
          <t>kilogram</t>
        </is>
      </c>
      <c r="E3861" t="inlineStr">
        <is>
          <t>air</t>
        </is>
      </c>
      <c r="F3861" t="inlineStr">
        <is>
          <t>biosphere</t>
        </is>
      </c>
      <c r="H3861" t="inlineStr">
        <is>
          <t>1.0E-04 kg/kg fuel for diesel locomotives, according to Spielmann et al. (2007)
Spielmann, M., Bauer, C., Dones, R., Institut, P. S., &amp; Tuchschmid, M. (2007). Transport Services. Swiss Centre for Life Cycle Inventories, ecoinvent report No. 14.</t>
        </is>
      </c>
      <c r="I3861">
        <v>0</v>
      </c>
    </row>
    <row r="3862">
      <c r="A3862" t="inlineStr">
        <is>
          <t>Cadmium II</t>
        </is>
      </c>
      <c r="B3862">
        <v>3.1887108424907394e-11</v>
      </c>
      <c r="D3862" t="inlineStr">
        <is>
          <t>kilogram</t>
        </is>
      </c>
      <c r="E3862" t="inlineStr">
        <is>
          <t>air</t>
        </is>
      </c>
      <c r="F3862" t="inlineStr">
        <is>
          <t>biosphere</t>
        </is>
      </c>
      <c r="H3862" t="inlineStr">
        <is>
          <t>1.0E-08 kg/kg fuel for diesel locomotives, according to Spielmann et al. (2007)
Spielmann, M., Bauer, C., Dones, R., Institut, P. S., &amp; Tuchschmid, M. (2007). Transport Services. Swiss Centre for Life Cycle Inventories, ecoinvent report No. 14.</t>
        </is>
      </c>
      <c r="I3862">
        <v>0</v>
      </c>
    </row>
    <row r="3863">
      <c r="A3863" t="inlineStr">
        <is>
          <t>Carbon dioxide, fossil</t>
        </is>
      </c>
      <c r="B3863">
        <v>0.010031684310475865</v>
      </c>
      <c r="D3863" t="inlineStr">
        <is>
          <t>kilogram</t>
        </is>
      </c>
      <c r="E3863" t="inlineStr">
        <is>
          <t>air</t>
        </is>
      </c>
      <c r="F3863" t="inlineStr">
        <is>
          <t>biosphere</t>
        </is>
      </c>
      <c r="H3863" t="inlineStr">
        <is>
          <t>3.146 kg/kg fuel for diesel locomotives, according to Spielmann et al. (2007)
Spielmann, M., Bauer, C., Dones, R., Institut, P. S., &amp; Tuchschmid, M. (2007). Transport Services. Swiss Centre for Life Cycle Inventories, ecoinvent report No. 14.</t>
        </is>
      </c>
      <c r="I3863">
        <v>0</v>
      </c>
    </row>
    <row r="3864">
      <c r="A3864" t="inlineStr">
        <is>
          <t>Carbon monoxide, fossil</t>
        </is>
      </c>
      <c r="B3864">
        <v>5.038163131135368e-05</v>
      </c>
      <c r="D3864" t="inlineStr">
        <is>
          <t>kilogram</t>
        </is>
      </c>
      <c r="E3864" t="inlineStr">
        <is>
          <t>air</t>
        </is>
      </c>
      <c r="F3864" t="inlineStr">
        <is>
          <t>biosphere</t>
        </is>
      </c>
      <c r="H3864" t="inlineStr">
        <is>
          <t>1.58E-02 kg/kg fuel for diesel locomotives, according to Spielmann et al. (2007)
Spielmann, M., Bauer, C., Dones, R., Institut, P. S., &amp; Tuchschmid, M. (2007). Transport Services. Swiss Centre for Life Cycle Inventories, ecoinvent report No. 14.</t>
        </is>
      </c>
      <c r="I3864">
        <v>0</v>
      </c>
    </row>
    <row r="3865">
      <c r="A3865" t="inlineStr">
        <is>
          <t>Chromium III</t>
        </is>
      </c>
      <c r="B3865">
        <v>1.5943554212453697e-10</v>
      </c>
      <c r="D3865" t="inlineStr">
        <is>
          <t>kilogram</t>
        </is>
      </c>
      <c r="E3865" t="inlineStr">
        <is>
          <t>air</t>
        </is>
      </c>
      <c r="F3865" t="inlineStr">
        <is>
          <t>biosphere</t>
        </is>
      </c>
      <c r="H3865" t="inlineStr">
        <is>
          <t>5.0E-08 kg/kg fuel for diesel locomotives, according to Spielmann et al. (2007)
Spielmann, M., Bauer, C., Dones, R., Institut, P. S., &amp; Tuchschmid, M. (2007). Transport Services. Swiss Centre for Life Cycle Inventories, ecoinvent report No. 14.</t>
        </is>
      </c>
      <c r="I3865">
        <v>0</v>
      </c>
    </row>
    <row r="3866">
      <c r="A3866" t="inlineStr">
        <is>
          <t>Copper ion</t>
        </is>
      </c>
      <c r="B3866">
        <v>5.420808432234257e-09</v>
      </c>
      <c r="D3866" t="inlineStr">
        <is>
          <t>kilogram</t>
        </is>
      </c>
      <c r="E3866" t="inlineStr">
        <is>
          <t>air</t>
        </is>
      </c>
      <c r="F3866" t="inlineStr">
        <is>
          <t>biosphere</t>
        </is>
      </c>
      <c r="H3866" t="inlineStr">
        <is>
          <t>1.7E-06 kg/kg fuel for diesel locomotives, according to Spielmann et al. (2007)
Spielmann, M., Bauer, C., Dones, R., Institut, P. S., &amp; Tuchschmid, M. (2007). Transport Services. Swiss Centre for Life Cycle Inventories, ecoinvent report No. 14.</t>
        </is>
      </c>
      <c r="I3866">
        <v>0</v>
      </c>
    </row>
    <row r="3867">
      <c r="A3867" t="inlineStr">
        <is>
          <t>Dinitrogen monoxide</t>
        </is>
      </c>
      <c r="B3867">
        <v>3.1887108424907397e-07</v>
      </c>
      <c r="D3867" t="inlineStr">
        <is>
          <t>kilogram</t>
        </is>
      </c>
      <c r="E3867" t="inlineStr">
        <is>
          <t>air</t>
        </is>
      </c>
      <c r="F3867" t="inlineStr">
        <is>
          <t>biosphere</t>
        </is>
      </c>
      <c r="H3867" t="inlineStr">
        <is>
          <t>1.0E-04 kg/kg fuel for diesel locomotives, according to Spielmann et al. (2007)
Spielmann, M., Bauer, C., Dones, R., Institut, P. S., &amp; Tuchschmid, M. (2007). Transport Services. Swiss Centre for Life Cycle Inventories, ecoinvent report No. 14.</t>
        </is>
      </c>
      <c r="I3867">
        <v>0</v>
      </c>
    </row>
    <row r="3868">
      <c r="A3868" t="inlineStr">
        <is>
          <t>Iron ion</t>
        </is>
      </c>
      <c r="B3868">
        <v>5.840474807516273e-05</v>
      </c>
      <c r="D3868" t="inlineStr">
        <is>
          <t>kilogram</t>
        </is>
      </c>
      <c r="E3868" t="inlineStr">
        <is>
          <t>soil</t>
        </is>
      </c>
      <c r="F3868" t="inlineStr">
        <is>
          <t>biosphere</t>
        </is>
      </c>
      <c r="H386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Lead II</t>
        </is>
      </c>
      <c r="B3869">
        <v>3.5075819267398133e-13</v>
      </c>
      <c r="D3869" t="inlineStr">
        <is>
          <t>kilogram</t>
        </is>
      </c>
      <c r="E3869" t="inlineStr">
        <is>
          <t>air</t>
        </is>
      </c>
      <c r="F3869" t="inlineStr">
        <is>
          <t>biosphere</t>
        </is>
      </c>
      <c r="H3869" t="inlineStr">
        <is>
          <t>1.1E-10 kg/kg fuel for diesel locomotives, according to Spielmann et al. (2007)
Spielmann, M., Bauer, C., Dones, R., Institut, P. S., &amp; Tuchschmid, M. (2007). Transport Services. Swiss Centre for Life Cycle Inventories, ecoinvent report No. 14.</t>
        </is>
      </c>
      <c r="I3869">
        <v>0</v>
      </c>
    </row>
    <row r="3870">
      <c r="A3870" t="inlineStr">
        <is>
          <t>Mercury II</t>
        </is>
      </c>
      <c r="B3870">
        <v>6.377421684981477e-14</v>
      </c>
      <c r="D3870" t="inlineStr">
        <is>
          <t>kilogram</t>
        </is>
      </c>
      <c r="E3870" t="inlineStr">
        <is>
          <t>air</t>
        </is>
      </c>
      <c r="F3870" t="inlineStr">
        <is>
          <t>biosphere</t>
        </is>
      </c>
      <c r="H3870" t="inlineStr">
        <is>
          <t>2.0E-11 kg/kg fuel for diesel locomotives, according to Spielmann et al. (2007)
Spielmann, M., Bauer, C., Dones, R., Institut, P. S., &amp; Tuchschmid, M. (2007). Transport Services. Swiss Centre for Life Cycle Inventories, ecoinvent report No. 14.</t>
        </is>
      </c>
      <c r="I3870">
        <v>0</v>
      </c>
    </row>
    <row r="3871">
      <c r="A3871" t="inlineStr">
        <is>
          <t>Methane, fossil</t>
        </is>
      </c>
      <c r="B3871">
        <v>4.1453240952379607e-07</v>
      </c>
      <c r="D3871" t="inlineStr">
        <is>
          <t>kilogram</t>
        </is>
      </c>
      <c r="E3871" t="inlineStr">
        <is>
          <t>air</t>
        </is>
      </c>
      <c r="F3871" t="inlineStr">
        <is>
          <t>biosphere</t>
        </is>
      </c>
      <c r="H3871" t="inlineStr">
        <is>
          <t>1.3E-04 kg/kg fuel for diesel locomotives, according to Spielmann et al. (2007)
Spielmann, M., Bauer, C., Dones, R., Institut, P. S., &amp; Tuchschmid, M. (2007). Transport Services. Swiss Centre for Life Cycle Inventories, ecoinvent report No. 14.</t>
        </is>
      </c>
      <c r="I3871">
        <v>0</v>
      </c>
    </row>
    <row r="3872">
      <c r="A3872" t="inlineStr">
        <is>
          <t>NMVOC, non-methane volatile organic compounds</t>
        </is>
      </c>
      <c r="B3872">
        <v>1.6740731923076382e-05</v>
      </c>
      <c r="D3872" t="inlineStr">
        <is>
          <t>kilogram</t>
        </is>
      </c>
      <c r="E3872" t="inlineStr">
        <is>
          <t>air</t>
        </is>
      </c>
      <c r="F3872" t="inlineStr">
        <is>
          <t>biosphere</t>
        </is>
      </c>
      <c r="H3872" t="inlineStr">
        <is>
          <t>5.25E-03 kg/kg fuel for diesel locomotives, according to Spielmann et al. (2007)
Spielmann, M., Bauer, C., Dones, R., Institut, P. S., &amp; Tuchschmid, M. (2007). Transport Services. Swiss Centre for Life Cycle Inventories, ecoinvent report No. 14.</t>
        </is>
      </c>
      <c r="I3872">
        <v>0</v>
      </c>
    </row>
    <row r="3873">
      <c r="A3873" t="inlineStr">
        <is>
          <t>Nickel II</t>
        </is>
      </c>
      <c r="B3873">
        <v>2.2320975897435179e-10</v>
      </c>
      <c r="D3873" t="inlineStr">
        <is>
          <t>kilogram</t>
        </is>
      </c>
      <c r="E3873" t="inlineStr">
        <is>
          <t>air</t>
        </is>
      </c>
      <c r="F3873" t="inlineStr">
        <is>
          <t>biosphere</t>
        </is>
      </c>
      <c r="H3873" t="inlineStr">
        <is>
          <t>7.0E-08 kg/kg fuel for diesel locomotives, according to Spielmann et al. (2007)
Spielmann, M., Bauer, C., Dones, R., Institut, P. S., &amp; Tuchschmid, M. (2007). Transport Services. Swiss Centre for Life Cycle Inventories, ecoinvent report No. 14.</t>
        </is>
      </c>
      <c r="I3873">
        <v>0</v>
      </c>
    </row>
    <row r="3874">
      <c r="A3874" t="inlineStr">
        <is>
          <t>Nitrogen oxides</t>
        </is>
      </c>
      <c r="B3874">
        <v>0.00017537909633699066</v>
      </c>
      <c r="D3874" t="inlineStr">
        <is>
          <t>kilogram</t>
        </is>
      </c>
      <c r="E3874" t="inlineStr">
        <is>
          <t>air::unspecified</t>
        </is>
      </c>
      <c r="F3874" t="inlineStr">
        <is>
          <t>biosphere</t>
        </is>
      </c>
      <c r="H3874" t="inlineStr">
        <is>
          <t>5.5E-02 kg/kg fuel for diesel locomotives, according to Spielmann et al. (2007)
Spielmann, M., Bauer, C., Dones, R., Institut, P. S., &amp; Tuchschmid, M. (2007). Transport Services. Swiss Centre for Life Cycle Inventories, ecoinvent report No. 14.</t>
        </is>
      </c>
      <c r="I3874">
        <v>0</v>
      </c>
    </row>
    <row r="3875">
      <c r="A3875" t="inlineStr">
        <is>
          <t>Particulate Matter, &lt; 2.5 um</t>
        </is>
      </c>
      <c r="B3875">
        <v>3.922114336263609e-06</v>
      </c>
      <c r="D3875" t="inlineStr">
        <is>
          <t>kilogram</t>
        </is>
      </c>
      <c r="E3875" t="inlineStr">
        <is>
          <t>air</t>
        </is>
      </c>
      <c r="F3875" t="inlineStr">
        <is>
          <t>biosphere</t>
        </is>
      </c>
      <c r="H3875" t="inlineStr">
        <is>
          <t>1.28E-03 kg/kg fuel for diesel locomotives, according to Spielmann et al. (2007)
Spielmann, M., Bauer, C., Dones, R., Institut, P. S., &amp; Tuchschmid, M. (2007). Transport Services. Swiss Centre for Life Cycle Inventories, ecoinvent report No. 14.</t>
        </is>
      </c>
      <c r="I3875">
        <v>0</v>
      </c>
    </row>
    <row r="3876">
      <c r="A3876" t="inlineStr">
        <is>
          <t>Particulate Matter, &gt; 10 um</t>
        </is>
      </c>
      <c r="B3876">
        <v>8.35431280422189e-05</v>
      </c>
      <c r="D3876" t="inlineStr">
        <is>
          <t>kilogram</t>
        </is>
      </c>
      <c r="E3876" t="inlineStr">
        <is>
          <t>air</t>
        </is>
      </c>
      <c r="F3876" t="inlineStr">
        <is>
          <t>biosphere</t>
        </is>
      </c>
      <c r="H387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76">
        <v>0</v>
      </c>
    </row>
    <row r="3877">
      <c r="A3877" t="inlineStr">
        <is>
          <t>Particulate Matter, &gt; 2.5 um and &lt; 10um</t>
        </is>
      </c>
      <c r="B3877">
        <v>7.711517541701365e-05</v>
      </c>
      <c r="D3877" t="inlineStr">
        <is>
          <t>kilogram</t>
        </is>
      </c>
      <c r="E3877" t="inlineStr">
        <is>
          <t>air</t>
        </is>
      </c>
      <c r="F3877" t="inlineStr">
        <is>
          <t>biosphere</t>
        </is>
      </c>
      <c r="H387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77">
        <v>0</v>
      </c>
    </row>
    <row r="3878">
      <c r="A3878" t="inlineStr">
        <is>
          <t>Selenium IV</t>
        </is>
      </c>
      <c r="B3878">
        <v>3.1887108424907394e-11</v>
      </c>
      <c r="D3878" t="inlineStr">
        <is>
          <t>kilogram</t>
        </is>
      </c>
      <c r="E3878" t="inlineStr">
        <is>
          <t>air</t>
        </is>
      </c>
      <c r="F3878" t="inlineStr">
        <is>
          <t>biosphere</t>
        </is>
      </c>
      <c r="H3878" t="inlineStr">
        <is>
          <t>1.0E-08 kg/kg fuel for diesel locomotives, according to Spielmann et al. (2007)
Spielmann, M., Bauer, C., Dones, R., Institut, P. S., &amp; Tuchschmid, M. (2007). Transport Services. Swiss Centre for Life Cycle Inventories, ecoinvent report No. 14.</t>
        </is>
      </c>
      <c r="I3878">
        <v>0</v>
      </c>
    </row>
    <row r="3879">
      <c r="A3879" t="inlineStr">
        <is>
          <t>Sulfur dioxide</t>
        </is>
      </c>
      <c r="B3879">
        <v>1.9132265054944433e-06</v>
      </c>
      <c r="D3879" t="inlineStr">
        <is>
          <t>kilogram</t>
        </is>
      </c>
      <c r="E3879" t="inlineStr">
        <is>
          <t>air</t>
        </is>
      </c>
      <c r="F3879" t="inlineStr">
        <is>
          <t>biosphere</t>
        </is>
      </c>
      <c r="H3879" t="inlineStr">
        <is>
          <t>6.0E-04 kg/kg fuel for diesel locomotives, according to Spielmann et al. (2007)
Spielmann, M., Bauer, C., Dones, R., Institut, P. S., &amp; Tuchschmid, M. (2007). Transport Services. Swiss Centre for Life Cycle Inventories, ecoinvent report No. 14.</t>
        </is>
      </c>
      <c r="I3879">
        <v>0</v>
      </c>
    </row>
    <row r="3880">
      <c r="A3880" t="inlineStr">
        <is>
          <t>Sulfur hexafluoride</t>
        </is>
      </c>
      <c r="B3880">
        <v>1.4789589431936368e-08</v>
      </c>
      <c r="D3880" t="inlineStr">
        <is>
          <t>kilogram</t>
        </is>
      </c>
      <c r="E3880" t="inlineStr">
        <is>
          <t>air</t>
        </is>
      </c>
      <c r="F3880" t="inlineStr">
        <is>
          <t>biosphere</t>
        </is>
      </c>
      <c r="H3880"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80">
        <v>0</v>
      </c>
    </row>
    <row r="3881">
      <c r="A3881" t="inlineStr">
        <is>
          <t>Toluene</t>
        </is>
      </c>
      <c r="B3881">
        <v>1.2754843369962958e-07</v>
      </c>
      <c r="D3881" t="inlineStr">
        <is>
          <t>kilogram</t>
        </is>
      </c>
      <c r="E3881" t="inlineStr">
        <is>
          <t>air</t>
        </is>
      </c>
      <c r="F3881" t="inlineStr">
        <is>
          <t>biosphere</t>
        </is>
      </c>
      <c r="H3881" t="inlineStr">
        <is>
          <t>4.0E-05 kg/kg fuel for diesel locomotives, according to Spielmann et al. (2007)
Spielmann, M., Bauer, C., Dones, R., Institut, P. S., &amp; Tuchschmid, M. (2007). Transport Services. Swiss Centre for Life Cycle Inventories, ecoinvent report No. 14.</t>
        </is>
      </c>
      <c r="I3881">
        <v>0</v>
      </c>
    </row>
    <row r="3882">
      <c r="A3882" t="inlineStr">
        <is>
          <t>Xylenes, unspecified</t>
        </is>
      </c>
      <c r="B3882">
        <v>1.2754843369962958e-07</v>
      </c>
      <c r="D3882" t="inlineStr">
        <is>
          <t>kilogram</t>
        </is>
      </c>
      <c r="E3882" t="inlineStr">
        <is>
          <t>air::unspecified</t>
        </is>
      </c>
      <c r="F3882" t="inlineStr">
        <is>
          <t>biosphere</t>
        </is>
      </c>
      <c r="H3882" t="inlineStr">
        <is>
          <t>4.0E-05 kg/kg fuel for diesel locomotives, according to Spielmann et al. (2007)
Spielmann, M., Bauer, C., Dones, R., Institut, P. S., &amp; Tuchschmid, M. (2007). Transport Services. Swiss Centre for Life Cycle Inventories, ecoinvent report No. 14.</t>
        </is>
      </c>
      <c r="I3882">
        <v>0</v>
      </c>
    </row>
    <row r="3883">
      <c r="A3883" t="inlineStr">
        <is>
          <t>Zinc II</t>
        </is>
      </c>
      <c r="B3883">
        <v>3.188710842490739e-09</v>
      </c>
      <c r="D3883" t="inlineStr">
        <is>
          <t>kilogram</t>
        </is>
      </c>
      <c r="E3883" t="inlineStr">
        <is>
          <t>air</t>
        </is>
      </c>
      <c r="F3883" t="inlineStr">
        <is>
          <t>biosphere</t>
        </is>
      </c>
      <c r="H3883" t="inlineStr">
        <is>
          <t>1.0E-06 kg/kg fuel for diesel locomotives, according to Spielmann et al. (2007)
Spielmann, M., Bauer, C., Dones, R., Institut, P. S., &amp; Tuchschmid, M. (2007). Transport Services. Swiss Centre for Life Cycle Inventories, ecoinvent report No. 14.</t>
        </is>
      </c>
      <c r="I3883">
        <v>0</v>
      </c>
    </row>
    <row r="3884"/>
    <row r="3885">
      <c r="A3885" t="inlineStr">
        <is>
          <t>Activity</t>
        </is>
      </c>
      <c r="B3885" t="inlineStr">
        <is>
          <t>hydrogen, used in a fuel cell in a freight train</t>
        </is>
      </c>
    </row>
    <row r="3886">
      <c r="A3886" t="inlineStr">
        <is>
          <t>location</t>
        </is>
      </c>
      <c r="B3886" t="inlineStr">
        <is>
          <t>CH</t>
        </is>
      </c>
    </row>
    <row r="3887">
      <c r="A3887" t="inlineStr">
        <is>
          <t>production amount</t>
        </is>
      </c>
      <c r="B3887">
        <v>1</v>
      </c>
    </row>
    <row r="3888">
      <c r="A3888" t="inlineStr">
        <is>
          <t>reference product</t>
        </is>
      </c>
      <c r="B3888" t="inlineStr">
        <is>
          <t>heat</t>
        </is>
      </c>
    </row>
    <row r="3889">
      <c r="A3889" t="inlineStr">
        <is>
          <t>type</t>
        </is>
      </c>
      <c r="B3889" t="inlineStr">
        <is>
          <t>process</t>
        </is>
      </c>
    </row>
    <row r="3890">
      <c r="A3890" t="inlineStr">
        <is>
          <t>unit</t>
        </is>
      </c>
      <c r="B3890" t="inlineStr">
        <is>
          <t>megajoule</t>
        </is>
      </c>
    </row>
    <row r="3891">
      <c r="A3891" t="inlineStr">
        <is>
          <t>energy use source</t>
        </is>
      </c>
      <c r="B3891" t="inlineStr">
        <is>
          <t>{"alternative fuel recipe retained": false, "boundary": "energy-specific equipment; excludes chassis, body, roads and whole-vehicle maintenance", "excluded": [{"amount per vehicle": 1.0, "supplier": ["market for locomotive", "locomotive", "GLO", "unit"], "vehicle per source service": 7.11e-10}, {"amount per vehicle": 1.0, "supplier": ["market for goods wagon", "goods wagon", "GLO", "unit"], "vehicle per source service": 7.11e-10}, {"amount per source service": 7.11e-10, "supplier": "maintenance, locomotive"}, {"amount per source service": 4.59e-08, "supplier": "market for goods wagon"}, {"amount per source service": 4.59e-08, "supplier": "maintenance, goods wagon"}, {"amount per source service": 9.3e-05, "supplier": "market for railway track"}], "purchased MJ per source service": 0.3168841010348058, "retained equipment": [{"amount per MJ": 2.9729323652514984e-06, "amount per vehicle": 1325.0, "replacement correction factor": 1.0, "supplier": ["market for electric motor, electric passenger car", "electric motor, electric passenger car", "GLO", "kilogram"], "vehicle per source service": 7.11e-10}, {"amount per MJ": 5.1156873907723935e-06, "amount per vehicle": 2280.000000000002, "replacement correction factor": 1.0, "supplier": ["market for converter, for electric passenger car", "converter, for electric passenger car", "GLO", "kilogram"], "vehicle per source service": 7.11e-10}, {"amount per MJ": 1.5436811073909667e-05, "amount per vehicle": 6880.0, "replacement correction factor": 1.0, "supplier": ["fuel cell system assembly, 1 kWe, proton exchange membrane (PEM)", "fuel cell system, 1 kWe, proton exchange membrane (PEM)", "GLO", "unit"], "vehicle per source service": 7.11e-10}, {"amount per MJ": 6.803829612293808e-05, "amount per vehicle": 30323.84571428572, "replacement correction factor": 1.0, "supplier": ["Fuel tank, compressed hydrogen gas, 700bar, with aluminium liner", "hydrogen tank", "RER", "kilogram"], "vehicle per source service": 7.11e-10}, {"amount per MJ": 0.00015123644693884782, "amount per vehicle": 67404.25531914894, "replacement correction factor": 1.0, "supplier": ["market for battery cell, Li-ion, NMC622", "battery cell, Li-ion, NMC622", "GLO", "kilogram"], "vehicle per source service": 7.11e-10}], "source": ["transport, freight train, fuel cell, hydrogen", "transport, freight train", "Europe without Switzerland", "ton kilometer"], "source unit": "ton kilometer"}</t>
        </is>
      </c>
    </row>
    <row r="3892">
      <c r="A3892" t="inlineStr">
        <is>
          <t>comment</t>
        </is>
      </c>
      <c r="B3892" t="inlineStr">
        <is>
          <t>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93">
      <c r="A3893" t="inlineStr">
        <is>
          <t>Exchanges</t>
        </is>
      </c>
    </row>
    <row r="3894">
      <c r="A3894" t="inlineStr">
        <is>
          <t>name</t>
        </is>
      </c>
      <c r="B3894" t="inlineStr">
        <is>
          <t>amount</t>
        </is>
      </c>
      <c r="C3894" t="inlineStr">
        <is>
          <t>location</t>
        </is>
      </c>
      <c r="D3894" t="inlineStr">
        <is>
          <t>unit</t>
        </is>
      </c>
      <c r="E3894" t="inlineStr">
        <is>
          <t>categories</t>
        </is>
      </c>
      <c r="F3894" t="inlineStr">
        <is>
          <t>type</t>
        </is>
      </c>
      <c r="G3894" t="inlineStr">
        <is>
          <t>reference product</t>
        </is>
      </c>
      <c r="H3894" t="inlineStr">
        <is>
          <t>comment</t>
        </is>
      </c>
      <c r="I3894" t="inlineStr">
        <is>
          <t>uncertainty type</t>
        </is>
      </c>
    </row>
    <row r="3895">
      <c r="A3895" t="inlineStr">
        <is>
          <t>hydrogen, used in a fuel cell in a freight train</t>
        </is>
      </c>
      <c r="B3895">
        <v>1.0</v>
      </c>
      <c r="C3895" t="inlineStr">
        <is>
          <t>CH</t>
        </is>
      </c>
      <c r="D3895" t="inlineStr">
        <is>
          <t>megajoule</t>
        </is>
      </c>
      <c r="F3895" t="inlineStr">
        <is>
          <t>production</t>
        </is>
      </c>
      <c r="G3895" t="inlineStr">
        <is>
          <t>heat</t>
        </is>
      </c>
      <c r="I3895">
        <v>0</v>
      </c>
    </row>
    <row r="3896">
      <c r="A3896" t="inlineStr">
        <is>
          <t>market for hydrogen, gaseous, low pressure</t>
        </is>
      </c>
      <c r="B3896">
        <v>0.0012945987175919267</v>
      </c>
      <c r="C3896" t="inlineStr">
        <is>
          <t>CN</t>
        </is>
      </c>
      <c r="D3896" t="inlineStr">
        <is>
          <t>kilogram</t>
        </is>
      </c>
      <c r="F3896" t="inlineStr">
        <is>
          <t>technosphere</t>
        </is>
      </c>
      <c r="G3896" t="inlineStr">
        <is>
          <t>hydrogen, gaseous, low pressure</t>
        </is>
      </c>
      <c r="H3896"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96">
        <v>0</v>
      </c>
    </row>
    <row r="3897">
      <c r="A3897" t="inlineStr">
        <is>
          <t>market for hydrogen, gaseous, low pressure</t>
        </is>
      </c>
      <c r="B3897">
        <v>0.005469534948887209</v>
      </c>
      <c r="C3897" t="inlineStr">
        <is>
          <t>RoW</t>
        </is>
      </c>
      <c r="D3897" t="inlineStr">
        <is>
          <t>kilogram</t>
        </is>
      </c>
      <c r="F3897" t="inlineStr">
        <is>
          <t>technosphere</t>
        </is>
      </c>
      <c r="G3897" t="inlineStr">
        <is>
          <t>hydrogen, gaseous, low pressure</t>
        </is>
      </c>
      <c r="H3897"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97">
        <v>0</v>
      </c>
    </row>
    <row r="3898">
      <c r="A3898" t="inlineStr">
        <is>
          <t>market for hydrogen, gaseous, low pressure</t>
        </is>
      </c>
      <c r="B3898">
        <v>0.0007686670431839547</v>
      </c>
      <c r="C3898" t="inlineStr">
        <is>
          <t>RER</t>
        </is>
      </c>
      <c r="D3898" t="inlineStr">
        <is>
          <t>kilogram</t>
        </is>
      </c>
      <c r="F3898" t="inlineStr">
        <is>
          <t>technosphere</t>
        </is>
      </c>
      <c r="G3898" t="inlineStr">
        <is>
          <t>hydrogen, gaseous, low pressure</t>
        </is>
      </c>
      <c r="H389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98">
        <v>0</v>
      </c>
    </row>
    <row r="3899">
      <c r="A3899" t="inlineStr">
        <is>
          <t>market for hydrogen, gaseous, low pressure</t>
        </is>
      </c>
      <c r="B3899">
        <v>0.000800532623670244</v>
      </c>
      <c r="C3899" t="inlineStr">
        <is>
          <t>US</t>
        </is>
      </c>
      <c r="D3899" t="inlineStr">
        <is>
          <t>kilogram</t>
        </is>
      </c>
      <c r="F3899" t="inlineStr">
        <is>
          <t>technosphere</t>
        </is>
      </c>
      <c r="G3899" t="inlineStr">
        <is>
          <t>hydrogen, gaseous, low pressure</t>
        </is>
      </c>
      <c r="H389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99">
        <v>0</v>
      </c>
    </row>
    <row r="3900">
      <c r="A3900" t="inlineStr">
        <is>
          <t>market for diesel</t>
        </is>
      </c>
      <c r="B3900">
        <v>0.0021364277910731785</v>
      </c>
      <c r="C3900" t="inlineStr">
        <is>
          <t>Europe without Switzerland</t>
        </is>
      </c>
      <c r="D3900" t="inlineStr">
        <is>
          <t>kilogram</t>
        </is>
      </c>
      <c r="F3900" t="inlineStr">
        <is>
          <t>technosphere</t>
        </is>
      </c>
      <c r="G3900" t="inlineStr">
        <is>
          <t>diesel</t>
        </is>
      </c>
      <c r="H3900"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900">
        <v>0</v>
      </c>
    </row>
    <row r="3901">
      <c r="A3901" t="inlineStr">
        <is>
          <t>market for electric motor, electric passenger car</t>
        </is>
      </c>
      <c r="B3901">
        <v>2.9729323652514984e-06</v>
      </c>
      <c r="C3901" t="inlineStr">
        <is>
          <t>GLO</t>
        </is>
      </c>
      <c r="D3901" t="inlineStr">
        <is>
          <t>kilogram</t>
        </is>
      </c>
      <c r="F3901" t="inlineStr">
        <is>
          <t>technosphere</t>
        </is>
      </c>
      <c r="G3901" t="inlineStr">
        <is>
          <t>electric motor, electric passenger car</t>
        </is>
      </c>
      <c r="H3901" t="inlineStr">
        <is>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901">
        <v>0</v>
      </c>
    </row>
    <row r="3902">
      <c r="A3902" t="inlineStr">
        <is>
          <t>market for converter, for electric passenger car</t>
        </is>
      </c>
      <c r="B3902">
        <v>5.1156873907723935e-06</v>
      </c>
      <c r="C3902" t="inlineStr">
        <is>
          <t>GLO</t>
        </is>
      </c>
      <c r="D3902" t="inlineStr">
        <is>
          <t>kilogram</t>
        </is>
      </c>
      <c r="F3902" t="inlineStr">
        <is>
          <t>technosphere</t>
        </is>
      </c>
      <c r="G3902" t="inlineStr">
        <is>
          <t>converter, for electric passenger car</t>
        </is>
      </c>
      <c r="H390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902">
        <v>0</v>
      </c>
    </row>
    <row r="3903">
      <c r="A3903" t="inlineStr">
        <is>
          <t>fuel cell system assembly, 1 kWe, proton exchange membrane (PEM)</t>
        </is>
      </c>
      <c r="B3903">
        <v>1.5436811073909667e-05</v>
      </c>
      <c r="C3903" t="inlineStr">
        <is>
          <t>GLO</t>
        </is>
      </c>
      <c r="D3903" t="inlineStr">
        <is>
          <t>unit</t>
        </is>
      </c>
      <c r="F3903" t="inlineStr">
        <is>
          <t>technosphere</t>
        </is>
      </c>
      <c r="G3903" t="inlineStr">
        <is>
          <t>fuel cell system, 1 kWe, proton exchange membrane (PEM)</t>
        </is>
      </c>
      <c r="H3903"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3903">
        <v>0</v>
      </c>
    </row>
    <row r="3904">
      <c r="A3904" t="inlineStr">
        <is>
          <t>Fuel tank, compressed hydrogen gas, 700bar, with aluminium liner</t>
        </is>
      </c>
      <c r="B3904">
        <v>6.803829612293808e-05</v>
      </c>
      <c r="C3904" t="inlineStr">
        <is>
          <t>RER</t>
        </is>
      </c>
      <c r="D3904" t="inlineStr">
        <is>
          <t>kilogram</t>
        </is>
      </c>
      <c r="F3904" t="inlineStr">
        <is>
          <t>technosphere</t>
        </is>
      </c>
      <c r="G3904" t="inlineStr">
        <is>
          <t>hydrogen tank</t>
        </is>
      </c>
      <c r="H3904"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904">
        <v>0</v>
      </c>
    </row>
    <row r="3905">
      <c r="A3905" t="inlineStr">
        <is>
          <t>market for battery cell, Li-ion, NMC622</t>
        </is>
      </c>
      <c r="B3905">
        <v>0.00015123644693884782</v>
      </c>
      <c r="C3905" t="inlineStr">
        <is>
          <t>GLO</t>
        </is>
      </c>
      <c r="D3905" t="inlineStr">
        <is>
          <t>kilogram</t>
        </is>
      </c>
      <c r="F3905" t="inlineStr">
        <is>
          <t>technosphere</t>
        </is>
      </c>
      <c r="G3905" t="inlineStr">
        <is>
          <t>battery cell, Li-ion, NMC622</t>
        </is>
      </c>
      <c r="H3905"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905">
        <v>0</v>
      </c>
    </row>
    <row r="3906">
      <c r="A3906" t="inlineStr">
        <is>
          <t>Water</t>
        </is>
      </c>
      <c r="B3906">
        <v>7.500000000000001e-05</v>
      </c>
      <c r="D3906" t="inlineStr">
        <is>
          <t>cubic meter</t>
        </is>
      </c>
      <c r="E3906" t="inlineStr">
        <is>
          <t>air</t>
        </is>
      </c>
      <c r="F3906" t="inlineStr">
        <is>
          <t>biosphere</t>
        </is>
      </c>
      <c r="H3906" t="inlineStr">
        <is>
          <t>9kg H2O per kg H2 converted.</t>
        </is>
      </c>
      <c r="I3906">
        <v>0</v>
      </c>
    </row>
    <row r="3907"/>
    <row r="3908">
      <c r="A3908" t="inlineStr">
        <is>
          <t>Activity</t>
        </is>
      </c>
      <c r="B3908" t="inlineStr">
        <is>
          <t>electric boiler equipment production, CTC EL 9</t>
        </is>
      </c>
    </row>
    <row r="3909">
      <c r="A3909" t="inlineStr">
        <is>
          <t>reference product</t>
        </is>
      </c>
      <c r="B3909" t="inlineStr">
        <is>
          <t>CTC EL 9</t>
        </is>
      </c>
    </row>
    <row r="3910">
      <c r="A3910" t="inlineStr">
        <is>
          <t>unit</t>
        </is>
      </c>
      <c r="B3910" t="inlineStr">
        <is>
          <t>unit</t>
        </is>
      </c>
    </row>
    <row r="3911">
      <c r="A3911" t="inlineStr">
        <is>
          <t>location</t>
        </is>
      </c>
      <c r="B3911" t="inlineStr">
        <is>
          <t>RER</t>
        </is>
      </c>
    </row>
    <row r="3912">
      <c r="A3912" t="inlineStr">
        <is>
          <t>comment</t>
        </is>
      </c>
      <c r="B3912" t="inlineStr">
        <is>
          <t>Dedicated electric heating hardware; sourced mass with explicit background-LCI proxies. EU resistance-flow heater proxy; Swiss installed technology mix is unknown. Steel group represented by 18/8 stainless; actual steel grades and their split are not disclosed. Cable/electronics mass uses generic control-unit electronics; unidentified 8.6% remains unmodelled. The control-unit composition is an LCI proxy, not a measured split. Installation, circulation pump and manufacturing assembly energy are not quantified by the declaration.</t>
        </is>
      </c>
    </row>
    <row r="3913">
      <c r="A3913" t="inlineStr">
        <is>
          <t>electric boiler equipment</t>
        </is>
      </c>
      <c r="B3913" t="inlineStr">
        <is>
          <t>{"model": "CTC EL 9", "name": "electricity, used in residential electric boiler", "power_kW": 9, "mass_kg": 9.3, "lifetime_years": 20, "lifetime_range": [20, 25], "material_fractions": {"stainless": 0.577, "brass": 0.041, "electronics": 0.207, "rubber": 0.089, "unmodelled": 0.086}, "source_ids": ["ctc_bvd", "ctc_manual"], "limitations": ["EU resistance-flow heater proxy; Swiss installed technology mix is unknown.", "Steel group represented by 18/8 stainless; actual steel grades and their split are not disclosed.", "Cable/electronics mass uses generic control-unit electronics; unidentified 8.6% remains unmodelled. The control-unit composition is an LCI proxy, not a measured split.", "Installation, circulation pump and manufacturing assembly energy are not quantified by the declaration."], "pathway": "FE_residential_space_heating_electric_boiler", "capacity_variable": "Space and water heat boiler capacity in Residential sector|Space heating|Electricty|Electric boiler", "energy_variable": "Fuel consumption in Residential sector|Electricity|Space heating|Electric boiler", "id": "residential_space", "sources": {"ctc_bvd": {"url": "https://ctc.no/file-download/a9a26013a5c285864d4ad53326bec18c.pdf", "sha256": "8b279c4c47d0e0c1c239d98dea2952f67fade9527b9fcec1e38bd8e0bc6c423a", "locator": "BVD-0045 to BVD-0047, 2022-01-10, material declarations and 20–25 year technical life"}, "ctc_manual": {"url": "https://ctc.se/file-download/97d743f2ce1f34e17d2586fda373f7de.pdf", "sha256": "27c305afaf9e86a445d278b409566a064093ccf6831bc3a7fdb837d533c3b23e", "locator": "Section 3; EL 9 net mass 9.3 kg, EL 42 net mass 33 kg; element EN 1.4404, tube EN 1.4301"}}, "boundary": "Dedicated electric heating equipment only; building fabric and heat-distribution networks excluded.", "hardware": ["electric boiler equipment production, CTC EL 9", "CTC EL 9", "RER", "unit"], "materials_kg": {"stainless": 5.3661, "brass": 0.38130000000000003, "electronics": 1.9251, "rubber": 0.8277, "unmodelled": 0.7998}, "material_suppliers": {"stainless": ["market for steel, chromium steel 18/8", "steel, chromium steel 18/8", "GLO", "kilogram"], "brass": ["market for brass", "brass", "RoW", "kilogram"], "electronics": ["market for electronics, for control units", "electronics, for control units", "GLO", "kilogram"], "rubber": ["market for synthetic rubber", "synthetic rubber", "GLO", "kilogram"]}, "unmodelled_mass_kg": 0.7998}</t>
        </is>
      </c>
    </row>
    <row r="3914">
      <c r="A3914" t="inlineStr">
        <is>
          <t>Exchanges</t>
        </is>
      </c>
    </row>
    <row r="3915">
      <c r="A3915" t="inlineStr">
        <is>
          <t>name</t>
        </is>
      </c>
      <c r="B3915" t="inlineStr">
        <is>
          <t>amount</t>
        </is>
      </c>
      <c r="C3915" t="inlineStr">
        <is>
          <t>location</t>
        </is>
      </c>
      <c r="D3915" t="inlineStr">
        <is>
          <t>unit</t>
        </is>
      </c>
      <c r="E3915" t="inlineStr">
        <is>
          <t>categories</t>
        </is>
      </c>
      <c r="F3915" t="inlineStr">
        <is>
          <t>type</t>
        </is>
      </c>
      <c r="G3915" t="inlineStr">
        <is>
          <t>reference product</t>
        </is>
      </c>
      <c r="H3915" t="inlineStr">
        <is>
          <t>comment</t>
        </is>
      </c>
      <c r="I3915" t="inlineStr">
        <is>
          <t>uncertainty type</t>
        </is>
      </c>
    </row>
    <row r="3916">
      <c r="A3916" t="inlineStr">
        <is>
          <t>electric boiler equipment production, CTC EL 9</t>
        </is>
      </c>
      <c r="B3916">
        <v>1</v>
      </c>
      <c r="C3916" t="inlineStr">
        <is>
          <t>RER</t>
        </is>
      </c>
      <c r="D3916" t="inlineStr">
        <is>
          <t>unit</t>
        </is>
      </c>
      <c r="F3916" t="inlineStr">
        <is>
          <t>production</t>
        </is>
      </c>
      <c r="G3916" t="inlineStr">
        <is>
          <t>CTC EL 9</t>
        </is>
      </c>
    </row>
    <row r="3917">
      <c r="A3917" t="inlineStr">
        <is>
          <t>market for steel, chromium steel 18/8</t>
        </is>
      </c>
      <c r="B3917">
        <v>5.3661</v>
      </c>
      <c r="C3917" t="inlineStr">
        <is>
          <t>GLO</t>
        </is>
      </c>
      <c r="D3917" t="inlineStr">
        <is>
          <t>kilogram</t>
        </is>
      </c>
      <c r="F3917" t="inlineStr">
        <is>
          <t>technosphere</t>
        </is>
      </c>
      <c r="G3917" t="inlineStr">
        <is>
          <t>steel, chromium steel 18/8</t>
        </is>
      </c>
      <c r="H3917" t="inlineStr">
        <is>
          <t>stainless: sourced material-class mass; mapping limitations in activity metadata</t>
        </is>
      </c>
    </row>
    <row r="3918">
      <c r="A3918" t="inlineStr">
        <is>
          <t>market for brass</t>
        </is>
      </c>
      <c r="B3918">
        <v>0.38130000000000003</v>
      </c>
      <c r="C3918" t="inlineStr">
        <is>
          <t>RoW</t>
        </is>
      </c>
      <c r="D3918" t="inlineStr">
        <is>
          <t>kilogram</t>
        </is>
      </c>
      <c r="F3918" t="inlineStr">
        <is>
          <t>technosphere</t>
        </is>
      </c>
      <c r="G3918" t="inlineStr">
        <is>
          <t>brass</t>
        </is>
      </c>
      <c r="H3918" t="inlineStr">
        <is>
          <t>brass: sourced material-class mass; mapping limitations in activity metadata</t>
        </is>
      </c>
    </row>
    <row r="3919">
      <c r="A3919" t="inlineStr">
        <is>
          <t>market for electronics, for control units</t>
        </is>
      </c>
      <c r="B3919">
        <v>1.9251</v>
      </c>
      <c r="C3919" t="inlineStr">
        <is>
          <t>GLO</t>
        </is>
      </c>
      <c r="D3919" t="inlineStr">
        <is>
          <t>kilogram</t>
        </is>
      </c>
      <c r="F3919" t="inlineStr">
        <is>
          <t>technosphere</t>
        </is>
      </c>
      <c r="G3919" t="inlineStr">
        <is>
          <t>electronics, for control units</t>
        </is>
      </c>
      <c r="H3919" t="inlineStr">
        <is>
          <t>electronics: sourced material-class mass; mapping limitations in activity metadata</t>
        </is>
      </c>
    </row>
    <row r="3920">
      <c r="A3920" t="inlineStr">
        <is>
          <t>market for synthetic rubber</t>
        </is>
      </c>
      <c r="B3920">
        <v>0.8277</v>
      </c>
      <c r="C3920" t="inlineStr">
        <is>
          <t>GLO</t>
        </is>
      </c>
      <c r="D3920" t="inlineStr">
        <is>
          <t>kilogram</t>
        </is>
      </c>
      <c r="F3920" t="inlineStr">
        <is>
          <t>technosphere</t>
        </is>
      </c>
      <c r="G3920" t="inlineStr">
        <is>
          <t>synthetic rubber</t>
        </is>
      </c>
      <c r="H3920" t="inlineStr">
        <is>
          <t>rubber: sourced material-class mass; mapping limitations in activity metadata</t>
        </is>
      </c>
    </row>
    <row r="3921"/>
    <row r="3922">
      <c r="A3922" t="inlineStr">
        <is>
          <t>Activity</t>
        </is>
      </c>
      <c r="B3922" t="inlineStr">
        <is>
          <t>electric boiler equipment production, Høiax Connected 200, 190 L</t>
        </is>
      </c>
    </row>
    <row r="3923">
      <c r="A3923" t="inlineStr">
        <is>
          <t>reference product</t>
        </is>
      </c>
      <c r="B3923" t="inlineStr">
        <is>
          <t>Høiax Connected 200, 190 L</t>
        </is>
      </c>
    </row>
    <row r="3924">
      <c r="A3924" t="inlineStr">
        <is>
          <t>unit</t>
        </is>
      </c>
      <c r="B3924" t="inlineStr">
        <is>
          <t>unit</t>
        </is>
      </c>
    </row>
    <row r="3925">
      <c r="A3925" t="inlineStr">
        <is>
          <t>location</t>
        </is>
      </c>
      <c r="B3925" t="inlineStr">
        <is>
          <t>RER</t>
        </is>
      </c>
    </row>
    <row r="3926">
      <c r="A3926" t="inlineStr">
        <is>
          <t>comment</t>
        </is>
      </c>
      <c r="B3926" t="inlineStr">
        <is>
          <t>Dedicated electric heating hardware; sourced mass with explicit background-LCI proxies. Norwegian storage-water-heater proxy; declared rounded material masses sum to 31.01 kg versus 31 kg nominal. Steel aggregate represented by 18/8 stainless; stainless/mild-steel split and resistance-alloy composition are unresolved. Plastics, insulation and electronics use generic PP, PU foam and control-unit electronics LCI proxies. Packaging, manufacturing assembly energy and end-of-life are not reconstructed from EPD impact scores.</t>
        </is>
      </c>
    </row>
    <row r="3927">
      <c r="A3927" t="inlineStr">
        <is>
          <t>electric boiler equipment</t>
        </is>
      </c>
      <c r="B3927" t="inlineStr">
        <is>
          <t>{"model": "Høiax Connected 200, 190 L", "name": "electricity, used in residential electric water heater", "power_kW": 2, "mass_kg": 31.01, "lifetime_years": 17, "lifetime_range": [17, 25], "materials_kg": {"stainless": 20.43, "brass": 0.68, "plastic": 4.69, "insulation": 4.55, "electronics": 0.52, "bitumen": 0.01, "paper": 0.13}, "source_ids": ["hoiax"], "limitations": ["Norwegian storage-water-heater proxy; declared rounded material masses sum to 31.01 kg versus 31 kg nominal.", "Steel aggregate represented by 18/8 stainless; stainless/mild-steel split and resistance-alloy composition are unresolved.", "Plastics, insulation and electronics use generic PP, PU foam and control-unit electronics LCI proxies.", "Packaging, manufacturing assembly energy and end-of-life are not reconstructed from EPD impact scores."], "pathway": "FE_residential_water_heating_electric_boiler", "capacity_variable": "Space and water heat boiler capacity in Residential sector|Water heating|Electricty|Electric boiler", "energy_variable": "Fuel consumption in Residential sector|Electricity|Water heating|Electric boiler", "id": "residential_water", "sources": {"hoiax": {"url": "https://www.epd-global.com/getfile.php/13185680-1741664700/EPDer/Byggevarer/NEPD-5319-4616_Hoiax-Connected-200-Water-Heater.pdf", "sha256": "bbddfb20515951d3843fb36eadc721c8f32b5b603ba28ab6792d229e24f3d979", "locator": "Pages 3–4; Connected 200, 190 L, 2 kW, 31 kg, 17 year reference life"}}, "boundary": "Dedicated electric heating equipment only; building fabric and heat-distribution networks excluded.", "hardware": ["electric boiler equipment production, Høiax Connected 200, 190 L", "Høiax Connected 200, 190 L", "RER", "unit"], "material_suppliers": {"stainless": ["market for steel, chromium steel 18/8", "steel, chromium steel 18/8", "GLO", "kilogram"], "brass": ["market for brass", "brass", "RoW", "kilogram"], "plastic": ["market for polypropylene, granulate", "polypropylene, granulate", "RER", "kilogram"], "insulation": ["market for polyurethane, rigid foam", "polyurethane, rigid foam", "RER", "kilogram"], "electronics": ["market for electronics, for control units", "electronics, for control units", "GLO", "kilogram"], "bitumen": ["market for bitumen seal", "bitumen seal", "GLO", "kilogram"], "paper": ["market for paper, woodfree, uncoated", "paper, woodfree, uncoated", "RER", "kilogram"]}, "unmodelled_mass_kg": 0}</t>
        </is>
      </c>
    </row>
    <row r="3928">
      <c r="A3928" t="inlineStr">
        <is>
          <t>Exchanges</t>
        </is>
      </c>
    </row>
    <row r="3929">
      <c r="A3929" t="inlineStr">
        <is>
          <t>name</t>
        </is>
      </c>
      <c r="B3929" t="inlineStr">
        <is>
          <t>amount</t>
        </is>
      </c>
      <c r="C3929" t="inlineStr">
        <is>
          <t>location</t>
        </is>
      </c>
      <c r="D3929" t="inlineStr">
        <is>
          <t>unit</t>
        </is>
      </c>
      <c r="E3929" t="inlineStr">
        <is>
          <t>categories</t>
        </is>
      </c>
      <c r="F3929" t="inlineStr">
        <is>
          <t>type</t>
        </is>
      </c>
      <c r="G3929" t="inlineStr">
        <is>
          <t>reference product</t>
        </is>
      </c>
      <c r="H3929" t="inlineStr">
        <is>
          <t>comment</t>
        </is>
      </c>
      <c r="I3929" t="inlineStr">
        <is>
          <t>uncertainty type</t>
        </is>
      </c>
    </row>
    <row r="3930">
      <c r="A3930" t="inlineStr">
        <is>
          <t>electric boiler equipment production, Høiax Connected 200, 190 L</t>
        </is>
      </c>
      <c r="B3930">
        <v>1</v>
      </c>
      <c r="C3930" t="inlineStr">
        <is>
          <t>RER</t>
        </is>
      </c>
      <c r="D3930" t="inlineStr">
        <is>
          <t>unit</t>
        </is>
      </c>
      <c r="F3930" t="inlineStr">
        <is>
          <t>production</t>
        </is>
      </c>
      <c r="G3930" t="inlineStr">
        <is>
          <t>Høiax Connected 200, 190 L</t>
        </is>
      </c>
    </row>
    <row r="3931">
      <c r="A3931" t="inlineStr">
        <is>
          <t>market for steel, chromium steel 18/8</t>
        </is>
      </c>
      <c r="B3931">
        <v>20.43</v>
      </c>
      <c r="C3931" t="inlineStr">
        <is>
          <t>GLO</t>
        </is>
      </c>
      <c r="D3931" t="inlineStr">
        <is>
          <t>kilogram</t>
        </is>
      </c>
      <c r="F3931" t="inlineStr">
        <is>
          <t>technosphere</t>
        </is>
      </c>
      <c r="G3931" t="inlineStr">
        <is>
          <t>steel, chromium steel 18/8</t>
        </is>
      </c>
      <c r="H3931" t="inlineStr">
        <is>
          <t>stainless: sourced material-class mass; mapping limitations in activity metadata</t>
        </is>
      </c>
    </row>
    <row r="3932">
      <c r="A3932" t="inlineStr">
        <is>
          <t>market for brass</t>
        </is>
      </c>
      <c r="B3932">
        <v>0.68</v>
      </c>
      <c r="C3932" t="inlineStr">
        <is>
          <t>RoW</t>
        </is>
      </c>
      <c r="D3932" t="inlineStr">
        <is>
          <t>kilogram</t>
        </is>
      </c>
      <c r="F3932" t="inlineStr">
        <is>
          <t>technosphere</t>
        </is>
      </c>
      <c r="G3932" t="inlineStr">
        <is>
          <t>brass</t>
        </is>
      </c>
      <c r="H3932" t="inlineStr">
        <is>
          <t>brass: sourced material-class mass; mapping limitations in activity metadata</t>
        </is>
      </c>
    </row>
    <row r="3933">
      <c r="A3933" t="inlineStr">
        <is>
          <t>market for polypropylene, granulate</t>
        </is>
      </c>
      <c r="B3933">
        <v>4.69</v>
      </c>
      <c r="C3933" t="inlineStr">
        <is>
          <t>RER</t>
        </is>
      </c>
      <c r="D3933" t="inlineStr">
        <is>
          <t>kilogram</t>
        </is>
      </c>
      <c r="F3933" t="inlineStr">
        <is>
          <t>technosphere</t>
        </is>
      </c>
      <c r="G3933" t="inlineStr">
        <is>
          <t>polypropylene, granulate</t>
        </is>
      </c>
      <c r="H3933" t="inlineStr">
        <is>
          <t>plastic: sourced material-class mass; mapping limitations in activity metadata</t>
        </is>
      </c>
    </row>
    <row r="3934">
      <c r="A3934" t="inlineStr">
        <is>
          <t>market for polyurethane, rigid foam</t>
        </is>
      </c>
      <c r="B3934">
        <v>4.55</v>
      </c>
      <c r="C3934" t="inlineStr">
        <is>
          <t>RER</t>
        </is>
      </c>
      <c r="D3934" t="inlineStr">
        <is>
          <t>kilogram</t>
        </is>
      </c>
      <c r="F3934" t="inlineStr">
        <is>
          <t>technosphere</t>
        </is>
      </c>
      <c r="G3934" t="inlineStr">
        <is>
          <t>polyurethane, rigid foam</t>
        </is>
      </c>
      <c r="H3934" t="inlineStr">
        <is>
          <t>insulation: sourced material-class mass; mapping limitations in activity metadata</t>
        </is>
      </c>
    </row>
    <row r="3935">
      <c r="A3935" t="inlineStr">
        <is>
          <t>market for electronics, for control units</t>
        </is>
      </c>
      <c r="B3935">
        <v>0.52</v>
      </c>
      <c r="C3935" t="inlineStr">
        <is>
          <t>GLO</t>
        </is>
      </c>
      <c r="D3935" t="inlineStr">
        <is>
          <t>kilogram</t>
        </is>
      </c>
      <c r="F3935" t="inlineStr">
        <is>
          <t>technosphere</t>
        </is>
      </c>
      <c r="G3935" t="inlineStr">
        <is>
          <t>electronics, for control units</t>
        </is>
      </c>
      <c r="H3935" t="inlineStr">
        <is>
          <t>electronics: sourced material-class mass; mapping limitations in activity metadata</t>
        </is>
      </c>
    </row>
    <row r="3936">
      <c r="A3936" t="inlineStr">
        <is>
          <t>market for bitumen seal</t>
        </is>
      </c>
      <c r="B3936">
        <v>0.01</v>
      </c>
      <c r="C3936" t="inlineStr">
        <is>
          <t>GLO</t>
        </is>
      </c>
      <c r="D3936" t="inlineStr">
        <is>
          <t>kilogram</t>
        </is>
      </c>
      <c r="F3936" t="inlineStr">
        <is>
          <t>technosphere</t>
        </is>
      </c>
      <c r="G3936" t="inlineStr">
        <is>
          <t>bitumen seal</t>
        </is>
      </c>
      <c r="H3936" t="inlineStr">
        <is>
          <t>bitumen: sourced material-class mass; mapping limitations in activity metadata</t>
        </is>
      </c>
    </row>
    <row r="3937">
      <c r="A3937" t="inlineStr">
        <is>
          <t>market for paper, woodfree, uncoated</t>
        </is>
      </c>
      <c r="B3937">
        <v>0.13</v>
      </c>
      <c r="C3937" t="inlineStr">
        <is>
          <t>RER</t>
        </is>
      </c>
      <c r="D3937" t="inlineStr">
        <is>
          <t>kilogram</t>
        </is>
      </c>
      <c r="F3937" t="inlineStr">
        <is>
          <t>technosphere</t>
        </is>
      </c>
      <c r="G3937" t="inlineStr">
        <is>
          <t>paper, woodfree, uncoated</t>
        </is>
      </c>
      <c r="H3937" t="inlineStr">
        <is>
          <t>paper: sourced material-class mass; mapping limitations in activity metadata</t>
        </is>
      </c>
    </row>
    <row r="3938"/>
    <row r="3939">
      <c r="A3939" t="inlineStr">
        <is>
          <t>Activity</t>
        </is>
      </c>
      <c r="B3939" t="inlineStr">
        <is>
          <t>electricity, used in residential electric water heater</t>
        </is>
      </c>
    </row>
    <row r="3940">
      <c r="A3940" t="inlineStr">
        <is>
          <t>location</t>
        </is>
      </c>
      <c r="B3940" t="inlineStr">
        <is>
          <t>CH</t>
        </is>
      </c>
    </row>
    <row r="3941">
      <c r="A3941" t="inlineStr">
        <is>
          <t>production amount</t>
        </is>
      </c>
      <c r="B3941">
        <v>1</v>
      </c>
    </row>
    <row r="3942">
      <c r="A3942" t="inlineStr">
        <is>
          <t>reference product</t>
        </is>
      </c>
      <c r="B3942" t="inlineStr">
        <is>
          <t>electricity, low voltage</t>
        </is>
      </c>
    </row>
    <row r="3943">
      <c r="A3943" t="inlineStr">
        <is>
          <t>type</t>
        </is>
      </c>
      <c r="B3943" t="inlineStr">
        <is>
          <t>process</t>
        </is>
      </c>
    </row>
    <row r="3944">
      <c r="A3944" t="inlineStr">
        <is>
          <t>unit</t>
        </is>
      </c>
      <c r="B3944" t="inlineStr">
        <is>
          <t>megajoule</t>
        </is>
      </c>
    </row>
    <row r="3945">
      <c r="A3945" t="inlineStr">
        <is>
          <t>electric boiler equipment</t>
        </is>
      </c>
      <c r="B3945" t="inlineStr">
        <is>
          <t>{"model": "Høiax Connected 200, 190 L", "name": "electricity, used in residential electric water heater", "power_kW": 2, "mass_kg": 31.01, "lifetime_years": 17, "lifetime_range": [17, 25], "materials_kg": {"stainless": 20.43, "brass": 0.68, "plastic": 4.69, "insulation": 4.55, "electronics": 0.52, "bitumen": 0.01, "paper": 0.13}, "source_ids": ["hoiax"], "limitations": ["Norwegian storage-water-heater proxy; declared rounded material masses sum to 31.01 kg versus 31 kg nominal.", "Steel aggregate represented by 18/8 stainless; stainless/mild-steel split and resistance-alloy composition are unresolved.", "Plastics, insulation and electronics use generic PP, PU foam and control-unit electronics LCI proxies.", "Packaging, manufacturing assembly energy and end-of-life are not reconstructed from EPD impact scores."], "pathway": "FE_residential_water_heating_electric_boiler", "capacity_variable": "Space and water heat boiler capacity in Residential sector|Water heating|Electricty|Electric boiler", "energy_variable": "Fuel consumption in Residential sector|Electricity|Water heating|Electric boiler", "id": "residential_water", "sources": {"hoiax": {"url": "https://www.epd-global.com/getfile.php/13185680-1741664700/EPDer/Byggevarer/NEPD-5319-4616_Hoiax-Connected-200-Water-Heater.pdf", "sha256": "bbddfb20515951d3843fb36eadc721c8f32b5b603ba28ab6792d229e24f3d979", "locator": "Pages 3–4; Connected 200, 190 L, 2 kW, 31 kg, 17 year reference life"}}, "boundary": "Dedicated electric heating equipment only; building fabric and heat-distribution networks excluded.", "hardware": ["electric boiler equipment production, Høiax Connected 200, 190 L", "Høiax Connected 200, 190 L", "RER", "unit"], "material_suppliers": {"stainless": ["market for steel, chromium steel 18/8", "steel, chromium steel 18/8", "GLO", "kilogram"], "brass": ["market for brass", "brass", "RoW", "kilogram"], "plastic": ["market for polypropylene, granulate", "polypropylene, granulate", "RER", "kilogram"], "insulation": ["market for polyurethane, rigid foam", "polyurethane, rigid foam", "RER", "kilogram"], "electronics": ["market for electronics, for control units", "electronics, for control units", "GLO", "kilogram"], "bitumen": ["market for bitumen seal", "bitumen seal", "GLO", "kilogram"], "paper": ["market for paper, woodfree, uncoated", "paper, woodfree, uncoated", "RER", "kilogram"]}, "unmodelled_mass_kg": 0}</t>
        </is>
      </c>
    </row>
    <row r="3946">
      <c r="A3946" t="inlineStr">
        <is>
          <t>comment</t>
        </is>
      </c>
      <c r="B3946" t="inlineStr">
        <is>
          <t>Consumes exactly 1 MJ final electricity. Baseline hardware allocation uses SPS1/2020 installed capacity divided by annual electricity and lifetime; the build adapter replaces this for every scenario/year. Norwegian storage-water-heater proxy; declared rounded material masses sum to 31.01 kg versus 31 kg nominal. Steel aggregate represented by 18/8 stainless; stainless/mild-steel split and resistance-alloy composition are unresolved. Plastics, insulation and electronics use generic PP, PU foam and control-unit electronics LCI proxies. Packaging, manufacturing assembly energy and end-of-life are not reconstructed from EPD impact scores.</t>
        </is>
      </c>
    </row>
    <row r="3947">
      <c r="A3947" t="inlineStr">
        <is>
          <t>Exchanges</t>
        </is>
      </c>
    </row>
    <row r="3948">
      <c r="A3948" t="inlineStr">
        <is>
          <t>name</t>
        </is>
      </c>
      <c r="B3948" t="inlineStr">
        <is>
          <t>amount</t>
        </is>
      </c>
      <c r="C3948" t="inlineStr">
        <is>
          <t>location</t>
        </is>
      </c>
      <c r="D3948" t="inlineStr">
        <is>
          <t>unit</t>
        </is>
      </c>
      <c r="E3948" t="inlineStr">
        <is>
          <t>categories</t>
        </is>
      </c>
      <c r="F3948" t="inlineStr">
        <is>
          <t>type</t>
        </is>
      </c>
      <c r="G3948" t="inlineStr">
        <is>
          <t>reference product</t>
        </is>
      </c>
      <c r="H3948" t="inlineStr">
        <is>
          <t>comment</t>
        </is>
      </c>
      <c r="I3948" t="inlineStr">
        <is>
          <t>uncertainty type</t>
        </is>
      </c>
    </row>
    <row r="3949">
      <c r="A3949" t="inlineStr">
        <is>
          <t>electricity, used in residential electric water heater</t>
        </is>
      </c>
      <c r="B3949">
        <v>1</v>
      </c>
      <c r="C3949" t="inlineStr">
        <is>
          <t>CH</t>
        </is>
      </c>
      <c r="D3949" t="inlineStr">
        <is>
          <t>megajoule</t>
        </is>
      </c>
      <c r="F3949" t="inlineStr">
        <is>
          <t>production</t>
        </is>
      </c>
      <c r="G3949" t="inlineStr">
        <is>
          <t>electricity, low voltage</t>
        </is>
      </c>
    </row>
    <row r="3950">
      <c r="A3950" t="inlineStr">
        <is>
          <t>market for electricity, low voltage</t>
        </is>
      </c>
      <c r="B3950">
        <v>0.2777777777777778</v>
      </c>
      <c r="C3950" t="inlineStr">
        <is>
          <t>CH</t>
        </is>
      </c>
      <c r="D3950" t="inlineStr">
        <is>
          <t>kilowatt hour</t>
        </is>
      </c>
      <c r="F3950" t="inlineStr">
        <is>
          <t>technosphere</t>
        </is>
      </c>
      <c r="G3950" t="inlineStr">
        <is>
          <t>electricity, low voltage</t>
        </is>
      </c>
    </row>
    <row r="3951">
      <c r="A3951" t="inlineStr">
        <is>
          <t>electric boiler equipment production, Høiax Connected 200, 190 L</t>
        </is>
      </c>
      <c r="B3951">
        <v>1.5301179161418566e-06</v>
      </c>
      <c r="C3951" t="inlineStr">
        <is>
          <t>RER</t>
        </is>
      </c>
      <c r="D3951" t="inlineStr">
        <is>
          <t>unit</t>
        </is>
      </c>
      <c r="F3951" t="inlineStr">
        <is>
          <t>technosphere</t>
        </is>
      </c>
      <c r="G3951" t="inlineStr">
        <is>
          <t>Høiax Connected 200, 190 L</t>
        </is>
      </c>
    </row>
    <row r="3952"/>
    <row r="3953">
      <c r="A3953" t="inlineStr">
        <is>
          <t>Activity</t>
        </is>
      </c>
      <c r="B3953" t="inlineStr">
        <is>
          <t>electric boiler equipment production, CTC EL 42</t>
        </is>
      </c>
    </row>
    <row r="3954">
      <c r="A3954" t="inlineStr">
        <is>
          <t>reference product</t>
        </is>
      </c>
      <c r="B3954" t="inlineStr">
        <is>
          <t>CTC EL 42</t>
        </is>
      </c>
    </row>
    <row r="3955">
      <c r="A3955" t="inlineStr">
        <is>
          <t>unit</t>
        </is>
      </c>
      <c r="B3955" t="inlineStr">
        <is>
          <t>unit</t>
        </is>
      </c>
    </row>
    <row r="3956">
      <c r="A3956" t="inlineStr">
        <is>
          <t>location</t>
        </is>
      </c>
      <c r="B3956" t="inlineStr">
        <is>
          <t>RER</t>
        </is>
      </c>
    </row>
    <row r="3957">
      <c r="A3957" t="inlineStr">
        <is>
          <t>comment</t>
        </is>
      </c>
      <c r="B3957" t="inlineStr">
        <is>
          <t>Dedicated electric heating hardware; sourced mass with explicit background-LCI proxies. EU resistance-flow heater proxy; Swiss installed technology mix is unknown. Steel group represented by 18/8 stainless; actual steel grades and their split are not disclosed. Cable/electronics mass uses generic control-unit electronics; unidentified 14% remains unmodelled. Installation, circulation pump and manufacturing assembly energy are not quantified by the declaration.</t>
        </is>
      </c>
    </row>
    <row r="3958">
      <c r="A3958" t="inlineStr">
        <is>
          <t>electric boiler equipment</t>
        </is>
      </c>
      <c r="B3958" t="inlineStr">
        <is>
          <t>{"model": "CTC EL 42", "name": "electricity, used in services electric boiler", "power_kW": 42, "mass_kg": 33, "lifetime_years": 20, "lifetime_range": [20, 25], "material_fractions": {"stainless": 0.581, "brass": 0.011, "electronics": 0.242, "rubber": 0.026, "unmodelled": 0.14}, "source_ids": ["ctc_bvd", "ctc_manual"], "limitations": ["EU resistance-flow heater proxy; Swiss installed technology mix is unknown.", "Steel group represented by 18/8 stainless; actual steel grades and their split are not disclosed.", "Cable/electronics mass uses generic control-unit electronics; unidentified 14% remains unmodelled.", "Installation, circulation pump and manufacturing assembly energy are not quantified by the declaration."], "pathway": "FE_services_electric_boiler", "capacity_variable": "Space water and process heat boiler capacity in Services sectors|Electricity|Electric boiler", "energy_variable": "Fuel consumption in Services sectors|Electricity|Electric boiler", "id": "services", "sources": {"ctc_bvd": {"url": "https://ctc.no/file-download/a9a26013a5c285864d4ad53326bec18c.pdf", "sha256": "8b279c4c47d0e0c1c239d98dea2952f67fade9527b9fcec1e38bd8e0bc6c423a", "locator": "BVD-0045 to BVD-0047, 2022-01-10, material declarations and 20–25 year technical life"}, "ctc_manual": {"url": "https://ctc.se/file-download/97d743f2ce1f34e17d2586fda373f7de.pdf", "sha256": "27c305afaf9e86a445d278b409566a064093ccf6831bc3a7fdb837d533c3b23e", "locator": "Section 3; EL 9 net mass 9.3 kg, EL 42 net mass 33 kg; element EN 1.4404, tube EN 1.4301"}}, "boundary": "Dedicated electric heating equipment only; building fabric and heat-distribution networks excluded.", "hardware": ["electric boiler equipment production, CTC EL 42", "CTC EL 42", "RER", "unit"], "materials_kg": {"stainless": 19.173, "brass": 0.363, "electronics": 7.986, "rubber": 0.858, "unmodelled": 4.62}, "material_suppliers": {"stainless": ["market for steel, chromium steel 18/8", "steel, chromium steel 18/8", "GLO", "kilogram"], "brass": ["market for brass", "brass", "RoW", "kilogram"], "electronics": ["market for electronics, for control units", "electronics, for control units", "GLO", "kilogram"], "rubber": ["market for synthetic rubber", "synthetic rubber", "GLO", "kilogram"]}, "unmodelled_mass_kg": 4.62}</t>
        </is>
      </c>
    </row>
    <row r="3959">
      <c r="A3959" t="inlineStr">
        <is>
          <t>Exchanges</t>
        </is>
      </c>
    </row>
    <row r="3960">
      <c r="A3960" t="inlineStr">
        <is>
          <t>name</t>
        </is>
      </c>
      <c r="B3960" t="inlineStr">
        <is>
          <t>amount</t>
        </is>
      </c>
      <c r="C3960" t="inlineStr">
        <is>
          <t>location</t>
        </is>
      </c>
      <c r="D3960" t="inlineStr">
        <is>
          <t>unit</t>
        </is>
      </c>
      <c r="E3960" t="inlineStr">
        <is>
          <t>categories</t>
        </is>
      </c>
      <c r="F3960" t="inlineStr">
        <is>
          <t>type</t>
        </is>
      </c>
      <c r="G3960" t="inlineStr">
        <is>
          <t>reference product</t>
        </is>
      </c>
      <c r="H3960" t="inlineStr">
        <is>
          <t>comment</t>
        </is>
      </c>
      <c r="I3960" t="inlineStr">
        <is>
          <t>uncertainty type</t>
        </is>
      </c>
    </row>
    <row r="3961">
      <c r="A3961" t="inlineStr">
        <is>
          <t>electric boiler equipment production, CTC EL 42</t>
        </is>
      </c>
      <c r="B3961">
        <v>1</v>
      </c>
      <c r="C3961" t="inlineStr">
        <is>
          <t>RER</t>
        </is>
      </c>
      <c r="D3961" t="inlineStr">
        <is>
          <t>unit</t>
        </is>
      </c>
      <c r="F3961" t="inlineStr">
        <is>
          <t>production</t>
        </is>
      </c>
      <c r="G3961" t="inlineStr">
        <is>
          <t>CTC EL 42</t>
        </is>
      </c>
    </row>
    <row r="3962">
      <c r="A3962" t="inlineStr">
        <is>
          <t>market for steel, chromium steel 18/8</t>
        </is>
      </c>
      <c r="B3962">
        <v>19.173</v>
      </c>
      <c r="C3962" t="inlineStr">
        <is>
          <t>GLO</t>
        </is>
      </c>
      <c r="D3962" t="inlineStr">
        <is>
          <t>kilogram</t>
        </is>
      </c>
      <c r="F3962" t="inlineStr">
        <is>
          <t>technosphere</t>
        </is>
      </c>
      <c r="G3962" t="inlineStr">
        <is>
          <t>steel, chromium steel 18/8</t>
        </is>
      </c>
      <c r="H3962" t="inlineStr">
        <is>
          <t>stainless: sourced material-class mass; mapping limitations in activity metadata</t>
        </is>
      </c>
    </row>
    <row r="3963">
      <c r="A3963" t="inlineStr">
        <is>
          <t>market for brass</t>
        </is>
      </c>
      <c r="B3963">
        <v>0.363</v>
      </c>
      <c r="C3963" t="inlineStr">
        <is>
          <t>RoW</t>
        </is>
      </c>
      <c r="D3963" t="inlineStr">
        <is>
          <t>kilogram</t>
        </is>
      </c>
      <c r="F3963" t="inlineStr">
        <is>
          <t>technosphere</t>
        </is>
      </c>
      <c r="G3963" t="inlineStr">
        <is>
          <t>brass</t>
        </is>
      </c>
      <c r="H3963" t="inlineStr">
        <is>
          <t>brass: sourced material-class mass; mapping limitations in activity metadata</t>
        </is>
      </c>
    </row>
    <row r="3964">
      <c r="A3964" t="inlineStr">
        <is>
          <t>market for electronics, for control units</t>
        </is>
      </c>
      <c r="B3964">
        <v>7.986</v>
      </c>
      <c r="C3964" t="inlineStr">
        <is>
          <t>GLO</t>
        </is>
      </c>
      <c r="D3964" t="inlineStr">
        <is>
          <t>kilogram</t>
        </is>
      </c>
      <c r="F3964" t="inlineStr">
        <is>
          <t>technosphere</t>
        </is>
      </c>
      <c r="G3964" t="inlineStr">
        <is>
          <t>electronics, for control units</t>
        </is>
      </c>
      <c r="H3964" t="inlineStr">
        <is>
          <t>electronics: sourced material-class mass; mapping limitations in activity metadata</t>
        </is>
      </c>
    </row>
    <row r="3965">
      <c r="A3965" t="inlineStr">
        <is>
          <t>market for synthetic rubber</t>
        </is>
      </c>
      <c r="B3965">
        <v>0.858</v>
      </c>
      <c r="C3965" t="inlineStr">
        <is>
          <t>GLO</t>
        </is>
      </c>
      <c r="D3965" t="inlineStr">
        <is>
          <t>kilogram</t>
        </is>
      </c>
      <c r="F3965" t="inlineStr">
        <is>
          <t>technosphere</t>
        </is>
      </c>
      <c r="G3965" t="inlineStr">
        <is>
          <t>synthetic rubber</t>
        </is>
      </c>
      <c r="H3965" t="inlineStr">
        <is>
          <t>rubber: sourced material-class mass; mapping limitations in activity metadata</t>
        </is>
      </c>
    </row>
    <row r="3966"/>
    <row r="3967">
      <c r="A3967" t="inlineStr">
        <is>
          <t>Activity</t>
        </is>
      </c>
      <c r="B3967" t="inlineStr">
        <is>
          <t>electricity, used in services electric boiler</t>
        </is>
      </c>
    </row>
    <row r="3968">
      <c r="A3968" t="inlineStr">
        <is>
          <t>location</t>
        </is>
      </c>
      <c r="B3968" t="inlineStr">
        <is>
          <t>CH</t>
        </is>
      </c>
    </row>
    <row r="3969">
      <c r="A3969" t="inlineStr">
        <is>
          <t>production amount</t>
        </is>
      </c>
      <c r="B3969">
        <v>1</v>
      </c>
    </row>
    <row r="3970">
      <c r="A3970" t="inlineStr">
        <is>
          <t>reference product</t>
        </is>
      </c>
      <c r="B3970" t="inlineStr">
        <is>
          <t>electricity, low voltage</t>
        </is>
      </c>
    </row>
    <row r="3971">
      <c r="A3971" t="inlineStr">
        <is>
          <t>type</t>
        </is>
      </c>
      <c r="B3971" t="inlineStr">
        <is>
          <t>process</t>
        </is>
      </c>
    </row>
    <row r="3972">
      <c r="A3972" t="inlineStr">
        <is>
          <t>unit</t>
        </is>
      </c>
      <c r="B3972" t="inlineStr">
        <is>
          <t>megajoule</t>
        </is>
      </c>
    </row>
    <row r="3973">
      <c r="A3973" t="inlineStr">
        <is>
          <t>electric boiler equipment</t>
        </is>
      </c>
      <c r="B3973" t="inlineStr">
        <is>
          <t>{"model": "CTC EL 42", "name": "electricity, used in services electric boiler", "power_kW": 42, "mass_kg": 33, "lifetime_years": 20, "lifetime_range": [20, 25], "material_fractions": {"stainless": 0.581, "brass": 0.011, "electronics": 0.242, "rubber": 0.026, "unmodelled": 0.14}, "source_ids": ["ctc_bvd", "ctc_manual"], "limitations": ["EU resistance-flow heater proxy; Swiss installed technology mix is unknown.", "Steel group represented by 18/8 stainless; actual steel grades and their split are not disclosed.", "Cable/electronics mass uses generic control-unit electronics; unidentified 14% remains unmodelled.", "Installation, circulation pump and manufacturing assembly energy are not quantified by the declaration."], "pathway": "FE_services_electric_boiler", "capacity_variable": "Space water and process heat boiler capacity in Services sectors|Electricity|Electric boiler", "energy_variable": "Fuel consumption in Services sectors|Electricity|Electric boiler", "id": "services", "sources": {"ctc_bvd": {"url": "https://ctc.no/file-download/a9a26013a5c285864d4ad53326bec18c.pdf", "sha256": "8b279c4c47d0e0c1c239d98dea2952f67fade9527b9fcec1e38bd8e0bc6c423a", "locator": "BVD-0045 to BVD-0047, 2022-01-10, material declarations and 20–25 year technical life"}, "ctc_manual": {"url": "https://ctc.se/file-download/97d743f2ce1f34e17d2586fda373f7de.pdf", "sha256": "27c305afaf9e86a445d278b409566a064093ccf6831bc3a7fdb837d533c3b23e", "locator": "Section 3; EL 9 net mass 9.3 kg, EL 42 net mass 33 kg; element EN 1.4404, tube EN 1.4301"}}, "boundary": "Dedicated electric heating equipment only; building fabric and heat-distribution networks excluded.", "hardware": ["electric boiler equipment production, CTC EL 42", "CTC EL 42", "RER", "unit"], "materials_kg": {"stainless": 19.173, "brass": 0.363, "electronics": 7.986, "rubber": 0.858, "unmodelled": 4.62}, "material_suppliers": {"stainless": ["market for steel, chromium steel 18/8", "steel, chromium steel 18/8", "GLO", "kilogram"], "brass": ["market for brass", "brass", "RoW", "kilogram"], "electronics": ["market for electronics, for control units", "electronics, for control units", "GLO", "kilogram"], "rubber": ["market for synthetic rubber", "synthetic rubber", "GLO", "kilogram"]}, "unmodelled_mass_kg": 4.62}</t>
        </is>
      </c>
    </row>
    <row r="3974">
      <c r="A3974" t="inlineStr">
        <is>
          <t>comment</t>
        </is>
      </c>
      <c r="B3974" t="inlineStr">
        <is>
          <t>Consumes exactly 1 MJ final electricity. Baseline hardware allocation uses SPS1/2020 installed capacity divided by annual electricity and lifetime; the build adapter replaces this for every scenario/year. EU resistance-flow heater proxy; Swiss installed technology mix is unknown. Steel group represented by 18/8 stainless; actual steel grades and their split are not disclosed. Cable/electronics mass uses generic control-unit electronics; unidentified 14% remains unmodelled. Installation, circulation pump and manufacturing assembly energy are not quantified by the declaration.</t>
        </is>
      </c>
    </row>
    <row r="3975">
      <c r="A3975" t="inlineStr">
        <is>
          <t>Exchanges</t>
        </is>
      </c>
    </row>
    <row r="3976">
      <c r="A3976" t="inlineStr">
        <is>
          <t>name</t>
        </is>
      </c>
      <c r="B3976" t="inlineStr">
        <is>
          <t>amount</t>
        </is>
      </c>
      <c r="C3976" t="inlineStr">
        <is>
          <t>location</t>
        </is>
      </c>
      <c r="D3976" t="inlineStr">
        <is>
          <t>unit</t>
        </is>
      </c>
      <c r="E3976" t="inlineStr">
        <is>
          <t>categories</t>
        </is>
      </c>
      <c r="F3976" t="inlineStr">
        <is>
          <t>type</t>
        </is>
      </c>
      <c r="G3976" t="inlineStr">
        <is>
          <t>reference product</t>
        </is>
      </c>
      <c r="H3976" t="inlineStr">
        <is>
          <t>comment</t>
        </is>
      </c>
      <c r="I3976" t="inlineStr">
        <is>
          <t>uncertainty type</t>
        </is>
      </c>
    </row>
    <row r="3977">
      <c r="A3977" t="inlineStr">
        <is>
          <t>electricity, used in services electric boiler</t>
        </is>
      </c>
      <c r="B3977">
        <v>1</v>
      </c>
      <c r="C3977" t="inlineStr">
        <is>
          <t>CH</t>
        </is>
      </c>
      <c r="D3977" t="inlineStr">
        <is>
          <t>megajoule</t>
        </is>
      </c>
      <c r="F3977" t="inlineStr">
        <is>
          <t>production</t>
        </is>
      </c>
      <c r="G3977" t="inlineStr">
        <is>
          <t>electricity, low voltage</t>
        </is>
      </c>
    </row>
    <row r="3978">
      <c r="A3978" t="inlineStr">
        <is>
          <t>market for electricity, low voltage</t>
        </is>
      </c>
      <c r="B3978">
        <v>0.2777777777777778</v>
      </c>
      <c r="C3978" t="inlineStr">
        <is>
          <t>CH</t>
        </is>
      </c>
      <c r="D3978" t="inlineStr">
        <is>
          <t>kilowatt hour</t>
        </is>
      </c>
      <c r="F3978" t="inlineStr">
        <is>
          <t>technosphere</t>
        </is>
      </c>
      <c r="G3978" t="inlineStr">
        <is>
          <t>electricity, low voltage</t>
        </is>
      </c>
    </row>
    <row r="3979">
      <c r="A3979" t="inlineStr">
        <is>
          <t>electric boiler equipment production, CTC EL 42</t>
        </is>
      </c>
      <c r="B3979">
        <v>8.393943337505122e-08</v>
      </c>
      <c r="C3979" t="inlineStr">
        <is>
          <t>RER</t>
        </is>
      </c>
      <c r="D3979" t="inlineStr">
        <is>
          <t>unit</t>
        </is>
      </c>
      <c r="F3979" t="inlineStr">
        <is>
          <t>technosphere</t>
        </is>
      </c>
      <c r="G3979" t="inlineStr">
        <is>
          <t>CTC EL 42</t>
        </is>
      </c>
    </row>
    <row r="3980"/>
    <row r="3981">
      <c r="A3981" t="inlineStr">
        <is>
          <t>Activity</t>
        </is>
      </c>
      <c r="B3981" t="inlineStr">
        <is>
          <t>electric boiler equipment production, Osby Parca EL 500 Eco, 504 kW</t>
        </is>
      </c>
    </row>
    <row r="3982">
      <c r="A3982" t="inlineStr">
        <is>
          <t>reference product</t>
        </is>
      </c>
      <c r="B3982" t="inlineStr">
        <is>
          <t>Osby Parca EL 500 Eco, 504 kW</t>
        </is>
      </c>
    </row>
    <row r="3983">
      <c r="A3983" t="inlineStr">
        <is>
          <t>unit</t>
        </is>
      </c>
      <c r="B3983" t="inlineStr">
        <is>
          <t>unit</t>
        </is>
      </c>
    </row>
    <row r="3984">
      <c r="A3984" t="inlineStr">
        <is>
          <t>location</t>
        </is>
      </c>
      <c r="B3984" t="inlineStr">
        <is>
          <t>RER</t>
        </is>
      </c>
    </row>
    <row r="3985">
      <c r="A3985" t="inlineStr">
        <is>
          <t>comment</t>
        </is>
      </c>
      <c r="B3985" t="inlineStr">
        <is>
          <t>Dedicated electric heating hardware; sourced mass with explicit background-LCI proxies. Published industrial hot-water-boiler mass and power; material fractions and 20-year life are transferred from CTC EL 42 as explicit engineering proxies. Industrial steam/electrode-boiler composition and Swiss technology shares remain unresolved; this is a provisional resistance-boiler archetype. Steel-plate group uses low-alloy steel; stainless-steel substitution must be reported as a sensitivity. Cable/electronics use a generic control-unit electronics proxy; unidentified 14% remains unmodelled. No elemental metal fractions are invented. Installation, circulation pump, manufacturing assembly energy and end-of-life remain unquantified.</t>
        </is>
      </c>
    </row>
    <row r="3986">
      <c r="A3986" t="inlineStr">
        <is>
          <t>electric boiler equipment</t>
        </is>
      </c>
      <c r="B3986" t="inlineStr">
        <is>
          <t>{"model": "Osby Parca EL 500 Eco, 504 kW", "name": "electricity, used in industrial electric boiler", "power_kW": 504, "mass_kg": 410, "lifetime_years": 20, "lifetime_range": [20, 30], "material_fractions": {"low_alloy": 0.581, "brass": 0.011, "electronics": 0.242, "rubber": 0.026, "unmodelled": 0.14}, "source_ids": ["osby", "ctc_bvd"], "limitations": ["Published industrial hot-water-boiler mass and power; material fractions and 20-year life are transferred from CTC EL 42 as explicit engineering proxies.", "Industrial steam/electrode-boiler composition and Swiss technology shares remain unresolved; this is a provisional resistance-boiler archetype.", "Steel-plate group uses low-alloy steel; stainless-steel substitution must be reported as a sensitivity.", "Cable/electronics use a generic control-unit electronics proxy; unidentified 14% remains unmodelled. No elemental metal fractions are invented.", "Installation, circulation pump, manufacturing assembly energy and end-of-life remain unquantified."], "pathway": "FE_industry_process_electric_boiler", "capacity_variable": "Process and space heating capacity in industry sectors|Electricity|Electric boiler", "energy_variable": "Fuel consumption in industry sectors|Electricity|Electric boiler", "id": "industry", "sources": {"osby": {"url": "https://www.rskdatabasen.se/infoDocs/PROD/PROD_1185_6203841.pdf", "sha256": "1e9642102af02575a2afbbccd23659c9f0209d37aa560749d621a7b9e75ade52", "locator": "Last page, 2022-11-25; EL 500 Eco, 504 kW, 410 kg excluding water"}, "ctc_bvd": {"url": "https://ctc.no/file-download/a9a26013a5c285864d4ad53326bec18c.pdf", "sha256": "8b279c4c47d0e0c1c239d98dea2952f67fade9527b9fcec1e38bd8e0bc6c423a", "locator": "BVD-0045 to BVD-0047, 2022-01-10, material declarations and 20–25 year technical life"}}, "boundary": "Dedicated electric heating equipment only; building fabric and heat-distribution networks excluded.", "hardware": ["electric boiler equipment production, Osby Parca EL 500 Eco, 504 kW", "Osby Parca EL 500 Eco, 504 kW", "RER", "unit"], "materials_kg": {"low_alloy": 238.20999999999998, "brass": 4.51, "electronics": 99.22, "rubber": 10.66, "unmodelled": 57.400000000000006}, "material_suppliers": {"low_alloy": ["market for steel, low-alloyed", "steel, low-alloyed", "GLO", "kilogram"], "brass": ["market for brass", "brass", "RoW", "kilogram"], "electronics": ["market for electronics, for control units", "electronics, for control units", "GLO", "kilogram"], "rubber": ["market for synthetic rubber", "synthetic rubber", "GLO", "kilogram"]}, "unmodelled_mass_kg": 57.400000000000006}</t>
        </is>
      </c>
    </row>
    <row r="3987">
      <c r="A3987" t="inlineStr">
        <is>
          <t>Exchanges</t>
        </is>
      </c>
    </row>
    <row r="3988">
      <c r="A3988" t="inlineStr">
        <is>
          <t>name</t>
        </is>
      </c>
      <c r="B3988" t="inlineStr">
        <is>
          <t>amount</t>
        </is>
      </c>
      <c r="C3988" t="inlineStr">
        <is>
          <t>location</t>
        </is>
      </c>
      <c r="D3988" t="inlineStr">
        <is>
          <t>unit</t>
        </is>
      </c>
      <c r="E3988" t="inlineStr">
        <is>
          <t>categories</t>
        </is>
      </c>
      <c r="F3988" t="inlineStr">
        <is>
          <t>type</t>
        </is>
      </c>
      <c r="G3988" t="inlineStr">
        <is>
          <t>reference product</t>
        </is>
      </c>
      <c r="H3988" t="inlineStr">
        <is>
          <t>comment</t>
        </is>
      </c>
      <c r="I3988" t="inlineStr">
        <is>
          <t>uncertainty type</t>
        </is>
      </c>
    </row>
    <row r="3989">
      <c r="A3989" t="inlineStr">
        <is>
          <t>electric boiler equipment production, Osby Parca EL 500 Eco, 504 kW</t>
        </is>
      </c>
      <c r="B3989">
        <v>1</v>
      </c>
      <c r="C3989" t="inlineStr">
        <is>
          <t>RER</t>
        </is>
      </c>
      <c r="D3989" t="inlineStr">
        <is>
          <t>unit</t>
        </is>
      </c>
      <c r="F3989" t="inlineStr">
        <is>
          <t>production</t>
        </is>
      </c>
      <c r="G3989" t="inlineStr">
        <is>
          <t>Osby Parca EL 500 Eco, 504 kW</t>
        </is>
      </c>
    </row>
    <row r="3990">
      <c r="A3990" t="inlineStr">
        <is>
          <t>market for steel, low-alloyed</t>
        </is>
      </c>
      <c r="B3990">
        <v>238.20999999999998</v>
      </c>
      <c r="C3990" t="inlineStr">
        <is>
          <t>GLO</t>
        </is>
      </c>
      <c r="D3990" t="inlineStr">
        <is>
          <t>kilogram</t>
        </is>
      </c>
      <c r="F3990" t="inlineStr">
        <is>
          <t>technosphere</t>
        </is>
      </c>
      <c r="G3990" t="inlineStr">
        <is>
          <t>steel, low-alloyed</t>
        </is>
      </c>
      <c r="H3990" t="inlineStr">
        <is>
          <t>low_alloy: sourced material-class mass; mapping limitations in activity metadata</t>
        </is>
      </c>
    </row>
    <row r="3991">
      <c r="A3991" t="inlineStr">
        <is>
          <t>market for brass</t>
        </is>
      </c>
      <c r="B3991">
        <v>4.51</v>
      </c>
      <c r="C3991" t="inlineStr">
        <is>
          <t>RoW</t>
        </is>
      </c>
      <c r="D3991" t="inlineStr">
        <is>
          <t>kilogram</t>
        </is>
      </c>
      <c r="F3991" t="inlineStr">
        <is>
          <t>technosphere</t>
        </is>
      </c>
      <c r="G3991" t="inlineStr">
        <is>
          <t>brass</t>
        </is>
      </c>
      <c r="H3991" t="inlineStr">
        <is>
          <t>brass: sourced material-class mass; mapping limitations in activity metadata</t>
        </is>
      </c>
    </row>
    <row r="3992">
      <c r="A3992" t="inlineStr">
        <is>
          <t>market for electronics, for control units</t>
        </is>
      </c>
      <c r="B3992">
        <v>99.22</v>
      </c>
      <c r="C3992" t="inlineStr">
        <is>
          <t>GLO</t>
        </is>
      </c>
      <c r="D3992" t="inlineStr">
        <is>
          <t>kilogram</t>
        </is>
      </c>
      <c r="F3992" t="inlineStr">
        <is>
          <t>technosphere</t>
        </is>
      </c>
      <c r="G3992" t="inlineStr">
        <is>
          <t>electronics, for control units</t>
        </is>
      </c>
      <c r="H3992" t="inlineStr">
        <is>
          <t>electronics: sourced material-class mass; mapping limitations in activity metadata</t>
        </is>
      </c>
    </row>
    <row r="3993">
      <c r="A3993" t="inlineStr">
        <is>
          <t>market for synthetic rubber</t>
        </is>
      </c>
      <c r="B3993">
        <v>10.66</v>
      </c>
      <c r="C3993" t="inlineStr">
        <is>
          <t>GLO</t>
        </is>
      </c>
      <c r="D3993" t="inlineStr">
        <is>
          <t>kilogram</t>
        </is>
      </c>
      <c r="F3993" t="inlineStr">
        <is>
          <t>technosphere</t>
        </is>
      </c>
      <c r="G3993" t="inlineStr">
        <is>
          <t>synthetic rubber</t>
        </is>
      </c>
      <c r="H3993" t="inlineStr">
        <is>
          <t>rubber: sourced material-class mass; mapping limitations in activity metadata</t>
        </is>
      </c>
    </row>
    <row r="3994"/>
    <row r="3995">
      <c r="A3995" t="inlineStr">
        <is>
          <t>Activity</t>
        </is>
      </c>
      <c r="B3995" t="inlineStr">
        <is>
          <t>energy equipment production, industrial induction motor, 22 kW (SPS)</t>
        </is>
      </c>
    </row>
    <row r="3996">
      <c r="A3996" t="inlineStr">
        <is>
          <t>reference product</t>
        </is>
      </c>
      <c r="B3996" t="inlineStr">
        <is>
          <t>energy equipment production, industrial induction motor, 22 kW (SPS)</t>
        </is>
      </c>
    </row>
    <row r="3997">
      <c r="A3997" t="inlineStr">
        <is>
          <t>location</t>
        </is>
      </c>
      <c r="B3997" t="inlineStr">
        <is>
          <t>RER</t>
        </is>
      </c>
    </row>
    <row r="3998">
      <c r="A3998" t="inlineStr">
        <is>
          <t>unit</t>
        </is>
      </c>
      <c r="B3998" t="inlineStr">
        <is>
          <t>unit</t>
        </is>
      </c>
    </row>
    <row r="3999">
      <c r="A3999" t="inlineStr">
        <is>
          <t>comment</t>
        </is>
      </c>
      <c r="B3999" t="inlineStr">
        <is>
          <t>ABB M3JP 180MLB EPD: 22 kW shaft, 93.1% efficiency, 15 years at 5000 h/year. Old heavy flameproof motor is a technology proxy. Electrical steel represented by low-alloy steel; unspecified aluminium by cast alloy; insulation/resin/paint use generic LCI proxies. No driven-machine frame or packaging. Assembly energy and drives/controllers not reconstructed.</t>
        </is>
      </c>
    </row>
    <row r="4000">
      <c r="A4000" t="inlineStr">
        <is>
          <t>Exchanges</t>
        </is>
      </c>
    </row>
    <row r="4001">
      <c r="A4001" t="inlineStr">
        <is>
          <t>name</t>
        </is>
      </c>
      <c r="B4001" t="inlineStr">
        <is>
          <t>amount</t>
        </is>
      </c>
      <c r="C4001" t="inlineStr">
        <is>
          <t>location</t>
        </is>
      </c>
      <c r="D4001" t="inlineStr">
        <is>
          <t>unit</t>
        </is>
      </c>
      <c r="E4001" t="inlineStr">
        <is>
          <t>categories</t>
        </is>
      </c>
      <c r="F4001" t="inlineStr">
        <is>
          <t>type</t>
        </is>
      </c>
      <c r="G4001" t="inlineStr">
        <is>
          <t>reference product</t>
        </is>
      </c>
      <c r="H4001" t="inlineStr">
        <is>
          <t>comment</t>
        </is>
      </c>
      <c r="I4001" t="inlineStr">
        <is>
          <t>uncertainty type</t>
        </is>
      </c>
    </row>
    <row r="4002">
      <c r="A4002" t="inlineStr">
        <is>
          <t>energy equipment production, industrial induction motor, 22 kW (SPS)</t>
        </is>
      </c>
      <c r="B4002">
        <v>1</v>
      </c>
      <c r="C4002" t="inlineStr">
        <is>
          <t>RER</t>
        </is>
      </c>
      <c r="D4002" t="inlineStr">
        <is>
          <t>unit</t>
        </is>
      </c>
      <c r="F4002" t="inlineStr">
        <is>
          <t>production</t>
        </is>
      </c>
      <c r="G4002" t="inlineStr">
        <is>
          <t>energy equipment production, industrial induction motor, 22 kW (SPS)</t>
        </is>
      </c>
    </row>
    <row r="4003">
      <c r="A4003" t="inlineStr">
        <is>
          <t>market for steel, low-alloyed</t>
        </is>
      </c>
      <c r="B4003">
        <v>134.0</v>
      </c>
      <c r="C4003" t="inlineStr">
        <is>
          <t>GLO</t>
        </is>
      </c>
      <c r="D4003" t="inlineStr">
        <is>
          <t>kilogram</t>
        </is>
      </c>
      <c r="F4003" t="inlineStr">
        <is>
          <t>technosphere</t>
        </is>
      </c>
      <c r="G4003" t="inlineStr">
        <is>
          <t>steel, low-alloyed</t>
        </is>
      </c>
    </row>
    <row r="4004">
      <c r="A4004" t="inlineStr">
        <is>
          <t>market for cast iron</t>
        </is>
      </c>
      <c r="B4004">
        <v>116.0</v>
      </c>
      <c r="C4004" t="inlineStr">
        <is>
          <t>GLO</t>
        </is>
      </c>
      <c r="D4004" t="inlineStr">
        <is>
          <t>kilogram</t>
        </is>
      </c>
      <c r="F4004" t="inlineStr">
        <is>
          <t>technosphere</t>
        </is>
      </c>
      <c r="G4004" t="inlineStr">
        <is>
          <t>cast iron</t>
        </is>
      </c>
    </row>
    <row r="4005">
      <c r="A4005" t="inlineStr">
        <is>
          <t>market for aluminium, cast alloy</t>
        </is>
      </c>
      <c r="B4005">
        <v>4.1</v>
      </c>
      <c r="C4005" t="inlineStr">
        <is>
          <t>GLO</t>
        </is>
      </c>
      <c r="D4005" t="inlineStr">
        <is>
          <t>kilogram</t>
        </is>
      </c>
      <c r="F4005" t="inlineStr">
        <is>
          <t>technosphere</t>
        </is>
      </c>
      <c r="G4005" t="inlineStr">
        <is>
          <t>aluminium, cast alloy</t>
        </is>
      </c>
    </row>
    <row r="4006">
      <c r="A4006" t="inlineStr">
        <is>
          <t>market for copper, cathode</t>
        </is>
      </c>
      <c r="B4006">
        <v>12.0</v>
      </c>
      <c r="C4006" t="inlineStr">
        <is>
          <t>GLO</t>
        </is>
      </c>
      <c r="D4006" t="inlineStr">
        <is>
          <t>kilogram</t>
        </is>
      </c>
      <c r="F4006" t="inlineStr">
        <is>
          <t>technosphere</t>
        </is>
      </c>
      <c r="G4006" t="inlineStr">
        <is>
          <t>copper, cathode</t>
        </is>
      </c>
    </row>
    <row r="4007">
      <c r="A4007" t="inlineStr">
        <is>
          <t>market for glass fibre</t>
        </is>
      </c>
      <c r="B4007">
        <v>0.3</v>
      </c>
      <c r="C4007" t="inlineStr">
        <is>
          <t>GLO</t>
        </is>
      </c>
      <c r="D4007" t="inlineStr">
        <is>
          <t>kilogram</t>
        </is>
      </c>
      <c r="F4007" t="inlineStr">
        <is>
          <t>technosphere</t>
        </is>
      </c>
      <c r="G4007" t="inlineStr">
        <is>
          <t>glass fibre</t>
        </is>
      </c>
    </row>
    <row r="4008">
      <c r="A4008" t="inlineStr">
        <is>
          <t>market for epoxy resin, liquid</t>
        </is>
      </c>
      <c r="B4008">
        <v>1.2</v>
      </c>
      <c r="C4008" t="inlineStr">
        <is>
          <t>RER</t>
        </is>
      </c>
      <c r="D4008" t="inlineStr">
        <is>
          <t>kilogram</t>
        </is>
      </c>
      <c r="F4008" t="inlineStr">
        <is>
          <t>technosphere</t>
        </is>
      </c>
      <c r="G4008" t="inlineStr">
        <is>
          <t>epoxy resin, liquid</t>
        </is>
      </c>
    </row>
    <row r="4009">
      <c r="A4009" t="inlineStr">
        <is>
          <t>market for alkyd paint, white, without water, in 60% solution state</t>
        </is>
      </c>
      <c r="B4009">
        <v>1.6</v>
      </c>
      <c r="C4009" t="inlineStr">
        <is>
          <t>RER</t>
        </is>
      </c>
      <c r="D4009" t="inlineStr">
        <is>
          <t>kilogram</t>
        </is>
      </c>
      <c r="F4009" t="inlineStr">
        <is>
          <t>technosphere</t>
        </is>
      </c>
      <c r="G4009" t="inlineStr">
        <is>
          <t>alkyd paint, white, without water, in 60% solution state</t>
        </is>
      </c>
    </row>
    <row r="4010"/>
    <row r="4011">
      <c r="A4011" t="inlineStr">
        <is>
          <t>Activity</t>
        </is>
      </c>
      <c r="B4011" t="inlineStr">
        <is>
          <t>energy equipment production, identified electrical components of refrigerator (SPS)</t>
        </is>
      </c>
    </row>
    <row r="4012">
      <c r="A4012" t="inlineStr">
        <is>
          <t>reference product</t>
        </is>
      </c>
      <c r="B4012" t="inlineStr">
        <is>
          <t>energy equipment production, identified electrical components of refrigerator (SPS)</t>
        </is>
      </c>
    </row>
    <row r="4013">
      <c r="A4013" t="inlineStr">
        <is>
          <t>location</t>
        </is>
      </c>
      <c r="B4013" t="inlineStr">
        <is>
          <t>RER</t>
        </is>
      </c>
    </row>
    <row r="4014">
      <c r="A4014" t="inlineStr">
        <is>
          <t>unit</t>
        </is>
      </c>
      <c r="B4014" t="inlineStr">
        <is>
          <t>unit</t>
        </is>
      </c>
    </row>
    <row r="4015">
      <c r="A4015" t="inlineStr">
        <is>
          <t>comment</t>
        </is>
      </c>
      <c r="B4015" t="inlineStr">
        <is>
          <t>Selected electrical materials from ecoinvent 3.12 refrigerator production. Excludes unseparated structural materials, housing, ballast, and associated disposal. This is partial component coverage, not a complete appliance LCI. Lifetime 10 years; Swiss 2020 stock consumption 214 kWh/year.</t>
        </is>
      </c>
    </row>
    <row r="4016">
      <c r="A4016" t="inlineStr">
        <is>
          <t>Exchanges</t>
        </is>
      </c>
    </row>
    <row r="4017">
      <c r="A4017" t="inlineStr">
        <is>
          <t>name</t>
        </is>
      </c>
      <c r="B4017" t="inlineStr">
        <is>
          <t>amount</t>
        </is>
      </c>
      <c r="C4017" t="inlineStr">
        <is>
          <t>location</t>
        </is>
      </c>
      <c r="D4017" t="inlineStr">
        <is>
          <t>unit</t>
        </is>
      </c>
      <c r="E4017" t="inlineStr">
        <is>
          <t>categories</t>
        </is>
      </c>
      <c r="F4017" t="inlineStr">
        <is>
          <t>type</t>
        </is>
      </c>
      <c r="G4017" t="inlineStr">
        <is>
          <t>reference product</t>
        </is>
      </c>
      <c r="H4017" t="inlineStr">
        <is>
          <t>comment</t>
        </is>
      </c>
      <c r="I4017" t="inlineStr">
        <is>
          <t>uncertainty type</t>
        </is>
      </c>
    </row>
    <row r="4018">
      <c r="A4018" t="inlineStr">
        <is>
          <t>energy equipment production, identified electrical components of refrigerator (SPS)</t>
        </is>
      </c>
      <c r="B4018">
        <v>1</v>
      </c>
      <c r="C4018" t="inlineStr">
        <is>
          <t>RER</t>
        </is>
      </c>
      <c r="D4018" t="inlineStr">
        <is>
          <t>unit</t>
        </is>
      </c>
      <c r="F4018" t="inlineStr">
        <is>
          <t>production</t>
        </is>
      </c>
      <c r="G4018" t="inlineStr">
        <is>
          <t>energy equipment production, identified electrical components of refrigerator (SPS)</t>
        </is>
      </c>
    </row>
    <row r="4019">
      <c r="A4019" t="inlineStr">
        <is>
          <t>market for copper, cathode</t>
        </is>
      </c>
      <c r="B4019">
        <v>1.308</v>
      </c>
      <c r="C4019" t="inlineStr">
        <is>
          <t>GLO</t>
        </is>
      </c>
      <c r="D4019" t="inlineStr">
        <is>
          <t>kilogram</t>
        </is>
      </c>
      <c r="F4019" t="inlineStr">
        <is>
          <t>technosphere</t>
        </is>
      </c>
      <c r="G4019" t="inlineStr">
        <is>
          <t>copper, cathode</t>
        </is>
      </c>
    </row>
    <row r="4020"/>
    <row r="4021">
      <c r="A4021" t="inlineStr">
        <is>
          <t>Activity</t>
        </is>
      </c>
      <c r="B4021" t="inlineStr">
        <is>
          <t>energy equipment production, identified electrical components of washer (SPS)</t>
        </is>
      </c>
    </row>
    <row r="4022">
      <c r="A4022" t="inlineStr">
        <is>
          <t>reference product</t>
        </is>
      </c>
      <c r="B4022" t="inlineStr">
        <is>
          <t>energy equipment production, identified electrical components of washer (SPS)</t>
        </is>
      </c>
    </row>
    <row r="4023">
      <c r="A4023" t="inlineStr">
        <is>
          <t>location</t>
        </is>
      </c>
      <c r="B4023" t="inlineStr">
        <is>
          <t>RER</t>
        </is>
      </c>
    </row>
    <row r="4024">
      <c r="A4024" t="inlineStr">
        <is>
          <t>unit</t>
        </is>
      </c>
      <c r="B4024" t="inlineStr">
        <is>
          <t>unit</t>
        </is>
      </c>
    </row>
    <row r="4025">
      <c r="A4025" t="inlineStr">
        <is>
          <t>comment</t>
        </is>
      </c>
      <c r="B4025" t="inlineStr">
        <is>
          <t>Selected electrical materials from ecoinvent 3.12 washing machine production. Excludes unseparated structural materials, housing, ballast, and associated disposal. This is partial component coverage, not a complete appliance LCI. Lifetime 10 years; Swiss 2020 stock consumption 255 kWh/year.</t>
        </is>
      </c>
    </row>
    <row r="4026">
      <c r="A4026" t="inlineStr">
        <is>
          <t>Exchanges</t>
        </is>
      </c>
    </row>
    <row r="4027">
      <c r="A4027" t="inlineStr">
        <is>
          <t>name</t>
        </is>
      </c>
      <c r="B4027" t="inlineStr">
        <is>
          <t>amount</t>
        </is>
      </c>
      <c r="C4027" t="inlineStr">
        <is>
          <t>location</t>
        </is>
      </c>
      <c r="D4027" t="inlineStr">
        <is>
          <t>unit</t>
        </is>
      </c>
      <c r="E4027" t="inlineStr">
        <is>
          <t>categories</t>
        </is>
      </c>
      <c r="F4027" t="inlineStr">
        <is>
          <t>type</t>
        </is>
      </c>
      <c r="G4027" t="inlineStr">
        <is>
          <t>reference product</t>
        </is>
      </c>
      <c r="H4027" t="inlineStr">
        <is>
          <t>comment</t>
        </is>
      </c>
      <c r="I4027" t="inlineStr">
        <is>
          <t>uncertainty type</t>
        </is>
      </c>
    </row>
    <row r="4028">
      <c r="A4028" t="inlineStr">
        <is>
          <t>energy equipment production, identified electrical components of washer (SPS)</t>
        </is>
      </c>
      <c r="B4028">
        <v>1</v>
      </c>
      <c r="C4028" t="inlineStr">
        <is>
          <t>RER</t>
        </is>
      </c>
      <c r="D4028" t="inlineStr">
        <is>
          <t>unit</t>
        </is>
      </c>
      <c r="F4028" t="inlineStr">
        <is>
          <t>production</t>
        </is>
      </c>
      <c r="G4028" t="inlineStr">
        <is>
          <t>energy equipment production, identified electrical components of washer (SPS)</t>
        </is>
      </c>
    </row>
    <row r="4029">
      <c r="A4029" t="inlineStr">
        <is>
          <t>market for cable, unspecified</t>
        </is>
      </c>
      <c r="B4029">
        <v>0.63</v>
      </c>
      <c r="C4029" t="inlineStr">
        <is>
          <t>GLO</t>
        </is>
      </c>
      <c r="D4029" t="inlineStr">
        <is>
          <t>kilogram</t>
        </is>
      </c>
      <c r="F4029" t="inlineStr">
        <is>
          <t>technosphere</t>
        </is>
      </c>
      <c r="G4029" t="inlineStr">
        <is>
          <t>cable, unspecified</t>
        </is>
      </c>
    </row>
    <row r="4030">
      <c r="A4030" t="inlineStr">
        <is>
          <t>market for copper, cathode</t>
        </is>
      </c>
      <c r="B4030">
        <v>1.81</v>
      </c>
      <c r="C4030" t="inlineStr">
        <is>
          <t>GLO</t>
        </is>
      </c>
      <c r="D4030" t="inlineStr">
        <is>
          <t>kilogram</t>
        </is>
      </c>
      <c r="F4030" t="inlineStr">
        <is>
          <t>technosphere</t>
        </is>
      </c>
      <c r="G4030" t="inlineStr">
        <is>
          <t>copper, cathode</t>
        </is>
      </c>
    </row>
    <row r="4031"/>
    <row r="4032">
      <c r="A4032" t="inlineStr">
        <is>
          <t>Activity</t>
        </is>
      </c>
      <c r="B4032" t="inlineStr">
        <is>
          <t>energy equipment production, identified electrical components of dishwasher (SPS)</t>
        </is>
      </c>
    </row>
    <row r="4033">
      <c r="A4033" t="inlineStr">
        <is>
          <t>reference product</t>
        </is>
      </c>
      <c r="B4033" t="inlineStr">
        <is>
          <t>energy equipment production, identified electrical components of dishwasher (SPS)</t>
        </is>
      </c>
    </row>
    <row r="4034">
      <c r="A4034" t="inlineStr">
        <is>
          <t>location</t>
        </is>
      </c>
      <c r="B4034" t="inlineStr">
        <is>
          <t>RER</t>
        </is>
      </c>
    </row>
    <row r="4035">
      <c r="A4035" t="inlineStr">
        <is>
          <t>unit</t>
        </is>
      </c>
      <c r="B4035" t="inlineStr">
        <is>
          <t>unit</t>
        </is>
      </c>
    </row>
    <row r="4036">
      <c r="A4036" t="inlineStr">
        <is>
          <t>comment</t>
        </is>
      </c>
      <c r="B4036" t="inlineStr">
        <is>
          <t>Selected electrical materials from ecoinvent 3.12 dishwasher production. Excludes unseparated structural materials, housing, ballast, and associated disposal. This is partial component coverage, not a complete appliance LCI. Lifetime 12.5 years; Swiss 2020 stock consumption 203 kWh/year.</t>
        </is>
      </c>
    </row>
    <row r="4037">
      <c r="A4037" t="inlineStr">
        <is>
          <t>Exchanges</t>
        </is>
      </c>
    </row>
    <row r="4038">
      <c r="A4038" t="inlineStr">
        <is>
          <t>name</t>
        </is>
      </c>
      <c r="B4038" t="inlineStr">
        <is>
          <t>amount</t>
        </is>
      </c>
      <c r="C4038" t="inlineStr">
        <is>
          <t>location</t>
        </is>
      </c>
      <c r="D4038" t="inlineStr">
        <is>
          <t>unit</t>
        </is>
      </c>
      <c r="E4038" t="inlineStr">
        <is>
          <t>categories</t>
        </is>
      </c>
      <c r="F4038" t="inlineStr">
        <is>
          <t>type</t>
        </is>
      </c>
      <c r="G4038" t="inlineStr">
        <is>
          <t>reference product</t>
        </is>
      </c>
      <c r="H4038" t="inlineStr">
        <is>
          <t>comment</t>
        </is>
      </c>
      <c r="I4038" t="inlineStr">
        <is>
          <t>uncertainty type</t>
        </is>
      </c>
    </row>
    <row r="4039">
      <c r="A4039" t="inlineStr">
        <is>
          <t>energy equipment production, identified electrical components of dishwasher (SPS)</t>
        </is>
      </c>
      <c r="B4039">
        <v>1</v>
      </c>
      <c r="C4039" t="inlineStr">
        <is>
          <t>RER</t>
        </is>
      </c>
      <c r="D4039" t="inlineStr">
        <is>
          <t>unit</t>
        </is>
      </c>
      <c r="F4039" t="inlineStr">
        <is>
          <t>production</t>
        </is>
      </c>
      <c r="G4039" t="inlineStr">
        <is>
          <t>energy equipment production, identified electrical components of dishwasher (SPS)</t>
        </is>
      </c>
    </row>
    <row r="4040">
      <c r="A4040" t="inlineStr">
        <is>
          <t>market for cable, unspecified</t>
        </is>
      </c>
      <c r="B4040">
        <v>0.75</v>
      </c>
      <c r="C4040" t="inlineStr">
        <is>
          <t>GLO</t>
        </is>
      </c>
      <c r="D4040" t="inlineStr">
        <is>
          <t>kilogram</t>
        </is>
      </c>
      <c r="F4040" t="inlineStr">
        <is>
          <t>technosphere</t>
        </is>
      </c>
      <c r="G4040" t="inlineStr">
        <is>
          <t>cable, unspecified</t>
        </is>
      </c>
    </row>
    <row r="4041">
      <c r="A4041" t="inlineStr">
        <is>
          <t>market for copper, cathode</t>
        </is>
      </c>
      <c r="B4041">
        <v>0.75</v>
      </c>
      <c r="C4041" t="inlineStr">
        <is>
          <t>GLO</t>
        </is>
      </c>
      <c r="D4041" t="inlineStr">
        <is>
          <t>kilogram</t>
        </is>
      </c>
      <c r="F4041" t="inlineStr">
        <is>
          <t>technosphere</t>
        </is>
      </c>
      <c r="G4041" t="inlineStr">
        <is>
          <t>copper, cathode</t>
        </is>
      </c>
    </row>
    <row r="4042">
      <c r="A4042" t="inlineStr">
        <is>
          <t>market for printed wiring board, surface mounted, unspecified, Pb free</t>
        </is>
      </c>
      <c r="B4042">
        <v>0.05</v>
      </c>
      <c r="C4042" t="inlineStr">
        <is>
          <t>GLO</t>
        </is>
      </c>
      <c r="D4042" t="inlineStr">
        <is>
          <t>kilogram</t>
        </is>
      </c>
      <c r="F4042" t="inlineStr">
        <is>
          <t>technosphere</t>
        </is>
      </c>
      <c r="G4042" t="inlineStr">
        <is>
          <t>printed wiring board, surface mounted, unspecified, Pb free</t>
        </is>
      </c>
    </row>
    <row r="4043"/>
    <row r="4044">
      <c r="A4044" t="inlineStr">
        <is>
          <t>Activity</t>
        </is>
      </c>
      <c r="B4044" t="inlineStr">
        <is>
          <t>electricity, used in services electric appliances</t>
        </is>
      </c>
    </row>
    <row r="4045">
      <c r="A4045" t="inlineStr">
        <is>
          <t>location</t>
        </is>
      </c>
      <c r="B4045" t="inlineStr">
        <is>
          <t>CH</t>
        </is>
      </c>
    </row>
    <row r="4046">
      <c r="A4046" t="inlineStr">
        <is>
          <t>production amount</t>
        </is>
      </c>
      <c r="B4046">
        <v>1</v>
      </c>
    </row>
    <row r="4047">
      <c r="A4047" t="inlineStr">
        <is>
          <t>reference product</t>
        </is>
      </c>
      <c r="B4047" t="inlineStr">
        <is>
          <t>electricity, low voltage</t>
        </is>
      </c>
    </row>
    <row r="4048">
      <c r="A4048" t="inlineStr">
        <is>
          <t>type</t>
        </is>
      </c>
      <c r="B4048" t="inlineStr">
        <is>
          <t>process</t>
        </is>
      </c>
    </row>
    <row r="4049">
      <c r="A4049" t="inlineStr">
        <is>
          <t>unit</t>
        </is>
      </c>
      <c r="B4049" t="inlineStr">
        <is>
          <t>megajoule</t>
        </is>
      </c>
    </row>
    <row r="4050">
      <c r="A4050" t="inlineStr">
        <is>
          <t>aggregate electric equipment</t>
        </is>
      </c>
      <c r="B4050" t="inlineStr">
        <is>
          <t>{"pathway": "FE_services_other_electric", "name": "electricity, used in services electric appliances", "energy_PJ": {"lighting": 10.9, "motor": 29.1, "unresolved_ICT": 9.4, "unresolved_other": 3.8}, "limitations": ["Swiss end-use shares include agriculture; motors use an industrial archetype, not a measured services equipment mix.", "Lighting uses a 10 W CFL inventory; ICT and other residual equipment remain gaps."], "id": "services", "sources": {"swiss_enduse": {"url": "https://pubdb.bfe.admin.ch/de/publication/download/12358", "locator": "Tables 23, 24, 28 and 32, 2020 columns; space/water/process heating excluded from industry/services other electricity."}, "swiss_appliances": {"url": "https://pubdb.bfe.admin.ch/de/publication/download/10742", "locator": "Sections 3.1.3, 3.2 and 3.5; 2020 stock consumption, 214 kWh/year refrigerator, 255 washer, 203 dishwasher. Later editions revise historical values."}, "abb_motor": {"url": "https://library.e.abb.com/public/6d5d9840ca2fa0f3c1256d63003e98bf/EPD%20M3JP180GB.pdf", "locator": "Page 1; M3JP 180MLB, 22 kW shaft output, 93.1% efficiency, 15 years, 5000 hours/year; product material table, excluding wooden packaging."}}, "boundary": "Energy conversion components only; appliance housings, structural frames, buildings and distribution networks excluded.", "interpretation": "Static representative equipment per lifetime MJ; Swiss 2020 energy shares are held constant to 2050, not projected technology shares.", "shares": {"lighting": 0.2048872180451128, "motor": 0.5469924812030076, "unresolved_ICT": 0.1766917293233083, "unresolved_other": 0.07142857142857142}, "components": [{"category": "lighting", "share": 0.2048872180451128, "per_MJ_of_category": 0.002777777777777778, "exchange": {"name": "compact fluorescent lamp production", "product": "compact fluorescent lamp", "location": "GLO", "unit": "unit", "type": "technosphere", "amount": 0.0005691311612364244}}, {"category": "motor", "share": 0.5469924812030076, "per_MJ_of_category": 1.5673400673400675e-07, "exchange": {"name": "energy equipment production, industrial induction motor, 22 kW (SPS)", "product": "energy equipment production, industrial induction motor, 22 kW (SPS)", "location": "RER", "unit": "unit", "type": "technosphere", "amount": 8.573232323232325e-08}}], "fraction with some identified components": 0.7518796992481204, "fraction without equipment": 0.2481203007518797}</t>
        </is>
      </c>
    </row>
    <row r="4051">
      <c r="A4051" t="inlineStr">
        <is>
          <t>comment</t>
        </is>
      </c>
      <c r="B4051" t="inlineStr">
        <is>
          <t>Energy conversion components only; appliance housings, structural frames, buildings and distribution networks excluded. Static representative equipment per lifetime MJ; Swiss 2020 energy shares are held constant to 2050, not projected technology shares. Swiss end-use shares include agriculture; motors use an industrial archetype, not a measured services equipment mix. Lighting uses a 10 W CFL inventory; ICT and other residual equipment remain gaps.</t>
        </is>
      </c>
    </row>
    <row r="4052">
      <c r="A4052" t="inlineStr">
        <is>
          <t>Exchanges</t>
        </is>
      </c>
    </row>
    <row r="4053">
      <c r="A4053" t="inlineStr">
        <is>
          <t>name</t>
        </is>
      </c>
      <c r="B4053" t="inlineStr">
        <is>
          <t>amount</t>
        </is>
      </c>
      <c r="C4053" t="inlineStr">
        <is>
          <t>location</t>
        </is>
      </c>
      <c r="D4053" t="inlineStr">
        <is>
          <t>unit</t>
        </is>
      </c>
      <c r="E4053" t="inlineStr">
        <is>
          <t>categories</t>
        </is>
      </c>
      <c r="F4053" t="inlineStr">
        <is>
          <t>type</t>
        </is>
      </c>
      <c r="G4053" t="inlineStr">
        <is>
          <t>reference product</t>
        </is>
      </c>
      <c r="H4053" t="inlineStr">
        <is>
          <t>comment</t>
        </is>
      </c>
      <c r="I4053" t="inlineStr">
        <is>
          <t>uncertainty type</t>
        </is>
      </c>
    </row>
    <row r="4054">
      <c r="A4054" t="inlineStr">
        <is>
          <t>electricity, used in services electric appliances</t>
        </is>
      </c>
      <c r="B4054">
        <v>1</v>
      </c>
      <c r="C4054" t="inlineStr">
        <is>
          <t>CH</t>
        </is>
      </c>
      <c r="D4054" t="inlineStr">
        <is>
          <t>megajoule</t>
        </is>
      </c>
      <c r="F4054" t="inlineStr">
        <is>
          <t>production</t>
        </is>
      </c>
      <c r="G4054" t="inlineStr">
        <is>
          <t>electricity, low voltage</t>
        </is>
      </c>
    </row>
    <row r="4055">
      <c r="A4055" t="inlineStr">
        <is>
          <t>market for electricity, low voltage</t>
        </is>
      </c>
      <c r="B4055">
        <v>0.2777777777777778</v>
      </c>
      <c r="C4055" t="inlineStr">
        <is>
          <t>CH</t>
        </is>
      </c>
      <c r="D4055" t="inlineStr">
        <is>
          <t>kilowatt hour</t>
        </is>
      </c>
      <c r="F4055" t="inlineStr">
        <is>
          <t>technosphere</t>
        </is>
      </c>
      <c r="G4055" t="inlineStr">
        <is>
          <t>electricity, low voltage</t>
        </is>
      </c>
    </row>
    <row r="4056">
      <c r="A4056" t="inlineStr">
        <is>
          <t>compact fluorescent lamp production</t>
        </is>
      </c>
      <c r="B4056">
        <v>0.0005691311612364244</v>
      </c>
      <c r="C4056" t="inlineStr">
        <is>
          <t>GLO</t>
        </is>
      </c>
      <c r="D4056" t="inlineStr">
        <is>
          <t>unit</t>
        </is>
      </c>
      <c r="F4056" t="inlineStr">
        <is>
          <t>technosphere</t>
        </is>
      </c>
      <c r="G4056" t="inlineStr">
        <is>
          <t>compact fluorescent lamp</t>
        </is>
      </c>
    </row>
    <row r="4057">
      <c r="A4057" t="inlineStr">
        <is>
          <t>energy equipment production, industrial induction motor, 22 kW (SPS)</t>
        </is>
      </c>
      <c r="B4057">
        <v>8.573232323232325e-08</v>
      </c>
      <c r="C4057" t="inlineStr">
        <is>
          <t>RER</t>
        </is>
      </c>
      <c r="D4057" t="inlineStr">
        <is>
          <t>unit</t>
        </is>
      </c>
      <c r="F4057" t="inlineStr">
        <is>
          <t>technosphere</t>
        </is>
      </c>
      <c r="G4057" t="inlineStr">
        <is>
          <t>energy equipment production, industrial induction motor, 22 kW (SPS)</t>
        </is>
      </c>
    </row>
    <row r="4058"/>
    <row r="4059">
      <c r="A4059" t="inlineStr">
        <is>
          <t>Activity</t>
        </is>
      </c>
      <c r="B4059" t="inlineStr">
        <is>
          <t>electricity, used in passenger train</t>
        </is>
      </c>
    </row>
    <row r="4060">
      <c r="A4060" t="inlineStr">
        <is>
          <t>location</t>
        </is>
      </c>
      <c r="B4060" t="inlineStr">
        <is>
          <t>CH</t>
        </is>
      </c>
    </row>
    <row r="4061">
      <c r="A4061" t="inlineStr">
        <is>
          <t>production amount</t>
        </is>
      </c>
      <c r="B4061">
        <v>1</v>
      </c>
    </row>
    <row r="4062">
      <c r="A4062" t="inlineStr">
        <is>
          <t>reference product</t>
        </is>
      </c>
      <c r="B4062" t="inlineStr">
        <is>
          <t>electricity, high voltage</t>
        </is>
      </c>
    </row>
    <row r="4063">
      <c r="A4063" t="inlineStr">
        <is>
          <t>type</t>
        </is>
      </c>
      <c r="B4063" t="inlineStr">
        <is>
          <t>process</t>
        </is>
      </c>
    </row>
    <row r="4064">
      <c r="A4064" t="inlineStr">
        <is>
          <t>unit</t>
        </is>
      </c>
      <c r="B4064" t="inlineStr">
        <is>
          <t>megajoule</t>
        </is>
      </c>
    </row>
    <row r="4065">
      <c r="A4065" t="inlineStr">
        <is>
          <t>energy use source</t>
        </is>
      </c>
      <c r="B4065"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["market for electric motor, electric passenger car", "electric motor, electric passenger car", "GLO", "kilogram"], "amount per vehicle": 3710.0,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4066">
      <c r="A4066" t="inlineStr">
        <is>
          <t>comment</t>
        </is>
      </c>
      <c r="B4066"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4067">
      <c r="A4067" t="inlineStr">
        <is>
          <t>Exchanges</t>
        </is>
      </c>
    </row>
    <row r="4068">
      <c r="A4068" t="inlineStr">
        <is>
          <t>name</t>
        </is>
      </c>
      <c r="B4068" t="inlineStr">
        <is>
          <t>amount</t>
        </is>
      </c>
      <c r="C4068" t="inlineStr">
        <is>
          <t>location</t>
        </is>
      </c>
      <c r="D4068" t="inlineStr">
        <is>
          <t>unit</t>
        </is>
      </c>
      <c r="E4068" t="inlineStr">
        <is>
          <t>categories</t>
        </is>
      </c>
      <c r="F4068" t="inlineStr">
        <is>
          <t>type</t>
        </is>
      </c>
      <c r="G4068" t="inlineStr">
        <is>
          <t>reference product</t>
        </is>
      </c>
      <c r="H4068" t="inlineStr">
        <is>
          <t>comment</t>
        </is>
      </c>
      <c r="I4068" t="inlineStr">
        <is>
          <t>uncertainty type</t>
        </is>
      </c>
    </row>
    <row r="4069">
      <c r="A4069" t="inlineStr">
        <is>
          <t>electricity, used in passenger train</t>
        </is>
      </c>
      <c r="B4069">
        <v>1.0</v>
      </c>
      <c r="C4069" t="inlineStr">
        <is>
          <t>CH</t>
        </is>
      </c>
      <c r="D4069" t="inlineStr">
        <is>
          <t>megajoule</t>
        </is>
      </c>
      <c r="F4069" t="inlineStr">
        <is>
          <t>production</t>
        </is>
      </c>
      <c r="G4069" t="inlineStr">
        <is>
          <t>electricity, high voltage</t>
        </is>
      </c>
      <c r="I4069">
        <v>0</v>
      </c>
    </row>
    <row r="4070">
      <c r="A4070" t="inlineStr">
        <is>
          <t>market group for electricity, high voltage</t>
        </is>
      </c>
      <c r="B4070">
        <v>0.27777777777777773</v>
      </c>
      <c r="C4070" t="inlineStr">
        <is>
          <t>RER</t>
        </is>
      </c>
      <c r="D4070" t="inlineStr">
        <is>
          <t>kilowatt hour</t>
        </is>
      </c>
      <c r="F4070" t="inlineStr">
        <is>
          <t>technosphere</t>
        </is>
      </c>
      <c r="G4070" t="inlineStr">
        <is>
          <t>electricity, high voltage</t>
        </is>
      </c>
      <c r="H407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4070">
        <v>0</v>
      </c>
    </row>
    <row r="4071">
      <c r="A4071" t="inlineStr">
        <is>
          <t>market for diesel</t>
        </is>
      </c>
      <c r="B4071">
        <v>0.003188710842490739</v>
      </c>
      <c r="C4071" t="inlineStr">
        <is>
          <t>Europe without Switzerland</t>
        </is>
      </c>
      <c r="D4071" t="inlineStr">
        <is>
          <t>kilogram</t>
        </is>
      </c>
      <c r="F4071" t="inlineStr">
        <is>
          <t>technosphere</t>
        </is>
      </c>
      <c r="G4071" t="inlineStr">
        <is>
          <t>diesel</t>
        </is>
      </c>
      <c r="H4071"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4071">
        <v>0</v>
      </c>
    </row>
    <row r="4072">
      <c r="A4072" t="inlineStr">
        <is>
          <t>market for transformer, high voltage use</t>
        </is>
      </c>
      <c r="B4072">
        <v>1.0214001325676948e-05</v>
      </c>
      <c r="C4072" t="inlineStr">
        <is>
          <t>GLO</t>
        </is>
      </c>
      <c r="D4072" t="inlineStr">
        <is>
          <t>kilogram</t>
        </is>
      </c>
      <c r="F4072" t="inlineStr">
        <is>
          <t>technosphere</t>
        </is>
      </c>
      <c r="G4072" t="inlineStr">
        <is>
          <t>transformer, high voltage use</t>
        </is>
      </c>
      <c r="H4072"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4072">
        <v>0</v>
      </c>
    </row>
    <row r="4073">
      <c r="A4073" t="inlineStr">
        <is>
          <t>market for electric motor, electric passenger car</t>
        </is>
      </c>
      <c r="B4073">
        <v>1.2424244235495565e-05</v>
      </c>
      <c r="C4073" t="inlineStr">
        <is>
          <t>GLO</t>
        </is>
      </c>
      <c r="D4073" t="inlineStr">
        <is>
          <t>kilogram</t>
        </is>
      </c>
      <c r="F4073" t="inlineStr">
        <is>
          <t>technosphere</t>
        </is>
      </c>
      <c r="G4073" t="inlineStr">
        <is>
          <t>electric motor, electric passenger car</t>
        </is>
      </c>
      <c r="H4073"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4073">
        <v>0</v>
      </c>
    </row>
    <row r="4074">
      <c r="A4074" t="inlineStr">
        <is>
          <t>market for converter, for electric passenger car</t>
        </is>
      </c>
      <c r="B4074">
        <v>3.4694115978364936e-05</v>
      </c>
      <c r="C4074" t="inlineStr">
        <is>
          <t>GLO</t>
        </is>
      </c>
      <c r="D4074" t="inlineStr">
        <is>
          <t>kilogram</t>
        </is>
      </c>
      <c r="F4074" t="inlineStr">
        <is>
          <t>technosphere</t>
        </is>
      </c>
      <c r="G4074" t="inlineStr">
        <is>
          <t>converter, for electric passenger car</t>
        </is>
      </c>
      <c r="H4074"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4074">
        <v>0</v>
      </c>
    </row>
    <row r="4075">
      <c r="A4075" t="inlineStr">
        <is>
          <t>Ammonia</t>
        </is>
      </c>
      <c r="B4075">
        <v>6.377421684981479e-08</v>
      </c>
      <c r="D4075" t="inlineStr">
        <is>
          <t>kilogram</t>
        </is>
      </c>
      <c r="E4075" t="inlineStr">
        <is>
          <t>air</t>
        </is>
      </c>
      <c r="F4075" t="inlineStr">
        <is>
          <t>biosphere</t>
        </is>
      </c>
      <c r="H4075" t="inlineStr">
        <is>
          <t>2.0E-05 kg/kg fuel for diesel locomotives, according to Spielmann et al. (2007)
Spielmann, M., Bauer, C., Dones, R., Institut, P. S., &amp; Tuchschmid, M. (2007). Transport Services. Swiss Centre for Life Cycle Inventories, ecoinvent report No. 14.</t>
        </is>
      </c>
      <c r="I4075">
        <v>0</v>
      </c>
    </row>
    <row r="4076">
      <c r="A4076" t="inlineStr">
        <is>
          <t>Benzene</t>
        </is>
      </c>
      <c r="B4076">
        <v>3.1887108424907397e-07</v>
      </c>
      <c r="D4076" t="inlineStr">
        <is>
          <t>kilogram</t>
        </is>
      </c>
      <c r="E4076" t="inlineStr">
        <is>
          <t>air</t>
        </is>
      </c>
      <c r="F4076" t="inlineStr">
        <is>
          <t>biosphere</t>
        </is>
      </c>
      <c r="H4076" t="inlineStr">
        <is>
          <t>1.0E-04 kg/kg fuel for diesel locomotives, according to Spielmann et al. (2007)
Spielmann, M., Bauer, C., Dones, R., Institut, P. S., &amp; Tuchschmid, M. (2007). Transport Services. Swiss Centre for Life Cycle Inventories, ecoinvent report No. 14.</t>
        </is>
      </c>
      <c r="I4076">
        <v>0</v>
      </c>
    </row>
    <row r="4077">
      <c r="A4077" t="inlineStr">
        <is>
          <t>Cadmium II</t>
        </is>
      </c>
      <c r="B4077">
        <v>3.1887108424907394e-11</v>
      </c>
      <c r="D4077" t="inlineStr">
        <is>
          <t>kilogram</t>
        </is>
      </c>
      <c r="E4077" t="inlineStr">
        <is>
          <t>air</t>
        </is>
      </c>
      <c r="F4077" t="inlineStr">
        <is>
          <t>biosphere</t>
        </is>
      </c>
      <c r="H4077" t="inlineStr">
        <is>
          <t>1.0E-08 kg/kg fuel for diesel locomotives, according to Spielmann et al. (2007)
Spielmann, M., Bauer, C., Dones, R., Institut, P. S., &amp; Tuchschmid, M. (2007). Transport Services. Swiss Centre for Life Cycle Inventories, ecoinvent report No. 14.</t>
        </is>
      </c>
      <c r="I4077">
        <v>0</v>
      </c>
    </row>
    <row r="4078">
      <c r="A4078" t="inlineStr">
        <is>
          <t>Carbon dioxide, fossil</t>
        </is>
      </c>
      <c r="B4078">
        <v>0.010031684310475865</v>
      </c>
      <c r="D4078" t="inlineStr">
        <is>
          <t>kilogram</t>
        </is>
      </c>
      <c r="E4078" t="inlineStr">
        <is>
          <t>air</t>
        </is>
      </c>
      <c r="F4078" t="inlineStr">
        <is>
          <t>biosphere</t>
        </is>
      </c>
      <c r="H4078" t="inlineStr">
        <is>
          <t>3.146 kg/kg fuel for diesel locomotives, according to Spielmann et al. (2007)
Spielmann, M., Bauer, C., Dones, R., Institut, P. S., &amp; Tuchschmid, M. (2007). Transport Services. Swiss Centre for Life Cycle Inventories, ecoinvent report No. 14.</t>
        </is>
      </c>
      <c r="I4078">
        <v>0</v>
      </c>
    </row>
    <row r="4079">
      <c r="A4079" t="inlineStr">
        <is>
          <t>Carbon monoxide, fossil</t>
        </is>
      </c>
      <c r="B4079">
        <v>5.038163131135368e-05</v>
      </c>
      <c r="D4079" t="inlineStr">
        <is>
          <t>kilogram</t>
        </is>
      </c>
      <c r="E4079" t="inlineStr">
        <is>
          <t>air</t>
        </is>
      </c>
      <c r="F4079" t="inlineStr">
        <is>
          <t>biosphere</t>
        </is>
      </c>
      <c r="H4079" t="inlineStr">
        <is>
          <t>1.58E-02 kg/kg fuel for diesel locomotives, according to Spielmann et al. (2007)
Spielmann, M., Bauer, C., Dones, R., Institut, P. S., &amp; Tuchschmid, M. (2007). Transport Services. Swiss Centre for Life Cycle Inventories, ecoinvent report No. 14.</t>
        </is>
      </c>
      <c r="I4079">
        <v>0</v>
      </c>
    </row>
    <row r="4080">
      <c r="A4080" t="inlineStr">
        <is>
          <t>Chromium III</t>
        </is>
      </c>
      <c r="B4080">
        <v>1.5943554212453697e-10</v>
      </c>
      <c r="D4080" t="inlineStr">
        <is>
          <t>kilogram</t>
        </is>
      </c>
      <c r="E4080" t="inlineStr">
        <is>
          <t>air</t>
        </is>
      </c>
      <c r="F4080" t="inlineStr">
        <is>
          <t>biosphere</t>
        </is>
      </c>
      <c r="H4080" t="inlineStr">
        <is>
          <t>5.0E-08 kg/kg fuel for diesel locomotives, according to Spielmann et al. (2007)
Spielmann, M., Bauer, C., Dones, R., Institut, P. S., &amp; Tuchschmid, M. (2007). Transport Services. Swiss Centre for Life Cycle Inventories, ecoinvent report No. 14.</t>
        </is>
      </c>
      <c r="I4080">
        <v>0</v>
      </c>
    </row>
    <row r="4081">
      <c r="A4081" t="inlineStr">
        <is>
          <t>Copper ion</t>
        </is>
      </c>
      <c r="B4081">
        <v>5.420808432234257e-09</v>
      </c>
      <c r="D4081" t="inlineStr">
        <is>
          <t>kilogram</t>
        </is>
      </c>
      <c r="E4081" t="inlineStr">
        <is>
          <t>air</t>
        </is>
      </c>
      <c r="F4081" t="inlineStr">
        <is>
          <t>biosphere</t>
        </is>
      </c>
      <c r="H4081" t="inlineStr">
        <is>
          <t>1.7E-06 kg/kg fuel for diesel locomotives, according to Spielmann et al. (2007)
Spielmann, M., Bauer, C., Dones, R., Institut, P. S., &amp; Tuchschmid, M. (2007). Transport Services. Swiss Centre for Life Cycle Inventories, ecoinvent report No. 14.</t>
        </is>
      </c>
      <c r="I4081">
        <v>0</v>
      </c>
    </row>
    <row r="4082">
      <c r="A4082" t="inlineStr">
        <is>
          <t>Dinitrogen monoxide</t>
        </is>
      </c>
      <c r="B4082">
        <v>3.1887108424907397e-07</v>
      </c>
      <c r="D4082" t="inlineStr">
        <is>
          <t>kilogram</t>
        </is>
      </c>
      <c r="E4082" t="inlineStr">
        <is>
          <t>air</t>
        </is>
      </c>
      <c r="F4082" t="inlineStr">
        <is>
          <t>biosphere</t>
        </is>
      </c>
      <c r="H4082" t="inlineStr">
        <is>
          <t>1.0E-04 kg/kg fuel for diesel locomotives, according to Spielmann et al. (2007)
Spielmann, M., Bauer, C., Dones, R., Institut, P. S., &amp; Tuchschmid, M. (2007). Transport Services. Swiss Centre for Life Cycle Inventories, ecoinvent report No. 14.</t>
        </is>
      </c>
      <c r="I4082">
        <v>0</v>
      </c>
    </row>
    <row r="4083">
      <c r="A4083" t="inlineStr">
        <is>
          <t>Iron ion</t>
        </is>
      </c>
      <c r="B4083">
        <v>5.840474807516273e-05</v>
      </c>
      <c r="D4083" t="inlineStr">
        <is>
          <t>kilogram</t>
        </is>
      </c>
      <c r="E4083" t="inlineStr">
        <is>
          <t>soil</t>
        </is>
      </c>
      <c r="F4083" t="inlineStr">
        <is>
          <t>biosphere</t>
        </is>
      </c>
      <c r="H4083"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83">
        <v>0</v>
      </c>
    </row>
    <row r="4084">
      <c r="A4084" t="inlineStr">
        <is>
          <t>Lead II</t>
        </is>
      </c>
      <c r="B4084">
        <v>3.5075819267398133e-13</v>
      </c>
      <c r="D4084" t="inlineStr">
        <is>
          <t>kilogram</t>
        </is>
      </c>
      <c r="E4084" t="inlineStr">
        <is>
          <t>air</t>
        </is>
      </c>
      <c r="F4084" t="inlineStr">
        <is>
          <t>biosphere</t>
        </is>
      </c>
      <c r="H4084" t="inlineStr">
        <is>
          <t>1.1E-10 kg/kg fuel for diesel locomotives, according to Spielmann et al. (2007)
Spielmann, M., Bauer, C., Dones, R., Institut, P. S., &amp; Tuchschmid, M. (2007). Transport Services. Swiss Centre for Life Cycle Inventories, ecoinvent report No. 14.</t>
        </is>
      </c>
      <c r="I4084">
        <v>0</v>
      </c>
    </row>
    <row r="4085">
      <c r="A4085" t="inlineStr">
        <is>
          <t>Mercury II</t>
        </is>
      </c>
      <c r="B4085">
        <v>6.377421684981477e-14</v>
      </c>
      <c r="D4085" t="inlineStr">
        <is>
          <t>kilogram</t>
        </is>
      </c>
      <c r="E4085" t="inlineStr">
        <is>
          <t>air</t>
        </is>
      </c>
      <c r="F4085" t="inlineStr">
        <is>
          <t>biosphere</t>
        </is>
      </c>
      <c r="H4085" t="inlineStr">
        <is>
          <t>2.0E-11 kg/kg fuel for diesel locomotives, according to Spielmann et al. (2007)
Spielmann, M., Bauer, C., Dones, R., Institut, P. S., &amp; Tuchschmid, M. (2007). Transport Services. Swiss Centre for Life Cycle Inventories, ecoinvent report No. 14.</t>
        </is>
      </c>
      <c r="I4085">
        <v>0</v>
      </c>
    </row>
    <row r="4086">
      <c r="A4086" t="inlineStr">
        <is>
          <t>Methane, fossil</t>
        </is>
      </c>
      <c r="B4086">
        <v>4.1453240952379607e-07</v>
      </c>
      <c r="D4086" t="inlineStr">
        <is>
          <t>kilogram</t>
        </is>
      </c>
      <c r="E4086" t="inlineStr">
        <is>
          <t>air</t>
        </is>
      </c>
      <c r="F4086" t="inlineStr">
        <is>
          <t>biosphere</t>
        </is>
      </c>
      <c r="H4086" t="inlineStr">
        <is>
          <t>1.3E-04 kg/kg fuel for diesel locomotives, according to Spielmann et al. (2007)
Spielmann, M., Bauer, C., Dones, R., Institut, P. S., &amp; Tuchschmid, M. (2007). Transport Services. Swiss Centre for Life Cycle Inventories, ecoinvent report No. 14.</t>
        </is>
      </c>
      <c r="I4086">
        <v>0</v>
      </c>
    </row>
    <row r="4087">
      <c r="A4087" t="inlineStr">
        <is>
          <t>NMVOC, non-methane volatile organic compounds</t>
        </is>
      </c>
      <c r="B4087">
        <v>1.6740731923076382e-05</v>
      </c>
      <c r="D4087" t="inlineStr">
        <is>
          <t>kilogram</t>
        </is>
      </c>
      <c r="E4087" t="inlineStr">
        <is>
          <t>air</t>
        </is>
      </c>
      <c r="F4087" t="inlineStr">
        <is>
          <t>biosphere</t>
        </is>
      </c>
      <c r="H4087" t="inlineStr">
        <is>
          <t>5.25E-03 kg/kg fuel for diesel locomotives, according to Spielmann et al. (2007)
Spielmann, M., Bauer, C., Dones, R., Institut, P. S., &amp; Tuchschmid, M. (2007). Transport Services. Swiss Centre for Life Cycle Inventories, ecoinvent report No. 14.</t>
        </is>
      </c>
      <c r="I4087">
        <v>0</v>
      </c>
    </row>
    <row r="4088">
      <c r="A4088" t="inlineStr">
        <is>
          <t>Nickel II</t>
        </is>
      </c>
      <c r="B4088">
        <v>2.2320975897435179e-10</v>
      </c>
      <c r="D4088" t="inlineStr">
        <is>
          <t>kilogram</t>
        </is>
      </c>
      <c r="E4088" t="inlineStr">
        <is>
          <t>air</t>
        </is>
      </c>
      <c r="F4088" t="inlineStr">
        <is>
          <t>biosphere</t>
        </is>
      </c>
      <c r="H4088" t="inlineStr">
        <is>
          <t>7.0E-08 kg/kg fuel for diesel locomotives, according to Spielmann et al. (2007)
Spielmann, M., Bauer, C., Dones, R., Institut, P. S., &amp; Tuchschmid, M. (2007). Transport Services. Swiss Centre for Life Cycle Inventories, ecoinvent report No. 14.</t>
        </is>
      </c>
      <c r="I4088">
        <v>0</v>
      </c>
    </row>
    <row r="4089">
      <c r="A4089" t="inlineStr">
        <is>
          <t>Nitrogen oxides</t>
        </is>
      </c>
      <c r="B4089">
        <v>0.00017537909633699066</v>
      </c>
      <c r="D4089" t="inlineStr">
        <is>
          <t>kilogram</t>
        </is>
      </c>
      <c r="E4089" t="inlineStr">
        <is>
          <t>air::unspecified</t>
        </is>
      </c>
      <c r="F4089" t="inlineStr">
        <is>
          <t>biosphere</t>
        </is>
      </c>
      <c r="H4089" t="inlineStr">
        <is>
          <t>5.5E-02 kg/kg fuel for diesel locomotives, according to Spielmann et al. (2007)
Spielmann, M., Bauer, C., Dones, R., Institut, P. S., &amp; Tuchschmid, M. (2007). Transport Services. Swiss Centre for Life Cycle Inventories, ecoinvent report No. 14.</t>
        </is>
      </c>
      <c r="I4089">
        <v>0</v>
      </c>
    </row>
    <row r="4090">
      <c r="A4090" t="inlineStr">
        <is>
          <t>Particulate Matter, &lt; 2.5 um</t>
        </is>
      </c>
      <c r="B4090">
        <v>3.922114336263609e-06</v>
      </c>
      <c r="D4090" t="inlineStr">
        <is>
          <t>kilogram</t>
        </is>
      </c>
      <c r="E4090" t="inlineStr">
        <is>
          <t>air</t>
        </is>
      </c>
      <c r="F4090" t="inlineStr">
        <is>
          <t>biosphere</t>
        </is>
      </c>
      <c r="H4090" t="inlineStr">
        <is>
          <t>1.28E-03 kg/kg fuel for diesel locomotives, according to Spielmann et al. (2007)
Spielmann, M., Bauer, C., Dones, R., Institut, P. S., &amp; Tuchschmid, M. (2007). Transport Services. Swiss Centre for Life Cycle Inventories, ecoinvent report No. 14.</t>
        </is>
      </c>
      <c r="I4090">
        <v>0</v>
      </c>
    </row>
    <row r="4091">
      <c r="A4091" t="inlineStr">
        <is>
          <t>Particulate Matter, &gt; 10 um</t>
        </is>
      </c>
      <c r="B4091">
        <v>8.35431280422189e-05</v>
      </c>
      <c r="D4091" t="inlineStr">
        <is>
          <t>kilogram</t>
        </is>
      </c>
      <c r="E4091" t="inlineStr">
        <is>
          <t>air</t>
        </is>
      </c>
      <c r="F4091" t="inlineStr">
        <is>
          <t>biosphere</t>
        </is>
      </c>
      <c r="H4091"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91">
        <v>0</v>
      </c>
    </row>
    <row r="4092">
      <c r="A4092" t="inlineStr">
        <is>
          <t>Particulate Matter, &gt; 2.5 um and &lt; 10um</t>
        </is>
      </c>
      <c r="B4092">
        <v>7.711517541701365e-05</v>
      </c>
      <c r="D4092" t="inlineStr">
        <is>
          <t>kilogram</t>
        </is>
      </c>
      <c r="E4092" t="inlineStr">
        <is>
          <t>air</t>
        </is>
      </c>
      <c r="F4092" t="inlineStr">
        <is>
          <t>biosphere</t>
        </is>
      </c>
      <c r="H4092"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92">
        <v>0</v>
      </c>
    </row>
    <row r="4093">
      <c r="A4093" t="inlineStr">
        <is>
          <t>Selenium IV</t>
        </is>
      </c>
      <c r="B4093">
        <v>3.1887108424907394e-11</v>
      </c>
      <c r="D4093" t="inlineStr">
        <is>
          <t>kilogram</t>
        </is>
      </c>
      <c r="E4093" t="inlineStr">
        <is>
          <t>air</t>
        </is>
      </c>
      <c r="F4093" t="inlineStr">
        <is>
          <t>biosphere</t>
        </is>
      </c>
      <c r="H4093" t="inlineStr">
        <is>
          <t>1.0E-08 kg/kg fuel for diesel locomotives, according to Spielmann et al. (2007)
Spielmann, M., Bauer, C., Dones, R., Institut, P. S., &amp; Tuchschmid, M. (2007). Transport Services. Swiss Centre for Life Cycle Inventories, ecoinvent report No. 14.</t>
        </is>
      </c>
      <c r="I4093">
        <v>0</v>
      </c>
    </row>
    <row r="4094">
      <c r="A4094" t="inlineStr">
        <is>
          <t>Sulfur dioxide</t>
        </is>
      </c>
      <c r="B4094">
        <v>1.9132265054944433e-06</v>
      </c>
      <c r="D4094" t="inlineStr">
        <is>
          <t>kilogram</t>
        </is>
      </c>
      <c r="E4094" t="inlineStr">
        <is>
          <t>air</t>
        </is>
      </c>
      <c r="F4094" t="inlineStr">
        <is>
          <t>biosphere</t>
        </is>
      </c>
      <c r="H4094" t="inlineStr">
        <is>
          <t>6.0E-04 kg/kg fuel for diesel locomotives, according to Spielmann et al. (2007)
Spielmann, M., Bauer, C., Dones, R., Institut, P. S., &amp; Tuchschmid, M. (2007). Transport Services. Swiss Centre for Life Cycle Inventories, ecoinvent report No. 14.</t>
        </is>
      </c>
      <c r="I4094">
        <v>0</v>
      </c>
    </row>
    <row r="4095">
      <c r="A4095" t="inlineStr">
        <is>
          <t>Sulfur hexafluoride</t>
        </is>
      </c>
      <c r="B4095">
        <v>1.4789589431936368e-08</v>
      </c>
      <c r="D4095" t="inlineStr">
        <is>
          <t>kilogram</t>
        </is>
      </c>
      <c r="E4095" t="inlineStr">
        <is>
          <t>air</t>
        </is>
      </c>
      <c r="F4095" t="inlineStr">
        <is>
          <t>biosphere</t>
        </is>
      </c>
      <c r="H4095"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4095">
        <v>0</v>
      </c>
    </row>
    <row r="4096">
      <c r="A4096" t="inlineStr">
        <is>
          <t>Toluene</t>
        </is>
      </c>
      <c r="B4096">
        <v>1.2754843369962958e-07</v>
      </c>
      <c r="D4096" t="inlineStr">
        <is>
          <t>kilogram</t>
        </is>
      </c>
      <c r="E4096" t="inlineStr">
        <is>
          <t>air</t>
        </is>
      </c>
      <c r="F4096" t="inlineStr">
        <is>
          <t>biosphere</t>
        </is>
      </c>
      <c r="H4096" t="inlineStr">
        <is>
          <t>4.0E-05 kg/kg fuel for diesel locomotives, according to Spielmann et al. (2007)
Spielmann, M., Bauer, C., Dones, R., Institut, P. S., &amp; Tuchschmid, M. (2007). Transport Services. Swiss Centre for Life Cycle Inventories, ecoinvent report No. 14.</t>
        </is>
      </c>
      <c r="I4096">
        <v>0</v>
      </c>
    </row>
    <row r="4097">
      <c r="A4097" t="inlineStr">
        <is>
          <t>Xylenes, unspecified</t>
        </is>
      </c>
      <c r="B4097">
        <v>1.2754843369962958e-07</v>
      </c>
      <c r="D4097" t="inlineStr">
        <is>
          <t>kilogram</t>
        </is>
      </c>
      <c r="E4097" t="inlineStr">
        <is>
          <t>air::unspecified</t>
        </is>
      </c>
      <c r="F4097" t="inlineStr">
        <is>
          <t>biosphere</t>
        </is>
      </c>
      <c r="H4097" t="inlineStr">
        <is>
          <t>4.0E-05 kg/kg fuel for diesel locomotives, according to Spielmann et al. (2007)
Spielmann, M., Bauer, C., Dones, R., Institut, P. S., &amp; Tuchschmid, M. (2007). Transport Services. Swiss Centre for Life Cycle Inventories, ecoinvent report No. 14.</t>
        </is>
      </c>
      <c r="I4097">
        <v>0</v>
      </c>
    </row>
    <row r="4098">
      <c r="A4098" t="inlineStr">
        <is>
          <t>Zinc II</t>
        </is>
      </c>
      <c r="B4098">
        <v>3.188710842490739e-09</v>
      </c>
      <c r="D4098" t="inlineStr">
        <is>
          <t>kilogram</t>
        </is>
      </c>
      <c r="E4098" t="inlineStr">
        <is>
          <t>air</t>
        </is>
      </c>
      <c r="F4098" t="inlineStr">
        <is>
          <t>biosphere</t>
        </is>
      </c>
      <c r="H4098" t="inlineStr">
        <is>
          <t>1.0E-06 kg/kg fuel for diesel locomotives, according to Spielmann et al. (2007)
Spielmann, M., Bauer, C., Dones, R., Institut, P. S., &amp; Tuchschmid, M. (2007). Transport Services. Swiss Centre for Life Cycle Inventories, ecoinvent report No. 14.</t>
        </is>
      </c>
      <c r="I4098">
        <v>0</v>
      </c>
    </row>
    <row r="4099"/>
    <row r="4100">
      <c r="A4100" t="inlineStr">
        <is>
          <t>Activity</t>
        </is>
      </c>
      <c r="B4100" t="inlineStr">
        <is>
          <t>hydrogen, used in a fuel cell in a passenger train</t>
        </is>
      </c>
    </row>
    <row r="4101">
      <c r="A4101" t="inlineStr">
        <is>
          <t>location</t>
        </is>
      </c>
      <c r="B4101" t="inlineStr">
        <is>
          <t>CH</t>
        </is>
      </c>
    </row>
    <row r="4102">
      <c r="A4102" t="inlineStr">
        <is>
          <t>production amount</t>
        </is>
      </c>
      <c r="B4102">
        <v>1</v>
      </c>
    </row>
    <row r="4103">
      <c r="A4103" t="inlineStr">
        <is>
          <t>reference product</t>
        </is>
      </c>
      <c r="B4103" t="inlineStr">
        <is>
          <t>heat</t>
        </is>
      </c>
    </row>
    <row r="4104">
      <c r="A4104" t="inlineStr">
        <is>
          <t>type</t>
        </is>
      </c>
      <c r="B4104" t="inlineStr">
        <is>
          <t>process</t>
        </is>
      </c>
    </row>
    <row r="4105">
      <c r="A4105" t="inlineStr">
        <is>
          <t>unit</t>
        </is>
      </c>
      <c r="B4105" t="inlineStr">
        <is>
          <t>megajoule</t>
        </is>
      </c>
    </row>
    <row r="4106">
      <c r="A4106" t="inlineStr">
        <is>
          <t>energy use source</t>
        </is>
      </c>
      <c r="B4106" t="inlineStr">
        <is>
          <t>{"alternative fuel recipe retained": false, "boundary": "energy-specific equipment; excludes chassis, body, roads and whole-vehicle maintenance", "excluded": [{"amount per vehicle": 1.0, "supplier": ["market for locomotive", "locomotive", "GLO", "unit"], "vehicle per source service": 7.11e-10}, {"amount per vehicle": 1.0, "supplier": ["market for goods wagon", "goods wagon", "GLO", "unit"], "vehicle per source service": 7.11e-10}, {"amount per source service": 7.11e-10, "supplier": "maintenance, locomotive"}, {"amount per source service": 4.59e-08, "supplier": "market for goods wagon"}, {"amount per source service": 4.59e-08, "supplier": "maintenance, goods wagon"}, {"amount per source service": 9.3e-05, "supplier": "market for railway track"}], "purchased MJ per source service": 0.3168841010348058, "retained equipment": [{"amount per MJ": 2.9729323652514984e-06, "amount per vehicle": 1325.0, "replacement correction factor": 1.0, "supplier": ["market for electric motor, electric passenger car", "electric motor, electric passenger car", "GLO", "kilogram"], "vehicle per source service": 7.11e-10}, {"amount per MJ": 5.1156873907723935e-06, "amount per vehicle": 2280.000000000002, "replacement correction factor": 1.0, "supplier": ["market for converter, for electric passenger car", "converter, for electric passenger car", "GLO", "kilogram"], "vehicle per source service": 7.11e-10}, {"amount per MJ": 1.5436811073909667e-05, "amount per vehicle": 6880.0, "replacement correction factor": 1.0, "supplier": ["fuel cell system assembly, 1 kWe, proton exchange membrane (PEM)", "fuel cell system, 1 kWe, proton exchange membrane (PEM)", "GLO", "unit"], "vehicle per source service": 7.11e-10}, {"amount per MJ": 6.803829612293808e-05, "amount per vehicle": 30323.84571428572, "replacement correction factor": 1.0, "supplier": ["Fuel tank, compressed hydrogen gas, 700bar, with aluminium liner", "hydrogen tank", "RER", "kilogram"], "vehicle per source service": 7.11e-10}, {"amount per MJ": 0.00015123644693884782, "amount per vehicle": 67404.25531914894, "replacement correction factor": 1.0, "supplier": ["market for battery cell, Li-ion, NMC622", "battery cell, Li-ion, NMC622", "GLO", "kilogram"], "vehicle per source service": 7.11e-10}], "source": ["transport, freight train, fuel cell, hydrogen", "transport, freight train", "Europe without Switzerland", "ton kilometer"], "source unit": "ton kilometer"}</t>
        </is>
      </c>
    </row>
    <row r="4107">
      <c r="A4107" t="inlineStr">
        <is>
          <t>comment</t>
        </is>
      </c>
      <c r="B4107" t="inlineStr">
        <is>
          <t>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4108">
      <c r="A4108" t="inlineStr">
        <is>
          <t>Exchanges</t>
        </is>
      </c>
    </row>
    <row r="4109">
      <c r="A4109" t="inlineStr">
        <is>
          <t>name</t>
        </is>
      </c>
      <c r="B4109" t="inlineStr">
        <is>
          <t>amount</t>
        </is>
      </c>
      <c r="C4109" t="inlineStr">
        <is>
          <t>location</t>
        </is>
      </c>
      <c r="D4109" t="inlineStr">
        <is>
          <t>unit</t>
        </is>
      </c>
      <c r="E4109" t="inlineStr">
        <is>
          <t>categories</t>
        </is>
      </c>
      <c r="F4109" t="inlineStr">
        <is>
          <t>type</t>
        </is>
      </c>
      <c r="G4109" t="inlineStr">
        <is>
          <t>reference product</t>
        </is>
      </c>
      <c r="H4109" t="inlineStr">
        <is>
          <t>comment</t>
        </is>
      </c>
      <c r="I4109" t="inlineStr">
        <is>
          <t>uncertainty type</t>
        </is>
      </c>
    </row>
    <row r="4110">
      <c r="A4110" t="inlineStr">
        <is>
          <t>hydrogen, used in a fuel cell in a passenger train</t>
        </is>
      </c>
      <c r="B4110">
        <v>1.0</v>
      </c>
      <c r="C4110" t="inlineStr">
        <is>
          <t>CH</t>
        </is>
      </c>
      <c r="D4110" t="inlineStr">
        <is>
          <t>megajoule</t>
        </is>
      </c>
      <c r="F4110" t="inlineStr">
        <is>
          <t>production</t>
        </is>
      </c>
      <c r="G4110" t="inlineStr">
        <is>
          <t>heat</t>
        </is>
      </c>
      <c r="I4110">
        <v>0</v>
      </c>
    </row>
    <row r="4111">
      <c r="A4111" t="inlineStr">
        <is>
          <t>market for hydrogen, gaseous, low pressure</t>
        </is>
      </c>
      <c r="B4111">
        <v>0.0012945987175919267</v>
      </c>
      <c r="C4111" t="inlineStr">
        <is>
          <t>CN</t>
        </is>
      </c>
      <c r="D4111" t="inlineStr">
        <is>
          <t>kilogram</t>
        </is>
      </c>
      <c r="F4111" t="inlineStr">
        <is>
          <t>technosphere</t>
        </is>
      </c>
      <c r="G4111" t="inlineStr">
        <is>
          <t>hydrogen, gaseous, low pressure</t>
        </is>
      </c>
      <c r="H411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4111">
        <v>0</v>
      </c>
    </row>
    <row r="4112">
      <c r="A4112" t="inlineStr">
        <is>
          <t>market for hydrogen, gaseous, low pressure</t>
        </is>
      </c>
      <c r="B4112">
        <v>0.005469534948887209</v>
      </c>
      <c r="C4112" t="inlineStr">
        <is>
          <t>RoW</t>
        </is>
      </c>
      <c r="D4112" t="inlineStr">
        <is>
          <t>kilogram</t>
        </is>
      </c>
      <c r="F4112" t="inlineStr">
        <is>
          <t>technosphere</t>
        </is>
      </c>
      <c r="G4112" t="inlineStr">
        <is>
          <t>hydrogen, gaseous, low pressure</t>
        </is>
      </c>
      <c r="H411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4112">
        <v>0</v>
      </c>
    </row>
    <row r="4113">
      <c r="A4113" t="inlineStr">
        <is>
          <t>market for hydrogen, gaseous, low pressure</t>
        </is>
      </c>
      <c r="B4113">
        <v>0.0007686670431839547</v>
      </c>
      <c r="C4113" t="inlineStr">
        <is>
          <t>RER</t>
        </is>
      </c>
      <c r="D4113" t="inlineStr">
        <is>
          <t>kilogram</t>
        </is>
      </c>
      <c r="F4113" t="inlineStr">
        <is>
          <t>technosphere</t>
        </is>
      </c>
      <c r="G4113" t="inlineStr">
        <is>
          <t>hydrogen, gaseous, low pressure</t>
        </is>
      </c>
      <c r="H411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4113">
        <v>0</v>
      </c>
    </row>
    <row r="4114">
      <c r="A4114" t="inlineStr">
        <is>
          <t>market for hydrogen, gaseous, low pressure</t>
        </is>
      </c>
      <c r="B4114">
        <v>0.000800532623670244</v>
      </c>
      <c r="C4114" t="inlineStr">
        <is>
          <t>US</t>
        </is>
      </c>
      <c r="D4114" t="inlineStr">
        <is>
          <t>kilogram</t>
        </is>
      </c>
      <c r="F4114" t="inlineStr">
        <is>
          <t>technosphere</t>
        </is>
      </c>
      <c r="G4114" t="inlineStr">
        <is>
          <t>hydrogen, gaseous, low pressure</t>
        </is>
      </c>
      <c r="H411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4114">
        <v>0</v>
      </c>
    </row>
    <row r="4115">
      <c r="A4115" t="inlineStr">
        <is>
          <t>market for diesel</t>
        </is>
      </c>
      <c r="B4115">
        <v>0.0021364277910731785</v>
      </c>
      <c r="C4115" t="inlineStr">
        <is>
          <t>Europe without Switzerland</t>
        </is>
      </c>
      <c r="D4115" t="inlineStr">
        <is>
          <t>kilogram</t>
        </is>
      </c>
      <c r="F4115" t="inlineStr">
        <is>
          <t>technosphere</t>
        </is>
      </c>
      <c r="G4115" t="inlineStr">
        <is>
          <t>diesel</t>
        </is>
      </c>
      <c r="H4115"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4115">
        <v>0</v>
      </c>
    </row>
    <row r="4116">
      <c r="A4116" t="inlineStr">
        <is>
          <t>market for electric motor, electric passenger car</t>
        </is>
      </c>
      <c r="B4116">
        <v>2.9729323652514984e-06</v>
      </c>
      <c r="C4116" t="inlineStr">
        <is>
          <t>GLO</t>
        </is>
      </c>
      <c r="D4116" t="inlineStr">
        <is>
          <t>kilogram</t>
        </is>
      </c>
      <c r="F4116" t="inlineStr">
        <is>
          <t>technosphere</t>
        </is>
      </c>
      <c r="G4116" t="inlineStr">
        <is>
          <t>electric motor, electric passenger car</t>
        </is>
      </c>
      <c r="H4116" t="inlineStr">
        <is>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4116">
        <v>0</v>
      </c>
    </row>
    <row r="4117">
      <c r="A4117" t="inlineStr">
        <is>
          <t>market for converter, for electric passenger car</t>
        </is>
      </c>
      <c r="B4117">
        <v>5.1156873907723935e-06</v>
      </c>
      <c r="C4117" t="inlineStr">
        <is>
          <t>GLO</t>
        </is>
      </c>
      <c r="D4117" t="inlineStr">
        <is>
          <t>kilogram</t>
        </is>
      </c>
      <c r="F4117" t="inlineStr">
        <is>
          <t>technosphere</t>
        </is>
      </c>
      <c r="G4117" t="inlineStr">
        <is>
          <t>converter, for electric passenger car</t>
        </is>
      </c>
      <c r="H4117"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4117">
        <v>0</v>
      </c>
    </row>
    <row r="4118">
      <c r="A4118" t="inlineStr">
        <is>
          <t>fuel cell system assembly, 1 kWe, proton exchange membrane (PEM)</t>
        </is>
      </c>
      <c r="B4118">
        <v>1.5436811073909667e-05</v>
      </c>
      <c r="C4118" t="inlineStr">
        <is>
          <t>GLO</t>
        </is>
      </c>
      <c r="D4118" t="inlineStr">
        <is>
          <t>unit</t>
        </is>
      </c>
      <c r="F4118" t="inlineStr">
        <is>
          <t>technosphere</t>
        </is>
      </c>
      <c r="G4118" t="inlineStr">
        <is>
          <t>fuel cell system, 1 kWe, proton exchange membrane (PEM)</t>
        </is>
      </c>
      <c r="H4118"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4118">
        <v>0</v>
      </c>
    </row>
    <row r="4119">
      <c r="A4119" t="inlineStr">
        <is>
          <t>Fuel tank, compressed hydrogen gas, 700bar, with aluminium liner</t>
        </is>
      </c>
      <c r="B4119">
        <v>6.803829612293808e-05</v>
      </c>
      <c r="C4119" t="inlineStr">
        <is>
          <t>RER</t>
        </is>
      </c>
      <c r="D4119" t="inlineStr">
        <is>
          <t>kilogram</t>
        </is>
      </c>
      <c r="F4119" t="inlineStr">
        <is>
          <t>technosphere</t>
        </is>
      </c>
      <c r="G4119" t="inlineStr">
        <is>
          <t>hydrogen tank</t>
        </is>
      </c>
      <c r="H4119"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4119">
        <v>0</v>
      </c>
    </row>
    <row r="4120">
      <c r="A4120" t="inlineStr">
        <is>
          <t>market for battery cell, Li-ion, NMC622</t>
        </is>
      </c>
      <c r="B4120">
        <v>0.00015123644693884782</v>
      </c>
      <c r="C4120" t="inlineStr">
        <is>
          <t>GLO</t>
        </is>
      </c>
      <c r="D4120" t="inlineStr">
        <is>
          <t>kilogram</t>
        </is>
      </c>
      <c r="F4120" t="inlineStr">
        <is>
          <t>technosphere</t>
        </is>
      </c>
      <c r="G4120" t="inlineStr">
        <is>
          <t>battery cell, Li-ion, NMC622</t>
        </is>
      </c>
      <c r="H4120"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4120">
        <v>0</v>
      </c>
    </row>
    <row r="4121">
      <c r="A4121" t="inlineStr">
        <is>
          <t>Water</t>
        </is>
      </c>
      <c r="B4121">
        <v>7.500000000000001e-05</v>
      </c>
      <c r="D4121" t="inlineStr">
        <is>
          <t>cubic meter</t>
        </is>
      </c>
      <c r="E4121" t="inlineStr">
        <is>
          <t>air</t>
        </is>
      </c>
      <c r="F4121" t="inlineStr">
        <is>
          <t>biosphere</t>
        </is>
      </c>
      <c r="H4121" t="inlineStr">
        <is>
          <t>9kg H2O per kg H2 converted.</t>
        </is>
      </c>
      <c r="I4121">
        <v>0</v>
      </c>
    </row>
    <row r="4122"/>
  </sheetData>
  <autoFilter ref="A1:O2320" ns2:uid="{00000000-0001-0000-0400-000000000000}"/>
  <pageMargins left="0.7" right="0.7" top="0.75" bottom="0.75" header="0.3" footer="0.3"/>
  <pageSetup orientation="portrait" horizontalDpi="300" verticalDpi="300" ns4: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8"/>
  <sheetViews>
    <sheetView workbookViewId="0">
      <selection activeCell="C29" sqref="C29"/>
    </sheetView>
  </sheetViews>
  <sheetFormatPr baseColWidth="10" defaultColWidth="8.83203125" defaultRowHeight="15" x14ac:dyDescent="0.2"/>
  <cols>
    <col min="1" max="1" width="34.5" bestFit="1" customWidth="1"/>
    <col min="2" max="2" width="50" customWidth="1"/>
    <col min="3" max="3" width="16.6640625" customWidth="1"/>
    <col min="4" max="4" width="22" customWidth="1"/>
    <col min="5" max="5" width="13.5" bestFit="1" customWidth="1"/>
    <col min="6" max="6" width="25.5" bestFit="1" customWidth="1"/>
    <col min="7" max="7" width="16" customWidth="1"/>
  </cols>
  <sheetData>
    <row r="1" spans="1:2" x14ac:dyDescent="0.2">
      <c r="A1" t="s">
        <v>22</v>
      </c>
    </row>
    <row r="2" spans="1:2" x14ac:dyDescent="0.2">
      <c r="A2" s="4" t="s">
        <v>42</v>
      </c>
    </row>
    <row r="3" spans="1:2" x14ac:dyDescent="0.2">
      <c r="A3" t="s">
        <v>23</v>
      </c>
      <c r="B3">
        <v>1.0550558999999999E-3</v>
      </c>
    </row>
    <row r="4" spans="1:2" x14ac:dyDescent="0.2">
      <c r="A4" t="s">
        <v>25</v>
      </c>
      <c r="B4">
        <v>3.7850000000000001</v>
      </c>
    </row>
    <row r="5" spans="1:2" x14ac:dyDescent="0.2">
      <c r="A5" t="s">
        <v>26</v>
      </c>
      <c r="B5">
        <v>29.7</v>
      </c>
    </row>
    <row r="6" spans="1:2" x14ac:dyDescent="0.2">
      <c r="A6" t="s">
        <v>112</v>
      </c>
      <c r="B6">
        <v>37.200000000000003</v>
      </c>
    </row>
    <row r="7" spans="1:2" x14ac:dyDescent="0.2">
      <c r="A7" t="s">
        <v>113</v>
      </c>
      <c r="B7">
        <v>43</v>
      </c>
    </row>
    <row r="8" spans="1:2" x14ac:dyDescent="0.2">
      <c r="A8" t="s">
        <v>29</v>
      </c>
      <c r="B8">
        <v>0.4536</v>
      </c>
    </row>
    <row r="9" spans="1:2" x14ac:dyDescent="0.2">
      <c r="A9" t="s">
        <v>31</v>
      </c>
      <c r="B9">
        <v>1.61</v>
      </c>
    </row>
    <row r="10" spans="1:2" x14ac:dyDescent="0.2">
      <c r="A10" t="s">
        <v>32</v>
      </c>
      <c r="B10">
        <f>1/39.37</f>
        <v>2.5400050800101603E-2</v>
      </c>
    </row>
    <row r="11" spans="1:2" x14ac:dyDescent="0.2">
      <c r="A11" t="s">
        <v>33</v>
      </c>
      <c r="B11">
        <v>10000</v>
      </c>
    </row>
    <row r="12" spans="1:2" x14ac:dyDescent="0.2">
      <c r="A12" t="s">
        <v>40</v>
      </c>
      <c r="B12">
        <v>0.78900000000000003</v>
      </c>
    </row>
    <row r="13" spans="1:2" x14ac:dyDescent="0.2">
      <c r="A13" t="s">
        <v>41</v>
      </c>
      <c r="B13">
        <v>4047</v>
      </c>
    </row>
    <row r="14" spans="1:2" x14ac:dyDescent="0.2">
      <c r="A14" t="s">
        <v>92</v>
      </c>
      <c r="B14">
        <v>0.52200000000000002</v>
      </c>
    </row>
    <row r="15" spans="1:2" x14ac:dyDescent="0.2">
      <c r="A15" t="s">
        <v>93</v>
      </c>
      <c r="B15">
        <f>B14*(44/12)</f>
        <v>1.9139999999999999</v>
      </c>
    </row>
    <row r="16" spans="1:2" x14ac:dyDescent="0.2">
      <c r="A16" t="s">
        <v>109</v>
      </c>
      <c r="B16">
        <v>2.85</v>
      </c>
    </row>
    <row r="17" spans="1:10" x14ac:dyDescent="0.2">
      <c r="A17" t="s">
        <v>114</v>
      </c>
      <c r="B17">
        <v>3.15</v>
      </c>
    </row>
    <row r="18" spans="1:10" x14ac:dyDescent="0.2">
      <c r="A18" t="s">
        <v>115</v>
      </c>
      <c r="B18">
        <v>0.90700000000000003</v>
      </c>
    </row>
    <row r="19" spans="1:10" x14ac:dyDescent="0.2">
      <c r="A19" s="4" t="s">
        <v>64</v>
      </c>
      <c r="G19" s="3"/>
    </row>
    <row r="20" spans="1:10" x14ac:dyDescent="0.2">
      <c r="A20" s="4" t="s">
        <v>14</v>
      </c>
      <c r="G20" s="3"/>
    </row>
    <row r="21" spans="1:10" x14ac:dyDescent="0.2">
      <c r="B21" s="5"/>
      <c r="C21" s="6" t="s">
        <v>43</v>
      </c>
      <c r="D21" s="7"/>
      <c r="E21" s="8"/>
      <c r="F21" s="8"/>
      <c r="G21" s="8"/>
      <c r="H21" s="19"/>
    </row>
    <row r="22" spans="1:10" x14ac:dyDescent="0.2">
      <c r="B22" s="9"/>
      <c r="C22" s="10" t="s">
        <v>44</v>
      </c>
      <c r="D22" s="11" t="s">
        <v>45</v>
      </c>
      <c r="E22" s="11" t="s">
        <v>46</v>
      </c>
      <c r="F22" s="11" t="s">
        <v>47</v>
      </c>
      <c r="G22" s="11" t="s">
        <v>48</v>
      </c>
      <c r="H22" s="20" t="s">
        <v>49</v>
      </c>
    </row>
    <row r="23" spans="1:10" x14ac:dyDescent="0.2">
      <c r="B23" s="12" t="s">
        <v>50</v>
      </c>
      <c r="C23" s="13">
        <v>1.7889999999999999</v>
      </c>
      <c r="D23" s="13">
        <v>1.7889999999999999</v>
      </c>
      <c r="E23" s="13">
        <v>1.7889999999999999</v>
      </c>
      <c r="F23" s="13">
        <v>1.7889999999999999</v>
      </c>
      <c r="G23" s="13">
        <v>1.7889999999999999</v>
      </c>
      <c r="H23" s="13">
        <v>1.7889999999999999</v>
      </c>
    </row>
    <row r="24" spans="1:10" x14ac:dyDescent="0.2">
      <c r="B24" s="12" t="s">
        <v>51</v>
      </c>
      <c r="C24" s="24">
        <v>80</v>
      </c>
      <c r="D24" s="26">
        <v>80</v>
      </c>
      <c r="E24" s="26">
        <v>80</v>
      </c>
      <c r="F24" s="26">
        <v>80</v>
      </c>
      <c r="G24" s="26">
        <v>80</v>
      </c>
      <c r="H24" s="26">
        <v>80</v>
      </c>
    </row>
    <row r="25" spans="1:10" x14ac:dyDescent="0.2">
      <c r="B25" s="34" t="s">
        <v>91</v>
      </c>
      <c r="C25" s="17">
        <f>8576/1000</f>
        <v>8.5760000000000005</v>
      </c>
      <c r="D25" s="17">
        <f>8823/1000</f>
        <v>8.8230000000000004</v>
      </c>
      <c r="E25" s="17">
        <f>7294/1000</f>
        <v>7.2939999999999996</v>
      </c>
      <c r="F25" s="17">
        <f>7451/1000</f>
        <v>7.4509999999999996</v>
      </c>
      <c r="G25" s="18">
        <f>7310/1000</f>
        <v>7.31</v>
      </c>
      <c r="H25" s="21">
        <f>7874/1000</f>
        <v>7.8739999999999997</v>
      </c>
    </row>
    <row r="27" spans="1:10" x14ac:dyDescent="0.2">
      <c r="C27" t="s">
        <v>8</v>
      </c>
      <c r="G27" s="3"/>
    </row>
    <row r="28" spans="1:10" x14ac:dyDescent="0.2">
      <c r="A28" t="s">
        <v>53</v>
      </c>
      <c r="B28">
        <v>2.36</v>
      </c>
      <c r="C28" t="s">
        <v>19</v>
      </c>
      <c r="J28">
        <f>1/0.013</f>
        <v>76.92307692307692</v>
      </c>
    </row>
    <row r="29" spans="1:10" x14ac:dyDescent="0.2">
      <c r="A29" t="s">
        <v>54</v>
      </c>
      <c r="B29">
        <v>0.107</v>
      </c>
      <c r="C29" t="s">
        <v>52</v>
      </c>
    </row>
    <row r="30" spans="1:10" x14ac:dyDescent="0.2">
      <c r="A30" t="s">
        <v>55</v>
      </c>
      <c r="B30">
        <v>0.82</v>
      </c>
      <c r="G30" s="3"/>
    </row>
    <row r="32" spans="1:10" x14ac:dyDescent="0.2">
      <c r="A32" t="s">
        <v>83</v>
      </c>
    </row>
    <row r="33" spans="1:8" x14ac:dyDescent="0.2">
      <c r="A33" t="s">
        <v>56</v>
      </c>
    </row>
    <row r="34" spans="1:8" x14ac:dyDescent="0.2">
      <c r="A34" t="s">
        <v>84</v>
      </c>
      <c r="B34" s="2">
        <f>((1/C24)/(B4*B12))*1000</f>
        <v>4.1856906305826644</v>
      </c>
      <c r="C34" t="s">
        <v>34</v>
      </c>
      <c r="F34" s="4" t="s">
        <v>65</v>
      </c>
      <c r="G34" s="4" t="s">
        <v>66</v>
      </c>
    </row>
    <row r="35" spans="1:8" x14ac:dyDescent="0.2">
      <c r="A35" t="s">
        <v>57</v>
      </c>
      <c r="D35" t="s">
        <v>60</v>
      </c>
      <c r="F35" t="s">
        <v>62</v>
      </c>
      <c r="G35" t="s">
        <v>67</v>
      </c>
    </row>
    <row r="36" spans="1:8" x14ac:dyDescent="0.2">
      <c r="A36" t="s">
        <v>63</v>
      </c>
      <c r="B36">
        <v>1</v>
      </c>
      <c r="C36" t="s">
        <v>34</v>
      </c>
      <c r="D36" s="2">
        <f>B36*($B$28/$B$4*$B$12*$B$30)</f>
        <v>0.40340100396301187</v>
      </c>
      <c r="E36" s="22" t="s">
        <v>61</v>
      </c>
      <c r="F36" s="23">
        <f>D36/(D36+D37)</f>
        <v>0.86288984699852078</v>
      </c>
      <c r="G36" s="23">
        <f>(B36*$B$5)/((B36*$B$5)+(B37*3.6))</f>
        <v>0.93230283093081379</v>
      </c>
    </row>
    <row r="37" spans="1:8" x14ac:dyDescent="0.2">
      <c r="A37" t="s">
        <v>58</v>
      </c>
      <c r="B37" s="2">
        <f>C23/(B4*B12)</f>
        <v>0.59905604304899096</v>
      </c>
      <c r="C37" t="s">
        <v>59</v>
      </c>
      <c r="D37" s="2">
        <f>B37*$B$29</f>
        <v>6.4098996606242034E-2</v>
      </c>
      <c r="E37" s="22" t="s">
        <v>61</v>
      </c>
      <c r="F37" s="23">
        <f>D37/(D37+D36)</f>
        <v>0.13711015300147925</v>
      </c>
      <c r="G37" s="23">
        <f>1-G36</f>
        <v>6.7697169069186214E-2</v>
      </c>
    </row>
    <row r="40" spans="1:8" x14ac:dyDescent="0.2">
      <c r="B40" s="5"/>
      <c r="C40" s="6" t="s">
        <v>43</v>
      </c>
      <c r="D40" s="12"/>
      <c r="E40" s="28"/>
      <c r="F40" s="28"/>
      <c r="G40" s="28"/>
      <c r="H40" s="28"/>
    </row>
    <row r="41" spans="1:8" x14ac:dyDescent="0.2">
      <c r="B41" s="9"/>
      <c r="C41" s="10" t="s">
        <v>69</v>
      </c>
      <c r="D41" s="29"/>
      <c r="E41" s="28"/>
      <c r="F41" s="28"/>
      <c r="G41" s="28"/>
      <c r="H41" s="28"/>
    </row>
    <row r="42" spans="1:8" x14ac:dyDescent="0.2">
      <c r="B42" s="12" t="s">
        <v>50</v>
      </c>
      <c r="C42" s="48">
        <v>4.673</v>
      </c>
      <c r="D42" s="13"/>
      <c r="E42" s="14"/>
      <c r="F42" s="14"/>
      <c r="G42" s="15"/>
      <c r="H42" s="15"/>
    </row>
    <row r="43" spans="1:8" x14ac:dyDescent="0.2">
      <c r="B43" s="12" t="s">
        <v>85</v>
      </c>
      <c r="C43" s="24">
        <v>21.4</v>
      </c>
      <c r="D43" s="24"/>
      <c r="E43" s="26"/>
      <c r="F43" s="26"/>
      <c r="G43" s="27"/>
      <c r="H43" s="27"/>
    </row>
    <row r="44" spans="1:8" x14ac:dyDescent="0.2">
      <c r="B44" s="34" t="s">
        <v>91</v>
      </c>
      <c r="C44" s="35">
        <f>14776/1000</f>
        <v>14.776</v>
      </c>
      <c r="D44" s="26"/>
      <c r="E44" s="26"/>
      <c r="F44" s="26"/>
      <c r="G44" s="27"/>
      <c r="H44" s="27"/>
    </row>
    <row r="47" spans="1:8" x14ac:dyDescent="0.2">
      <c r="A47" t="s">
        <v>74</v>
      </c>
    </row>
    <row r="48" spans="1:8" x14ac:dyDescent="0.2">
      <c r="A48" t="s">
        <v>56</v>
      </c>
    </row>
    <row r="49" spans="1:7" x14ac:dyDescent="0.2">
      <c r="A49" t="s">
        <v>86</v>
      </c>
      <c r="B49" s="2">
        <f>((1/B18/C43)/(B4*B12))*1000</f>
        <v>17.251865060258897</v>
      </c>
      <c r="C49" t="s">
        <v>34</v>
      </c>
      <c r="F49" s="4" t="s">
        <v>65</v>
      </c>
      <c r="G49" s="4" t="s">
        <v>66</v>
      </c>
    </row>
    <row r="50" spans="1:7" x14ac:dyDescent="0.2">
      <c r="A50" t="s">
        <v>57</v>
      </c>
      <c r="D50" t="s">
        <v>60</v>
      </c>
      <c r="F50" t="s">
        <v>62</v>
      </c>
      <c r="G50" t="s">
        <v>67</v>
      </c>
    </row>
    <row r="51" spans="1:7" x14ac:dyDescent="0.2">
      <c r="A51" t="s">
        <v>63</v>
      </c>
      <c r="B51">
        <v>1</v>
      </c>
      <c r="C51" t="s">
        <v>34</v>
      </c>
      <c r="D51" s="2">
        <f>B51*($B$28/$B$4*$B$12*$B$30)</f>
        <v>0.40340100396301187</v>
      </c>
      <c r="E51" s="22" t="s">
        <v>61</v>
      </c>
      <c r="F51" s="23">
        <f>D51/(D51+D52)</f>
        <v>0.70668915382489195</v>
      </c>
      <c r="G51" s="23">
        <f>(B51*$B$5)/((B51*$B$5)+(B52*3.6))</f>
        <v>0.84056914053315945</v>
      </c>
    </row>
    <row r="52" spans="1:7" x14ac:dyDescent="0.2">
      <c r="A52" t="s">
        <v>58</v>
      </c>
      <c r="B52" s="2">
        <f>C42/(B4*B12)</f>
        <v>1.5647785853370233</v>
      </c>
      <c r="C52" t="s">
        <v>59</v>
      </c>
      <c r="D52" s="2">
        <f>B52*$B$29</f>
        <v>0.16743130863106148</v>
      </c>
      <c r="E52" s="22" t="s">
        <v>61</v>
      </c>
      <c r="F52" s="23">
        <f>D52/(D52+D51)</f>
        <v>0.29331084617510816</v>
      </c>
      <c r="G52" s="23">
        <f>1-G51</f>
        <v>0.15943085946684055</v>
      </c>
    </row>
    <row r="56" spans="1:7" x14ac:dyDescent="0.2">
      <c r="B56" s="5"/>
      <c r="C56" s="6" t="s">
        <v>43</v>
      </c>
      <c r="D56" s="7"/>
      <c r="E56" s="7"/>
      <c r="F56" s="32"/>
    </row>
    <row r="57" spans="1:7" x14ac:dyDescent="0.2">
      <c r="B57" s="9"/>
      <c r="C57" s="10" t="s">
        <v>87</v>
      </c>
      <c r="D57" t="s">
        <v>88</v>
      </c>
      <c r="E57" t="s">
        <v>89</v>
      </c>
      <c r="F57" s="33" t="s">
        <v>90</v>
      </c>
    </row>
    <row r="58" spans="1:7" x14ac:dyDescent="0.2">
      <c r="B58" s="12" t="s">
        <v>50</v>
      </c>
      <c r="C58" s="24">
        <v>0</v>
      </c>
      <c r="D58" s="7">
        <v>0</v>
      </c>
      <c r="E58" s="7">
        <v>13.59</v>
      </c>
      <c r="F58" s="32">
        <v>2.4900000000000002</v>
      </c>
    </row>
    <row r="59" spans="1:7" x14ac:dyDescent="0.2">
      <c r="B59" s="12" t="s">
        <v>85</v>
      </c>
      <c r="C59" s="25">
        <f>2.84/B10</f>
        <v>111.81079999999999</v>
      </c>
      <c r="D59" s="30">
        <f>2.81/B10</f>
        <v>110.62969999999999</v>
      </c>
      <c r="E59" s="2">
        <v>9.57</v>
      </c>
      <c r="F59" s="33">
        <v>17.21</v>
      </c>
    </row>
    <row r="60" spans="1:7" x14ac:dyDescent="0.2">
      <c r="B60" s="12" t="s">
        <v>96</v>
      </c>
      <c r="C60" s="36">
        <f>5.63*B8</f>
        <v>2.5537679999999998</v>
      </c>
      <c r="D60">
        <v>5.63</v>
      </c>
      <c r="E60">
        <v>0</v>
      </c>
      <c r="F60" s="33">
        <v>0</v>
      </c>
    </row>
    <row r="61" spans="1:7" x14ac:dyDescent="0.2">
      <c r="B61" s="46" t="s">
        <v>97</v>
      </c>
      <c r="C61" s="2"/>
      <c r="E61">
        <v>16.3</v>
      </c>
      <c r="F61" s="33"/>
    </row>
    <row r="62" spans="1:7" x14ac:dyDescent="0.2">
      <c r="B62" s="46" t="s">
        <v>102</v>
      </c>
      <c r="C62" s="2">
        <v>0.54</v>
      </c>
      <c r="F62" s="33"/>
    </row>
    <row r="63" spans="1:7" x14ac:dyDescent="0.2">
      <c r="B63" s="34" t="s">
        <v>91</v>
      </c>
      <c r="C63" s="31">
        <v>2.36</v>
      </c>
      <c r="D63" s="31"/>
      <c r="E63" s="37">
        <f>25362/1000</f>
        <v>25.361999999999998</v>
      </c>
      <c r="F63" s="38">
        <f>11023/1000</f>
        <v>11.023</v>
      </c>
    </row>
    <row r="64" spans="1:7" x14ac:dyDescent="0.2">
      <c r="B64" s="39" t="s">
        <v>94</v>
      </c>
      <c r="C64" s="40">
        <v>0.84699999999999998</v>
      </c>
      <c r="D64" s="40">
        <v>0.80100000000000005</v>
      </c>
      <c r="E64" s="41">
        <v>0.98</v>
      </c>
      <c r="F64" s="42">
        <v>0.93500000000000005</v>
      </c>
    </row>
    <row r="65" spans="1:6" x14ac:dyDescent="0.2">
      <c r="B65" s="34" t="s">
        <v>95</v>
      </c>
      <c r="C65" s="43">
        <v>0.64400000000000002</v>
      </c>
      <c r="D65" s="43">
        <v>0.60899999999999999</v>
      </c>
      <c r="E65" s="44">
        <v>0.96799999999999997</v>
      </c>
      <c r="F65" s="45">
        <v>0.90100000000000002</v>
      </c>
    </row>
    <row r="67" spans="1:6" x14ac:dyDescent="0.2">
      <c r="C67" t="s">
        <v>99</v>
      </c>
      <c r="D67" t="s">
        <v>100</v>
      </c>
      <c r="E67" t="s">
        <v>101</v>
      </c>
    </row>
    <row r="68" spans="1:6" x14ac:dyDescent="0.2">
      <c r="B68" t="s">
        <v>98</v>
      </c>
      <c r="C68">
        <v>3.03</v>
      </c>
      <c r="D68">
        <v>7.53</v>
      </c>
      <c r="E68">
        <v>0</v>
      </c>
    </row>
    <row r="78" spans="1:6" x14ac:dyDescent="0.2">
      <c r="A78" s="4" t="s">
        <v>68</v>
      </c>
    </row>
    <row r="79" spans="1:6" x14ac:dyDescent="0.2">
      <c r="A79" s="4" t="s">
        <v>14</v>
      </c>
    </row>
    <row r="81" spans="1:7" x14ac:dyDescent="0.2">
      <c r="B81" s="9"/>
      <c r="C81" s="10" t="s">
        <v>71</v>
      </c>
      <c r="D81" s="11" t="s">
        <v>72</v>
      </c>
    </row>
    <row r="82" spans="1:7" x14ac:dyDescent="0.2">
      <c r="B82" s="12" t="s">
        <v>73</v>
      </c>
      <c r="C82" s="24">
        <v>26.1</v>
      </c>
      <c r="D82" s="26">
        <f>(0.13*B5/B12)/3.6</f>
        <v>1.3593155893536122</v>
      </c>
    </row>
    <row r="83" spans="1:7" x14ac:dyDescent="0.2">
      <c r="B83" s="9" t="s">
        <v>70</v>
      </c>
      <c r="C83" s="16">
        <v>85.2</v>
      </c>
      <c r="D83" s="17">
        <f>(1/0.01808)/B5/B12</f>
        <v>2.3603049725507863</v>
      </c>
    </row>
    <row r="85" spans="1:7" x14ac:dyDescent="0.2">
      <c r="A85" t="s">
        <v>74</v>
      </c>
    </row>
    <row r="86" spans="1:7" x14ac:dyDescent="0.2">
      <c r="A86" t="s">
        <v>56</v>
      </c>
    </row>
    <row r="87" spans="1:7" x14ac:dyDescent="0.2">
      <c r="A87" t="s">
        <v>76</v>
      </c>
      <c r="B87">
        <v>1000</v>
      </c>
      <c r="F87" s="4" t="s">
        <v>65</v>
      </c>
      <c r="G87" s="4" t="s">
        <v>66</v>
      </c>
    </row>
    <row r="88" spans="1:7" x14ac:dyDescent="0.2">
      <c r="A88" t="s">
        <v>75</v>
      </c>
      <c r="D88" t="s">
        <v>60</v>
      </c>
      <c r="F88" t="s">
        <v>62</v>
      </c>
      <c r="G88" t="s">
        <v>67</v>
      </c>
    </row>
    <row r="89" spans="1:7" x14ac:dyDescent="0.2">
      <c r="A89" t="s">
        <v>77</v>
      </c>
      <c r="B89" s="27">
        <f>C83*B12</f>
        <v>67.222800000000007</v>
      </c>
      <c r="C89" t="s">
        <v>34</v>
      </c>
      <c r="D89" s="2">
        <f>B89*(B28/B4*B12*B30)</f>
        <v>27.117745009204757</v>
      </c>
      <c r="E89" s="22" t="s">
        <v>61</v>
      </c>
      <c r="F89" s="23">
        <f>D89/(D89+D90)</f>
        <v>0.90663127883451533</v>
      </c>
      <c r="G89" s="23">
        <f>(B89*$B$5)/((B89*$B$5)+(B90*3.6))</f>
        <v>0.9550533238067046</v>
      </c>
    </row>
    <row r="90" spans="1:7" x14ac:dyDescent="0.2">
      <c r="A90" t="s">
        <v>78</v>
      </c>
      <c r="B90" s="27">
        <f>C82</f>
        <v>26.1</v>
      </c>
      <c r="C90" t="s">
        <v>59</v>
      </c>
      <c r="D90" s="2">
        <f>B90*B29</f>
        <v>2.7927</v>
      </c>
      <c r="E90" s="22" t="s">
        <v>61</v>
      </c>
      <c r="F90" s="23">
        <f>D90/(D90+D89)</f>
        <v>9.3368721165484614E-2</v>
      </c>
      <c r="G90" s="23">
        <f>1-G89</f>
        <v>4.4946676193295398E-2</v>
      </c>
    </row>
    <row r="93" spans="1:7" x14ac:dyDescent="0.2">
      <c r="A93" t="s">
        <v>79</v>
      </c>
    </row>
    <row r="94" spans="1:7" x14ac:dyDescent="0.2">
      <c r="A94" t="s">
        <v>56</v>
      </c>
    </row>
    <row r="95" spans="1:7" x14ac:dyDescent="0.2">
      <c r="A95" t="s">
        <v>80</v>
      </c>
      <c r="B95">
        <v>1000</v>
      </c>
      <c r="F95" s="4" t="s">
        <v>65</v>
      </c>
      <c r="G95" s="4" t="s">
        <v>66</v>
      </c>
    </row>
    <row r="96" spans="1:7" x14ac:dyDescent="0.2">
      <c r="A96" t="s">
        <v>75</v>
      </c>
      <c r="D96" t="s">
        <v>60</v>
      </c>
      <c r="F96" t="s">
        <v>62</v>
      </c>
      <c r="G96" t="s">
        <v>67</v>
      </c>
    </row>
    <row r="97" spans="1:7" x14ac:dyDescent="0.2">
      <c r="A97" t="s">
        <v>77</v>
      </c>
      <c r="B97" s="27">
        <f>D83*1000</f>
        <v>2360.3049725507863</v>
      </c>
      <c r="C97" t="s">
        <v>34</v>
      </c>
      <c r="D97" s="2">
        <f>B97*(B28/B4*B12*B30)</f>
        <v>952.14939558587639</v>
      </c>
      <c r="E97" s="22" t="s">
        <v>61</v>
      </c>
      <c r="F97" s="23">
        <f>D97/(D97+D98)</f>
        <v>0.73499615836189169</v>
      </c>
      <c r="G97" s="23">
        <f>(B97*$B$5)/((B97*$B$5)+(B98*3.6))</f>
        <v>0.85854189336235043</v>
      </c>
    </row>
    <row r="98" spans="1:7" x14ac:dyDescent="0.2">
      <c r="A98" t="s">
        <v>78</v>
      </c>
      <c r="B98" s="27">
        <f>D82*B97</f>
        <v>3208.3993448171336</v>
      </c>
      <c r="C98" t="s">
        <v>59</v>
      </c>
      <c r="D98" s="2">
        <f>B98*B29</f>
        <v>343.29872989543327</v>
      </c>
      <c r="E98" s="22" t="s">
        <v>61</v>
      </c>
      <c r="F98" s="23">
        <f>D98/(D98+D97)</f>
        <v>0.26500384163810831</v>
      </c>
      <c r="G98" s="23">
        <f>1-G97</f>
        <v>0.14145810663764957</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lci</vt:lpstr>
      <vt:lpstr>Parameters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2021-01-18T11:29:07Z</dcterms:created>
  <dcterms:modified xsi:type="dcterms:W3CDTF">2025-08-26T10:13:08Z</dcterms:modified>
</cp:coreProperties>
</file>