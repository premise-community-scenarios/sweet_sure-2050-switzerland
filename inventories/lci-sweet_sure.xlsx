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romain/GitHub/sweet_sure-2050-switzerland/inventories/"/>
    </mc:Choice>
  </mc:AlternateContent>
  <xr:revisionPtr revIDLastSave="0" documentId="13_ncr:1_{9634B431-0EB6-D549-BDA6-71D2490A93EB}" xr6:coauthVersionLast="47" xr6:coauthVersionMax="47" xr10:uidLastSave="{00000000-0000-0000-0000-000000000000}"/>
  <bookViews>
    <workbookView xWindow="42740" yWindow="-580" windowWidth="25800" windowHeight="18880" xr2:uid="{00000000-000D-0000-FFFF-FFFF00000000}"/>
  </bookViews>
  <sheets>
    <sheet name="lci" sheetId="6" r:id="rId1"/>
    <sheet name="Parameters" sheetId="2" r:id="rId2"/>
  </sheets>
  <definedNames>
    <definedName name="_xlnm._FilterDatabase" localSheetId="0" hidden="1">lci!$A$1:$O$2320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K1870" i="6" l="1"/>
  <c r="J1870" i="6"/>
  <c r="B1870" i="6"/>
  <c r="I1870" i="6"/>
  <c r="I2007" i="6"/>
  <c r="K2007" i="6" s="1"/>
  <c r="I2038" i="6"/>
  <c r="J2039" i="6"/>
  <c r="I2039" i="6"/>
  <c r="J2073" i="6"/>
  <c r="I2073" i="6"/>
  <c r="J2074" i="6"/>
  <c r="I2074" i="6"/>
  <c r="H2074" i="6"/>
  <c r="J2075" i="6"/>
  <c r="I2075" i="6"/>
  <c r="H2075" i="6"/>
  <c r="J2076" i="6"/>
  <c r="I2076" i="6"/>
  <c r="H2076" i="6"/>
  <c r="J2077" i="6"/>
  <c r="I2077" i="6"/>
  <c r="J2078" i="6"/>
  <c r="I2078" i="6"/>
  <c r="H2077" i="6"/>
  <c r="J2095" i="6"/>
  <c r="I2095" i="6"/>
  <c r="H2095" i="6"/>
  <c r="J2094" i="6"/>
  <c r="I2094" i="6"/>
  <c r="H2094" i="6"/>
  <c r="J2093" i="6"/>
  <c r="I2093" i="6"/>
  <c r="H2093" i="6"/>
  <c r="J2096" i="6"/>
  <c r="I2096" i="6"/>
  <c r="H2096" i="6"/>
  <c r="J2097" i="6"/>
  <c r="I2097" i="6"/>
  <c r="L2121" i="6"/>
  <c r="K2121" i="6"/>
  <c r="L2136" i="6"/>
  <c r="K2136" i="6"/>
  <c r="K2202" i="6"/>
  <c r="J2202" i="6"/>
  <c r="I2202" i="6"/>
  <c r="K2254" i="6"/>
  <c r="J2254" i="6"/>
  <c r="I2254" i="6"/>
  <c r="K2255" i="6"/>
  <c r="J2255" i="6"/>
  <c r="I2255" i="6"/>
  <c r="I2256" i="6"/>
  <c r="K2256" i="6"/>
  <c r="J2256" i="6"/>
  <c r="I2257" i="6"/>
  <c r="K2257" i="6"/>
  <c r="J2257" i="6"/>
  <c r="K2273" i="6"/>
  <c r="J2273" i="6"/>
  <c r="I2273" i="6"/>
  <c r="K2274" i="6"/>
  <c r="J2274" i="6"/>
  <c r="I2274" i="6"/>
  <c r="K2275" i="6"/>
  <c r="J2275" i="6"/>
  <c r="I2275" i="6"/>
  <c r="K2277" i="6"/>
  <c r="J2277" i="6"/>
  <c r="K2278" i="6"/>
  <c r="J2278" i="6"/>
  <c r="J2279" i="6"/>
  <c r="K2279" i="6"/>
  <c r="B2279" i="6"/>
  <c r="I2277" i="6"/>
  <c r="K2295" i="6"/>
  <c r="J2295" i="6"/>
  <c r="I2295" i="6"/>
  <c r="K2296" i="6"/>
  <c r="J2296" i="6"/>
  <c r="K1897" i="6"/>
  <c r="J1897" i="6"/>
  <c r="I1897" i="6"/>
  <c r="J1899" i="6"/>
  <c r="K1899" i="6"/>
  <c r="I1899" i="6"/>
  <c r="J1934" i="6"/>
  <c r="K1934" i="6"/>
  <c r="I1934" i="6"/>
  <c r="K1932" i="6"/>
  <c r="J1932" i="6"/>
  <c r="I1932" i="6"/>
  <c r="J2038" i="6"/>
  <c r="H2038" i="6"/>
  <c r="J2037" i="6"/>
  <c r="I2037" i="6"/>
  <c r="H2037" i="6"/>
  <c r="J2036" i="6"/>
  <c r="I2036" i="6"/>
  <c r="H2036" i="6"/>
  <c r="J2035" i="6"/>
  <c r="I2035" i="6"/>
  <c r="H2035" i="6"/>
  <c r="K1931" i="6"/>
  <c r="J1931" i="6"/>
  <c r="B1931" i="6"/>
  <c r="I1931" i="6"/>
  <c r="K1871" i="6"/>
  <c r="J1871" i="6"/>
  <c r="I1896" i="6"/>
  <c r="K1896" i="6"/>
  <c r="J1896" i="6"/>
  <c r="B1896" i="6"/>
  <c r="I1898" i="6"/>
  <c r="K1898" i="6"/>
  <c r="J1898" i="6"/>
  <c r="B1898" i="6"/>
  <c r="K1901" i="6"/>
  <c r="K1900" i="6"/>
  <c r="J1901" i="6"/>
  <c r="J1900" i="6"/>
  <c r="I1901" i="6"/>
  <c r="B1901" i="6"/>
  <c r="B1613" i="6"/>
  <c r="G2355" i="6"/>
  <c r="E2355" i="6"/>
  <c r="A2355" i="6"/>
  <c r="G2343" i="6"/>
  <c r="E2343" i="6"/>
  <c r="A2343" i="6"/>
  <c r="G2331" i="6"/>
  <c r="E2331" i="6"/>
  <c r="A2331" i="6"/>
  <c r="J2007" i="6" l="1"/>
  <c r="I2279" i="6"/>
  <c r="K2258" i="6"/>
  <c r="J2258" i="6"/>
  <c r="B2258" i="6"/>
  <c r="I2258" i="6" s="1"/>
  <c r="B2136" i="6"/>
  <c r="J2136" i="6" s="1"/>
  <c r="B2121" i="6"/>
  <c r="J2121" i="6" s="1"/>
  <c r="B2078" i="6" l="1"/>
  <c r="H2078" i="6" s="1"/>
  <c r="B2097" i="6"/>
  <c r="H2097" i="6" s="1"/>
  <c r="B2039" i="6"/>
  <c r="H2039" i="6" s="1"/>
  <c r="K1935" i="6"/>
  <c r="J1935" i="6"/>
  <c r="B1935" i="6"/>
  <c r="I1935" i="6" s="1"/>
  <c r="B1900" i="6"/>
  <c r="I1900" i="6" s="1"/>
  <c r="B1377" i="6"/>
  <c r="B1639" i="6"/>
  <c r="B1588" i="6"/>
  <c r="B1510" i="6"/>
  <c r="B1577" i="6"/>
  <c r="B1499" i="6"/>
  <c r="B1256" i="6"/>
  <c r="B782" i="6"/>
  <c r="B1098" i="6"/>
  <c r="B940" i="6"/>
  <c r="B624" i="6"/>
  <c r="B171" i="6"/>
  <c r="B473" i="6"/>
  <c r="B322" i="6"/>
  <c r="B1354" i="6"/>
  <c r="B1488" i="6"/>
  <c r="B1466" i="6"/>
  <c r="B1740" i="6"/>
  <c r="B1729" i="6"/>
  <c r="B1751" i="6"/>
  <c r="B1532" i="6"/>
  <c r="B1422" i="6"/>
  <c r="B2107" i="6"/>
  <c r="B1871" i="6"/>
  <c r="I1871" i="6" s="1"/>
  <c r="K1937" i="6"/>
  <c r="J1937" i="6"/>
  <c r="B1937" i="6"/>
  <c r="K1936" i="6"/>
  <c r="J1936" i="6"/>
  <c r="B1936" i="6"/>
  <c r="I1936" i="6" s="1"/>
  <c r="B2296" i="6"/>
  <c r="I2296" i="6" s="1"/>
  <c r="B2278" i="6"/>
  <c r="I2278" i="6" s="1"/>
  <c r="K2276" i="6"/>
  <c r="J2276" i="6"/>
  <c r="B2276" i="6"/>
  <c r="I2276" i="6" s="1"/>
  <c r="L2133" i="6" l="1"/>
  <c r="I1937" i="6"/>
  <c r="B2133" i="6"/>
  <c r="J2133" i="6" s="1"/>
  <c r="K2133" i="6"/>
  <c r="B2073" i="6"/>
  <c r="H2073" i="6" s="1"/>
  <c r="J2072" i="6"/>
  <c r="I2072" i="6"/>
  <c r="B2072" i="6"/>
  <c r="H2072" i="6" s="1"/>
  <c r="K2006" i="6"/>
  <c r="J2006" i="6"/>
  <c r="B2006" i="6"/>
  <c r="I2006" i="6" s="1"/>
  <c r="B19" i="6" l="1"/>
  <c r="B1916" i="6"/>
  <c r="B1915" i="6"/>
  <c r="B1914" i="6"/>
  <c r="D1912" i="6"/>
  <c r="C1912" i="6"/>
  <c r="A1912" i="6"/>
  <c r="B1905" i="6"/>
  <c r="H1912" i="6" s="1"/>
  <c r="B2294" i="6"/>
  <c r="B2272" i="6"/>
  <c r="B2204" i="6"/>
  <c r="B2147" i="6"/>
  <c r="G2146" i="6"/>
  <c r="D2146" i="6"/>
  <c r="C2146" i="6"/>
  <c r="A2146" i="6"/>
  <c r="B2135" i="6"/>
  <c r="B2119" i="6"/>
  <c r="B2092" i="6"/>
  <c r="B2071" i="6"/>
  <c r="B1928" i="6"/>
  <c r="B2040" i="6"/>
  <c r="H2040" i="6" s="1"/>
  <c r="B2034" i="6"/>
  <c r="B2005" i="6"/>
  <c r="B1952" i="6"/>
  <c r="B1961" i="6" s="1"/>
  <c r="L2134" i="6" l="1"/>
  <c r="B2134" i="6"/>
  <c r="J2134" i="6" s="1"/>
  <c r="K2134" i="6"/>
  <c r="J2040" i="6"/>
  <c r="I2040" i="6"/>
  <c r="B1895" i="6" l="1"/>
  <c r="B1930" i="6"/>
  <c r="G1927" i="6"/>
  <c r="D1927" i="6"/>
  <c r="C1927" i="6"/>
  <c r="A1927" i="6"/>
  <c r="G1894" i="6"/>
  <c r="D1894" i="6"/>
  <c r="C1894" i="6"/>
  <c r="A1894" i="6"/>
  <c r="B1869" i="6"/>
  <c r="G1868" i="6"/>
  <c r="D1868" i="6"/>
  <c r="C1868" i="6"/>
  <c r="A1868" i="6"/>
  <c r="B1814" i="6"/>
  <c r="B1813" i="6"/>
  <c r="G1812" i="6"/>
  <c r="D1812" i="6"/>
  <c r="C1812" i="6"/>
  <c r="A1812" i="6"/>
  <c r="B1764" i="6"/>
  <c r="B1763" i="6"/>
  <c r="B1773" i="6" s="1"/>
  <c r="G1762" i="6"/>
  <c r="D1762" i="6"/>
  <c r="C1762" i="6"/>
  <c r="A1762" i="6"/>
  <c r="B1929" i="6" l="1"/>
  <c r="A1728" i="6" l="1"/>
  <c r="C1728" i="6"/>
  <c r="D1728" i="6"/>
  <c r="H1728" i="6"/>
  <c r="A1739" i="6"/>
  <c r="C1739" i="6"/>
  <c r="D1739" i="6"/>
  <c r="H1739" i="6"/>
  <c r="A1750" i="6"/>
  <c r="C1750" i="6"/>
  <c r="D1750" i="6"/>
  <c r="H1750" i="6"/>
  <c r="B1706" i="6"/>
  <c r="B1695" i="6"/>
  <c r="B1673" i="6"/>
  <c r="B1662" i="6"/>
  <c r="B1718" i="6"/>
  <c r="H1717" i="6"/>
  <c r="D1717" i="6"/>
  <c r="C1717" i="6"/>
  <c r="A1717" i="6"/>
  <c r="H1705" i="6"/>
  <c r="D1705" i="6"/>
  <c r="C1705" i="6"/>
  <c r="A1705" i="6"/>
  <c r="H1694" i="6"/>
  <c r="D1694" i="6"/>
  <c r="C1694" i="6"/>
  <c r="A1694" i="6"/>
  <c r="H1683" i="6"/>
  <c r="D1683" i="6"/>
  <c r="C1683" i="6"/>
  <c r="A1683" i="6"/>
  <c r="H1672" i="6"/>
  <c r="D1672" i="6"/>
  <c r="C1672" i="6"/>
  <c r="A1672" i="6"/>
  <c r="H1661" i="6"/>
  <c r="D1661" i="6"/>
  <c r="C1661" i="6"/>
  <c r="A1661" i="6"/>
  <c r="B1651" i="6"/>
  <c r="H1650" i="6"/>
  <c r="D1650" i="6"/>
  <c r="C1650" i="6"/>
  <c r="A1650" i="6"/>
  <c r="H1638" i="6"/>
  <c r="D1638" i="6"/>
  <c r="C1638" i="6"/>
  <c r="A1638" i="6"/>
  <c r="B1627" i="6"/>
  <c r="H1626" i="6"/>
  <c r="D1626" i="6"/>
  <c r="C1626" i="6"/>
  <c r="A1626" i="6"/>
  <c r="B1455" i="6"/>
  <c r="H1454" i="6"/>
  <c r="D1454" i="6"/>
  <c r="C1454" i="6"/>
  <c r="A1454" i="6"/>
  <c r="B1521" i="6" l="1"/>
  <c r="H1609" i="6"/>
  <c r="D1609" i="6"/>
  <c r="C1609" i="6"/>
  <c r="A1609" i="6"/>
  <c r="B1599" i="6"/>
  <c r="H1598" i="6"/>
  <c r="D1598" i="6"/>
  <c r="C1598" i="6"/>
  <c r="A1598" i="6"/>
  <c r="H1587" i="6"/>
  <c r="D1587" i="6"/>
  <c r="C1587" i="6"/>
  <c r="A1587" i="6"/>
  <c r="H1576" i="6"/>
  <c r="D1576" i="6"/>
  <c r="C1576" i="6"/>
  <c r="A1576" i="6"/>
  <c r="B1565" i="6"/>
  <c r="H1564" i="6"/>
  <c r="D1564" i="6"/>
  <c r="C1564" i="6"/>
  <c r="A1564" i="6"/>
  <c r="B1554" i="6"/>
  <c r="H1553" i="6"/>
  <c r="D1553" i="6"/>
  <c r="C1553" i="6"/>
  <c r="A1553" i="6"/>
  <c r="B1543" i="6"/>
  <c r="H1542" i="6"/>
  <c r="D1542" i="6"/>
  <c r="C1542" i="6"/>
  <c r="A1542" i="6"/>
  <c r="H1531" i="6"/>
  <c r="D1531" i="6"/>
  <c r="C1531" i="6"/>
  <c r="A1531" i="6"/>
  <c r="H1520" i="6"/>
  <c r="D1520" i="6"/>
  <c r="C1520" i="6"/>
  <c r="A1520" i="6"/>
  <c r="H1509" i="6"/>
  <c r="D1509" i="6"/>
  <c r="C1509" i="6"/>
  <c r="A1509" i="6"/>
  <c r="H1498" i="6"/>
  <c r="D1498" i="6"/>
  <c r="C1498" i="6"/>
  <c r="A1498" i="6"/>
  <c r="H1487" i="6"/>
  <c r="D1487" i="6"/>
  <c r="C1487" i="6"/>
  <c r="A1487" i="6"/>
  <c r="B1477" i="6"/>
  <c r="H1476" i="6"/>
  <c r="D1476" i="6"/>
  <c r="C1476" i="6"/>
  <c r="A1476" i="6"/>
  <c r="H1465" i="6"/>
  <c r="D1465" i="6"/>
  <c r="C1465" i="6"/>
  <c r="A1465" i="6"/>
  <c r="B1444" i="6"/>
  <c r="B1411" i="6"/>
  <c r="H1443" i="6"/>
  <c r="D1443" i="6"/>
  <c r="C1443" i="6"/>
  <c r="A1443" i="6"/>
  <c r="H1432" i="6"/>
  <c r="D1432" i="6"/>
  <c r="C1432" i="6"/>
  <c r="A1432" i="6"/>
  <c r="H1421" i="6"/>
  <c r="D1421" i="6"/>
  <c r="C1421" i="6"/>
  <c r="A1421" i="6"/>
  <c r="B1400" i="6"/>
  <c r="H1410" i="6"/>
  <c r="D1410" i="6"/>
  <c r="C1410" i="6"/>
  <c r="A1410" i="6"/>
  <c r="B1389" i="6"/>
  <c r="B1365" i="6"/>
  <c r="H1399" i="6"/>
  <c r="D1399" i="6"/>
  <c r="C1399" i="6"/>
  <c r="A1399" i="6"/>
  <c r="H1388" i="6"/>
  <c r="D1388" i="6"/>
  <c r="C1388" i="6"/>
  <c r="A1388" i="6"/>
  <c r="H1376" i="6"/>
  <c r="D1376" i="6"/>
  <c r="C1376" i="6"/>
  <c r="A1376" i="6"/>
  <c r="H1364" i="6"/>
  <c r="D1364" i="6"/>
  <c r="C1364" i="6"/>
  <c r="A1364" i="6"/>
  <c r="H1352" i="6" l="1"/>
  <c r="D1352" i="6"/>
  <c r="C1352" i="6"/>
  <c r="A1352" i="6"/>
  <c r="H1339" i="6"/>
  <c r="D1339" i="6"/>
  <c r="C1339" i="6"/>
  <c r="A1339" i="6"/>
  <c r="H1327" i="6"/>
  <c r="D1327" i="6"/>
  <c r="C1327" i="6"/>
  <c r="A1327" i="6"/>
  <c r="H1303" i="6"/>
  <c r="D1303" i="6"/>
  <c r="C1303" i="6"/>
  <c r="A1303" i="6"/>
  <c r="H1315" i="6"/>
  <c r="D1315" i="6"/>
  <c r="C1315" i="6"/>
  <c r="A1315" i="6"/>
  <c r="H1291" i="6"/>
  <c r="D1291" i="6"/>
  <c r="C1291" i="6"/>
  <c r="A1291" i="6"/>
  <c r="H1279" i="6"/>
  <c r="D1279" i="6"/>
  <c r="C1279" i="6"/>
  <c r="A1279" i="6"/>
  <c r="B1106" i="6"/>
  <c r="B948" i="6"/>
  <c r="B791" i="6"/>
  <c r="B633" i="6"/>
  <c r="B481" i="6"/>
  <c r="B330" i="6"/>
  <c r="B179" i="6"/>
  <c r="B28" i="6"/>
  <c r="B1111" i="6"/>
  <c r="B1146" i="6" s="1"/>
  <c r="B953" i="6"/>
  <c r="B988" i="6" s="1"/>
  <c r="B796" i="6"/>
  <c r="B638" i="6"/>
  <c r="B622" i="6"/>
  <c r="B623" i="6" s="1"/>
  <c r="B471" i="6"/>
  <c r="B472" i="6" s="1"/>
  <c r="A184" i="6"/>
  <c r="A334" i="6"/>
  <c r="A485" i="6"/>
  <c r="A637" i="6"/>
  <c r="D1267" i="6"/>
  <c r="H1267" i="6"/>
  <c r="C1267" i="6"/>
  <c r="A1267" i="6"/>
  <c r="H334" i="6"/>
  <c r="H485" i="6"/>
  <c r="C485" i="6"/>
  <c r="C334" i="6"/>
  <c r="H1110" i="6"/>
  <c r="C1110" i="6"/>
  <c r="A1110" i="6"/>
  <c r="H952" i="6"/>
  <c r="C952" i="6"/>
  <c r="A952" i="6"/>
  <c r="H795" i="6" l="1"/>
  <c r="D795" i="6"/>
  <c r="C795" i="6"/>
  <c r="A795" i="6"/>
  <c r="H637" i="6"/>
  <c r="D637" i="6"/>
  <c r="C637" i="6"/>
  <c r="H184" i="6"/>
  <c r="D184" i="6"/>
  <c r="C184" i="6"/>
  <c r="D33" i="6"/>
  <c r="H33" i="6"/>
  <c r="C33" i="6"/>
  <c r="A33" i="6"/>
  <c r="B17" i="6"/>
  <c r="H15" i="6"/>
  <c r="C15" i="6"/>
  <c r="A15" i="6"/>
  <c r="D51" i="2"/>
  <c r="B52" i="2"/>
  <c r="B49" i="2"/>
  <c r="B89" i="2"/>
  <c r="B15" i="2" l="1"/>
  <c r="G89" i="2"/>
  <c r="B90" i="2"/>
  <c r="D90" i="2"/>
  <c r="G51" i="2"/>
  <c r="F51" i="2"/>
  <c r="D52" i="2"/>
  <c r="B37" i="2"/>
  <c r="G36" i="2"/>
  <c r="D83" i="2"/>
  <c r="B97" i="2" s="1"/>
  <c r="D82" i="2"/>
  <c r="D36" i="2"/>
  <c r="D37" i="2"/>
  <c r="F36" i="2" s="1"/>
  <c r="C60" i="2"/>
  <c r="B10" i="2"/>
  <c r="J28" i="2"/>
  <c r="B16" i="6"/>
  <c r="B18" i="6"/>
  <c r="F63" i="2"/>
  <c r="E63" i="2"/>
  <c r="H25" i="2"/>
  <c r="G25" i="2"/>
  <c r="F25" i="2"/>
  <c r="E25" i="2"/>
  <c r="D25" i="2"/>
  <c r="C25" i="2"/>
  <c r="C44" i="2"/>
  <c r="F52" i="2"/>
  <c r="G52" i="2"/>
  <c r="B34" i="2"/>
  <c r="D59" i="2"/>
  <c r="F37" i="2"/>
  <c r="G37" i="2"/>
  <c r="D97" i="2" l="1"/>
  <c r="F97" i="2" s="1"/>
  <c r="B98" i="2"/>
  <c r="D98" i="2" s="1"/>
  <c r="G97" i="2"/>
  <c r="G90" i="2"/>
  <c r="C59" i="2"/>
  <c r="D89" i="2"/>
  <c r="F98" i="2" l="1"/>
  <c r="G98" i="2"/>
  <c r="F89" i="2"/>
  <c r="F90" i="2"/>
</calcChain>
</file>

<file path=xl/sharedStrings.xml><?xml version="1.0" encoding="utf-8"?>
<sst xmlns="http://schemas.openxmlformats.org/spreadsheetml/2006/main" count="8429" uniqueCount="513">
  <si>
    <t>Activity</t>
  </si>
  <si>
    <t>location</t>
  </si>
  <si>
    <t>production amount</t>
  </si>
  <si>
    <t>reference product</t>
  </si>
  <si>
    <t>type</t>
  </si>
  <si>
    <t>process</t>
  </si>
  <si>
    <t>unit</t>
  </si>
  <si>
    <t>kilogram</t>
  </si>
  <si>
    <t>source</t>
  </si>
  <si>
    <t>comment</t>
  </si>
  <si>
    <t>Exchanges</t>
  </si>
  <si>
    <t>name</t>
  </si>
  <si>
    <t>amount</t>
  </si>
  <si>
    <t>categories</t>
  </si>
  <si>
    <t>allocation</t>
  </si>
  <si>
    <t>production</t>
  </si>
  <si>
    <t/>
  </si>
  <si>
    <t>megajoule</t>
  </si>
  <si>
    <t>technosphere</t>
  </si>
  <si>
    <t>GREET</t>
  </si>
  <si>
    <t>market for diesel, burned in agricultural machinery</t>
  </si>
  <si>
    <t>diesel, burned in agricultural machinery</t>
  </si>
  <si>
    <t>skip</t>
  </si>
  <si>
    <t>Btu to MJ</t>
  </si>
  <si>
    <t>GLO</t>
  </si>
  <si>
    <t>gallon to liter</t>
  </si>
  <si>
    <t>LHV ethanol [MJ/kg]</t>
  </si>
  <si>
    <t>biosphere</t>
  </si>
  <si>
    <t>ton kilometer</t>
  </si>
  <si>
    <t>lbs to kg</t>
  </si>
  <si>
    <t>268597 Btu per ton</t>
  </si>
  <si>
    <t>miles to km</t>
  </si>
  <si>
    <t>bushel to ton</t>
  </si>
  <si>
    <t>hectare to square meters</t>
  </si>
  <si>
    <t>kg</t>
  </si>
  <si>
    <t>Energy, gross calorific value, in biomass</t>
  </si>
  <si>
    <t>natural resource::biotic</t>
  </si>
  <si>
    <t>cubic meter</t>
  </si>
  <si>
    <t>from "wood chips from softwood forestry, spruce, sustainable forest management, DE" from ecoinvent 3.7.1</t>
  </si>
  <si>
    <t>Wood, soft, standing</t>
  </si>
  <si>
    <t>specific gravity of ethanol</t>
  </si>
  <si>
    <t>acre to square meter</t>
  </si>
  <si>
    <t>Units conversion</t>
  </si>
  <si>
    <t>Fermentation</t>
  </si>
  <si>
    <t>Willow</t>
  </si>
  <si>
    <t>Poplar</t>
  </si>
  <si>
    <t>Switchgrass</t>
  </si>
  <si>
    <t>Miscanthus</t>
  </si>
  <si>
    <t>Corn Stover</t>
  </si>
  <si>
    <t>Forest Residue</t>
  </si>
  <si>
    <t>Electricity credit: kWh per gallon of ethanol</t>
  </si>
  <si>
    <t>Ethanol yield: gallons per dry ton</t>
  </si>
  <si>
    <t>ecoinvent 3.7.1</t>
  </si>
  <si>
    <t>Market price for ethanol [USD/gallon]</t>
  </si>
  <si>
    <t>Market price for electricity [€2005/kWh]</t>
  </si>
  <si>
    <t>USD to € conversion in 2015</t>
  </si>
  <si>
    <t>Input</t>
  </si>
  <si>
    <t>Ouptuts</t>
  </si>
  <si>
    <t>Electricity</t>
  </si>
  <si>
    <t>kWh</t>
  </si>
  <si>
    <t>Turnover</t>
  </si>
  <si>
    <t>EUR_2005</t>
  </si>
  <si>
    <t>% of turnover (allocation key)</t>
  </si>
  <si>
    <t>Ethanol</t>
  </si>
  <si>
    <t>GREET inventories</t>
  </si>
  <si>
    <t>Economic allocation</t>
  </si>
  <si>
    <t>Energy allocation</t>
  </si>
  <si>
    <t>% of energy output (allocation key)</t>
  </si>
  <si>
    <t>Pereira et al. 2019 inventories</t>
  </si>
  <si>
    <t>Sugarcane</t>
  </si>
  <si>
    <t>Ethanol yield: L</t>
  </si>
  <si>
    <t>per t Sugarcane</t>
  </si>
  <si>
    <t>per t Sugarcane straw</t>
  </si>
  <si>
    <t>Electricity credit: kWh per L ethanol</t>
  </si>
  <si>
    <t>Sugarcane ethanol production</t>
  </si>
  <si>
    <t>Outputs</t>
  </si>
  <si>
    <t>Sugarcane [kg]</t>
  </si>
  <si>
    <t>Ethanol [L]</t>
  </si>
  <si>
    <t>Electricity [kWh]</t>
  </si>
  <si>
    <t>Sugarcane straw ethanol production</t>
  </si>
  <si>
    <t>Sugarcane straw [kg]</t>
  </si>
  <si>
    <t>market for transport, freight, lorry, unspecified</t>
  </si>
  <si>
    <t>transport, freight, lorry, unspecified</t>
  </si>
  <si>
    <t>Willow/Poplar/Switchgrass/Miscanthus/Corn stover/Forest residues ethanol production</t>
  </si>
  <si>
    <t>Dry willow/poplar/switchgrass/miscanthus/corn stover/forest residues</t>
  </si>
  <si>
    <t>Ethanol yield: gallons per wet ton</t>
  </si>
  <si>
    <t>Sugarcane, wet</t>
  </si>
  <si>
    <t>Corn</t>
  </si>
  <si>
    <t>Grain sorghum</t>
  </si>
  <si>
    <t>Sweet sorghum</t>
  </si>
  <si>
    <t>Forage sorghum</t>
  </si>
  <si>
    <t>Biogenic CO2 from fermentation: kg per gallon</t>
  </si>
  <si>
    <t>ethanol carbon content (% by wt)</t>
  </si>
  <si>
    <t>ethanol CO2 emission factor [kg CO2/kg]</t>
  </si>
  <si>
    <t>Economic allocation [as given by GREET]</t>
  </si>
  <si>
    <t>Energy allocation [as given by GREET]</t>
  </si>
  <si>
    <t>Dried Distiller Grain with Solubles (DDGS): kg per gallon of ethanol</t>
  </si>
  <si>
    <t>Vinasse: gallon per gallon of ethanol</t>
  </si>
  <si>
    <t>Vinasse composition [g per gallon]</t>
  </si>
  <si>
    <t>N</t>
  </si>
  <si>
    <t>P</t>
  </si>
  <si>
    <t>K</t>
  </si>
  <si>
    <t>Corn oil: lbs per bushel of corn</t>
  </si>
  <si>
    <t>RER</t>
  </si>
  <si>
    <t>CH</t>
  </si>
  <si>
    <t>To account for primary energy in oil</t>
  </si>
  <si>
    <t>LHV [MJ/kg dry]</t>
  </si>
  <si>
    <t>Moisture content [% wt]</t>
  </si>
  <si>
    <t>Carbon uptake during biomass growth, based on 49.6% carbon content, dry, minus moisture content</t>
  </si>
  <si>
    <t>biodiesel CO2 emission factor [kg CO2/kg]</t>
  </si>
  <si>
    <t>Carbon dioxide, in air</t>
  </si>
  <si>
    <t>natural resource::in air</t>
  </si>
  <si>
    <t>LHV biodiesel [MJ/kg]</t>
  </si>
  <si>
    <t>LHV bio-kerosene [MJ/kg]</t>
  </si>
  <si>
    <t>kerosene CO2 emission factor [kg CO2/kg]</t>
  </si>
  <si>
    <t>US ton to metric ton</t>
  </si>
  <si>
    <t>database</t>
  </si>
  <si>
    <t>biomass</t>
  </si>
  <si>
    <t>market for forest residue</t>
  </si>
  <si>
    <t>forest residue</t>
  </si>
  <si>
    <t>Life Cycle Assessment of Biofuels in EU/CH, F. Cozzolini 2018, PSI. Adapted to Switzerland.</t>
  </si>
  <si>
    <t>Max. 100 km by truck.</t>
  </si>
  <si>
    <t>ecoinvent 3.9.1 cutoff</t>
  </si>
  <si>
    <t>heat production, from incineration of plastic waste mixture, energy allocation</t>
  </si>
  <si>
    <t>heat, from incineration of plastic waste mixture, energy allocation</t>
  </si>
  <si>
    <t>electricity production, from incineration of plastic waste mixture, energy allocation</t>
  </si>
  <si>
    <t>kilowatt hour</t>
  </si>
  <si>
    <t>electricity, from incineration of plastic waste mixture, energy allocation</t>
  </si>
  <si>
    <t>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3.93MJ/kg electric energy and 7.66MJ/kg thermal energy. Allocation to heat production: 7.66 / (7.66 + 3.93) = 66%. Hence, to deliver 1 MJ of heat: 1/7.66 * 66%.</t>
  </si>
  <si>
    <t>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3.93MJ/kg electric energy and 7.66MJ/kg thermal energy. Allocation to electricity production: 3.93 / (7.66 + 3.93) = 33%. Hence, to deliver 1 kWh of heat: 3.6/3.93 * 33%.</t>
  </si>
  <si>
    <t>heat production, from biowaste, municipal incineration, energy allocation</t>
  </si>
  <si>
    <t>electricity production, from biowaste, municipal incineration, energy allocation</t>
  </si>
  <si>
    <t>electricity, from biowaste, municipal incineration, energy allocation</t>
  </si>
  <si>
    <t>Grossly adapted from Volkart et al. 2013 to ecoinvent CHP datasets. 90% CO2 capture efficiency. Added 10% energy penalty based on Volkart et al. 2013.</t>
  </si>
  <si>
    <t>carbon dioxide, captured at wood burning power plant 20 MW post, pipeline 200km, storage 1000m</t>
  </si>
  <si>
    <t>Carbon dioxide, non-fossil</t>
  </si>
  <si>
    <t>air</t>
  </si>
  <si>
    <t>electricity production, at co-generation biowaste-fired power plant, post, pipeline 200km, storage 1000m</t>
  </si>
  <si>
    <t>heat production, at co-generation biowaste-fired power plant, post, pipeline 200km, storage 1000m</t>
  </si>
  <si>
    <t>heat, from biowaste, municipal incineration, energy allocation</t>
  </si>
  <si>
    <t>electricity production, at co-generation plastic waste-fired power plant, post, pipeline 200km, storage 1000m</t>
  </si>
  <si>
    <t>heat production, at co-generation plastic waste-fired power plant, post, pipeline 200km, storage 1000m</t>
  </si>
  <si>
    <t>electricity, from plastic waste mixture, municipal incineration, energy allocation</t>
  </si>
  <si>
    <t>heat, from plastic waste mixture, municipal incineration, energy allocation</t>
  </si>
  <si>
    <t>Carbon dioxide, fossil</t>
  </si>
  <si>
    <t>electricity import, from neighboring countries</t>
  </si>
  <si>
    <t>electricity, high voltage</t>
  </si>
  <si>
    <t>market group for electricity, high voltage</t>
  </si>
  <si>
    <t>Link to European electricity.</t>
  </si>
  <si>
    <t>market for ammonia, anhydrous, liquid</t>
  </si>
  <si>
    <t>market for cationic resin</t>
  </si>
  <si>
    <t>market for chemical, inorganic</t>
  </si>
  <si>
    <t>market for chemical, organic</t>
  </si>
  <si>
    <t>market for hydrochloric acid, without water, in 30% solution state</t>
  </si>
  <si>
    <t>market for hydrogen peroxide, without water, in 50% solution state</t>
  </si>
  <si>
    <t>market for iron(III) chloride, without water, in 40% solution state</t>
  </si>
  <si>
    <t>metalliferous hydroxide sludge, Recycled Content cut-off</t>
  </si>
  <si>
    <t>municipal waste incineration facility construction</t>
  </si>
  <si>
    <t>process-specific burdens, residual material landfill</t>
  </si>
  <si>
    <t>process-specific burdens, slag landfill</t>
  </si>
  <si>
    <t>market for quicklime, milled, packed</t>
  </si>
  <si>
    <t>residual material landfill construction</t>
  </si>
  <si>
    <t>slag landfill construction</t>
  </si>
  <si>
    <t>market for sodium hydroxide, without water, in 50% solution state</t>
  </si>
  <si>
    <t>market for spent activated carbon with mercury</t>
  </si>
  <si>
    <t>market for titanium dioxide</t>
  </si>
  <si>
    <t>market for waste cement, hydrated</t>
  </si>
  <si>
    <t>market for water, decarbonised</t>
  </si>
  <si>
    <t>market for cement, unspecified</t>
  </si>
  <si>
    <t>market for heat, district or industrial, natural gas</t>
  </si>
  <si>
    <t>ammonia, anhydrous, liquid</t>
  </si>
  <si>
    <t>cationic resin</t>
  </si>
  <si>
    <t>chemical, inorganic</t>
  </si>
  <si>
    <t>chemical, organic</t>
  </si>
  <si>
    <t>hydrochloric acid, without water, in 30% solution state</t>
  </si>
  <si>
    <t>hydrogen peroxide, without water, in 50% solution state</t>
  </si>
  <si>
    <t>metalliferous hydroxide sludge</t>
  </si>
  <si>
    <t>municipal waste incineration facility</t>
  </si>
  <si>
    <t>quicklime, milled, packed</t>
  </si>
  <si>
    <t>residual material landfill</t>
  </si>
  <si>
    <t>slag landfill</t>
  </si>
  <si>
    <t>sodium hydroxide, without water, in 50% solution state</t>
  </si>
  <si>
    <t>spent activated carbon with mercury</t>
  </si>
  <si>
    <t>titanium dioxide</t>
  </si>
  <si>
    <t>waste cement, hydrated</t>
  </si>
  <si>
    <t>water, decarbonised</t>
  </si>
  <si>
    <t>cement, unspecified</t>
  </si>
  <si>
    <t>heat, district or industrial, natural gas</t>
  </si>
  <si>
    <t>Aluminium III</t>
  </si>
  <si>
    <t>Ammonia</t>
  </si>
  <si>
    <t>Antimony ion</t>
  </si>
  <si>
    <t>Arsenic ion</t>
  </si>
  <si>
    <t>Barium II</t>
  </si>
  <si>
    <t>Benzene</t>
  </si>
  <si>
    <t>Benzene, hexachloro-</t>
  </si>
  <si>
    <t>Benzo(a)pyrene</t>
  </si>
  <si>
    <t>Bromine</t>
  </si>
  <si>
    <t>Cadmium II</t>
  </si>
  <si>
    <t>Carbon monoxide, fossil</t>
  </si>
  <si>
    <t>Chromium III</t>
  </si>
  <si>
    <t>Cobalt II</t>
  </si>
  <si>
    <t>Copper ion</t>
  </si>
  <si>
    <t>Cyanide</t>
  </si>
  <si>
    <t>Dinitrogen monoxide</t>
  </si>
  <si>
    <t>Dioxins, measured as 2,3,7,8-tetrachlorodibenzo-p-dioxin</t>
  </si>
  <si>
    <t>Heat, waste</t>
  </si>
  <si>
    <t>Hydrochloric acid</t>
  </si>
  <si>
    <t>Hydrogen fluoride</t>
  </si>
  <si>
    <t>Iron ion</t>
  </si>
  <si>
    <t>Lead II</t>
  </si>
  <si>
    <t>Manganese II</t>
  </si>
  <si>
    <t>Mercury II</t>
  </si>
  <si>
    <t>Methane, fossil</t>
  </si>
  <si>
    <t>NMVOC, non-methane volatile organic compounds</t>
  </si>
  <si>
    <t>Nickel II</t>
  </si>
  <si>
    <t>Nitrogen oxides</t>
  </si>
  <si>
    <t>Particulate Matter, &lt; 2.5 um</t>
  </si>
  <si>
    <t>Particulate Matter, &gt; 2.5 um and &lt; 10um</t>
  </si>
  <si>
    <t>Phenol, pentachloro-</t>
  </si>
  <si>
    <t>Selenium IV</t>
  </si>
  <si>
    <t>Sodium</t>
  </si>
  <si>
    <t>Strontium</t>
  </si>
  <si>
    <t>Sulfur dioxide</t>
  </si>
  <si>
    <t>Thallium I</t>
  </si>
  <si>
    <t>Tin ion</t>
  </si>
  <si>
    <t>Titanium ion</t>
  </si>
  <si>
    <t>Toluene</t>
  </si>
  <si>
    <t>Vanadium V</t>
  </si>
  <si>
    <t>Water</t>
  </si>
  <si>
    <t>Zinc II</t>
  </si>
  <si>
    <t>BOD5, Biological Oxygen Demand</t>
  </si>
  <si>
    <t>Beryllium II</t>
  </si>
  <si>
    <t>COD, Chemical Oxygen Demand</t>
  </si>
  <si>
    <t>Calcium II</t>
  </si>
  <si>
    <t>Chloride</t>
  </si>
  <si>
    <t>Chromium VI</t>
  </si>
  <si>
    <t>DOC, Dissolved Organic Carbon</t>
  </si>
  <si>
    <t>Fluoride</t>
  </si>
  <si>
    <t>Nitrate</t>
  </si>
  <si>
    <t>Silicon</t>
  </si>
  <si>
    <t>Sodium I</t>
  </si>
  <si>
    <t>Sulfate</t>
  </si>
  <si>
    <t>TOC, Total Organic Carbon</t>
  </si>
  <si>
    <t>Oxygen</t>
  </si>
  <si>
    <t>air::urban air close to ground</t>
  </si>
  <si>
    <t>water::ground-, long-term</t>
  </si>
  <si>
    <t>water::surface water</t>
  </si>
  <si>
    <t>This amount is here is not captured (90% efficiency).</t>
  </si>
  <si>
    <t>Calcium</t>
  </si>
  <si>
    <t>Carbon monoxide, non-fossil</t>
  </si>
  <si>
    <t>Iodine</t>
  </si>
  <si>
    <t>Magnesium</t>
  </si>
  <si>
    <t>Methane, non-fossil</t>
  </si>
  <si>
    <t>Molybdenum VI</t>
  </si>
  <si>
    <t>Phosphorus</t>
  </si>
  <si>
    <t>Potassium I</t>
  </si>
  <si>
    <t>Boron</t>
  </si>
  <si>
    <t>Iodide</t>
  </si>
  <si>
    <t>Phosphate</t>
  </si>
  <si>
    <t>This amount is here to partially cancel the non-fossil CO2 emissions (biomass uptake).</t>
  </si>
  <si>
    <t>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0.42MJ/kg electric energy and 1.01MJ/kg thermal energy. Allocation to electricity production: 0.42 / (1.01 + 0.42) = 29%. Hence, to deliver 1 kWh of electricity: 1/0.42 * 29% * 3.6.</t>
  </si>
  <si>
    <t>current efficiency</t>
  </si>
  <si>
    <t>Dataset created based on ecoinvent's "treatment of biowaste,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0.42MJ/kg electric energy and 1.01MJ/kg thermal energy. Allocation to heat production: 1.01 / (1.01 + 0.42) = 71%. Hence, to deliver 1 MJ of heat: 1/1.01 * 71%. Also added a flow of CO2 uptake to compensate for non-fossil CO2 emissions.</t>
  </si>
  <si>
    <t>biomethane import, from neighboring countries</t>
  </si>
  <si>
    <t>biomethane, high pressure</t>
  </si>
  <si>
    <t>Link to European market.</t>
  </si>
  <si>
    <t>market for biomethane, high pressure</t>
  </si>
  <si>
    <t>RoW</t>
  </si>
  <si>
    <t>kerosene import, from neighboring countries</t>
  </si>
  <si>
    <t>kerosene</t>
  </si>
  <si>
    <t>market for kerosene</t>
  </si>
  <si>
    <t>Europe without Switzerland</t>
  </si>
  <si>
    <t>diesel import, from neighboring countries</t>
  </si>
  <si>
    <t>diesel</t>
  </si>
  <si>
    <t>synthetic kerosene import, from neighboring countries</t>
  </si>
  <si>
    <t>kerosene production, synthetic, Fischer Tropsch process, hydrogen from electrolysis, energy allocation</t>
  </si>
  <si>
    <t>kerosene, synthetic</t>
  </si>
  <si>
    <t>synthetic diesel import, from neighboring countries</t>
  </si>
  <si>
    <t>diesel production, synthetic, Fischer Tropsch process, hydrogen from electrolysis, energy allocation</t>
  </si>
  <si>
    <t>diesel, synthetic</t>
  </si>
  <si>
    <t>synthetic natural gas import, from neighboring countries</t>
  </si>
  <si>
    <t>natural gas, synthetic</t>
  </si>
  <si>
    <t>methane, from electrochemical methanation, with carbon from atmosphere</t>
  </si>
  <si>
    <t>methane, from electrochemical methanation</t>
  </si>
  <si>
    <t>heat, from nuclear power plant</t>
  </si>
  <si>
    <t>heat</t>
  </si>
  <si>
    <t>Free of environmental burden</t>
  </si>
  <si>
    <t>electricity, low voltage</t>
  </si>
  <si>
    <t>market for electricity, low voltage</t>
  </si>
  <si>
    <t>electricity, used in industrial electric boiler</t>
  </si>
  <si>
    <t>electricity, used in industrial heat pump</t>
  </si>
  <si>
    <t>heat production, air-water heat pump 10kW</t>
  </si>
  <si>
    <t>heat, air-water heat pump 10kW</t>
  </si>
  <si>
    <t>light fuel oil, burned in industrial furnace 1MW</t>
  </si>
  <si>
    <t>heat production, light fuel oil, at industrial furnace 1MW</t>
  </si>
  <si>
    <t>heat, district or industrial, other than natural gas</t>
  </si>
  <si>
    <t>heavy fuel oil, burned in industrial furnace 1MW</t>
  </si>
  <si>
    <t>heat production, heavy fuel oil, at industrial furnace 1MW</t>
  </si>
  <si>
    <t>natural gas, burned in industrial furnace &gt;100kW</t>
  </si>
  <si>
    <t>heat production, natural gas, at boiler condensing modulating &gt;100kW</t>
  </si>
  <si>
    <t>hard coal, burned in hard coal industrial furnace 1-10MW</t>
  </si>
  <si>
    <t>heat production, at hard coal industrial furnace 1-10MW</t>
  </si>
  <si>
    <t>heat, from on-site industrial oil-fired CHP</t>
  </si>
  <si>
    <t>heat and power co-generation, oil</t>
  </si>
  <si>
    <t>heat, from on-site industrial gas-fired CHP</t>
  </si>
  <si>
    <t>heat and power co-generation, natural gas, 1MW electrical, lean burn</t>
  </si>
  <si>
    <t>heat, from on-site industrial gas-fired CHP with CCS</t>
  </si>
  <si>
    <t>heat production, at co-generation natural gas-fired power plant, post, pipeline 200km, storage 1000m</t>
  </si>
  <si>
    <t>heat, from on-site industrial fuel cell CHP</t>
  </si>
  <si>
    <t>heat, from on-site industrial non-renewable waste-fired CHP</t>
  </si>
  <si>
    <t>heat, from on-site industrial non-renewable waste-fired CHP with CCS</t>
  </si>
  <si>
    <t>heat production, at co-generation wood-fired power plant, post, pipeline 200km, storage 1000m</t>
  </si>
  <si>
    <t>heat, residential, by combustion of hydrogen using CHP, allocated by exergy, distributed by pipeline, produced by Electrolysis, PEM using electricity from grid</t>
  </si>
  <si>
    <t>heat, from residential heating system</t>
  </si>
  <si>
    <t>wood, burned in wood industrial furnace 1-10MW</t>
  </si>
  <si>
    <t>heat production, wood chips from industry, at furnace 1000kW</t>
  </si>
  <si>
    <t>heat production, wood pellet, at furnace 300kW</t>
  </si>
  <si>
    <t>pellet, burned in pellet industrial furnace 300kW</t>
  </si>
  <si>
    <t>heat, central or small-scale, other than natural gas</t>
  </si>
  <si>
    <t>heat, from on-site industrial wood-fired CHP</t>
  </si>
  <si>
    <t>non-renewable waste, burned in industrial furnace</t>
  </si>
  <si>
    <t>heat, from on-site industrial wood-fired CHP with CCS</t>
  </si>
  <si>
    <t>heat, from on-site industrial hydrogen-fired CHP</t>
  </si>
  <si>
    <t>renewable waste, burned in industrial furnace</t>
  </si>
  <si>
    <t>solar energy, from industrial hot water tank</t>
  </si>
  <si>
    <t>heat production, at hot water tank, solar+electric, flat plate, multiple dwelling</t>
  </si>
  <si>
    <t>heat, solar+electric, multiple-dwelling, for hot water</t>
  </si>
  <si>
    <t>heat and power co-generation, wood chips, 6667 kW</t>
  </si>
  <si>
    <t>electricity, used in industrial electric processes</t>
  </si>
  <si>
    <t>DE</t>
  </si>
  <si>
    <t>gas boiler</t>
  </si>
  <si>
    <t>market for gas boiler</t>
  </si>
  <si>
    <t>meter</t>
  </si>
  <si>
    <t>chimney</t>
  </si>
  <si>
    <t>market for chimney</t>
  </si>
  <si>
    <t>Hydrogen</t>
  </si>
  <si>
    <t>hydrogen burned, in hydrogen boiler</t>
  </si>
  <si>
    <t>heat, from on-site industrial biogas-fired CHP</t>
  </si>
  <si>
    <t>heat and power co-generation, biogas, gas engine</t>
  </si>
  <si>
    <t>electricity, used in residential electric boiler</t>
  </si>
  <si>
    <t>electricity, used in residential heat pump</t>
  </si>
  <si>
    <t>heat, from on-site residential gas-fired CHP</t>
  </si>
  <si>
    <t>heat, from on-site residential fuel cell CHP</t>
  </si>
  <si>
    <t>heat, from on-site residential wood-fired CHP</t>
  </si>
  <si>
    <t>solar energy, from residential hot water tank</t>
  </si>
  <si>
    <t>heat production, light fuel oil, at boiler 10kW condensing, non-modulating</t>
  </si>
  <si>
    <t>light fuel oil, burned in residential 10kW boiler</t>
  </si>
  <si>
    <t>heat production, natural gas, at boiler condensing modulating &lt;100kW</t>
  </si>
  <si>
    <t>heat, central or small-scale, natural gas</t>
  </si>
  <si>
    <t>natural gas, burned in residential natural gas boiler &lt;100kW</t>
  </si>
  <si>
    <t>heat production, hard coal briquette, stove 5-15kW</t>
  </si>
  <si>
    <t>hard coal, burned in hard coal residential boiler 5-15kW</t>
  </si>
  <si>
    <t>heat production, mixed logs, at wood heater 6kW</t>
  </si>
  <si>
    <t>wood, burned in residential wood stove 5-15kW</t>
  </si>
  <si>
    <t>pellet, burned in residential pellet stove 5-15kW</t>
  </si>
  <si>
    <t>heat production, wood pellet, at furnace 9kW</t>
  </si>
  <si>
    <t>electricity, used in residential electric appliances</t>
  </si>
  <si>
    <t>diesel, low-sulfur</t>
  </si>
  <si>
    <t>market for internal combustion engine, passenger car</t>
  </si>
  <si>
    <t>internal combustion engine, passenger car</t>
  </si>
  <si>
    <t>Acetaldehyde</t>
  </si>
  <si>
    <t>Acetone</t>
  </si>
  <si>
    <t>Acrolein</t>
  </si>
  <si>
    <t>Benzaldehyde</t>
  </si>
  <si>
    <t>Butane</t>
  </si>
  <si>
    <t>Ethane</t>
  </si>
  <si>
    <t>Ethylene oxide</t>
  </si>
  <si>
    <t>Formaldehyde</t>
  </si>
  <si>
    <t>Heptane</t>
  </si>
  <si>
    <t>Methyl ethyl ketone</t>
  </si>
  <si>
    <t>PAH, polycyclic aromatic hydrocarbons</t>
  </si>
  <si>
    <t>Pentane</t>
  </si>
  <si>
    <t>Propane</t>
  </si>
  <si>
    <t>Propylene oxide</t>
  </si>
  <si>
    <t>Styrene</t>
  </si>
  <si>
    <t>m-Xylene</t>
  </si>
  <si>
    <t>o-Xylene</t>
  </si>
  <si>
    <t>market for diesel, low-sulfur</t>
  </si>
  <si>
    <t>petrol, low-sulfur</t>
  </si>
  <si>
    <t>1-Pentene</t>
  </si>
  <si>
    <t>Ethylene</t>
  </si>
  <si>
    <t>Hexane</t>
  </si>
  <si>
    <t>Propene</t>
  </si>
  <si>
    <t>market for petrol, low-sulfur</t>
  </si>
  <si>
    <t>natural gas, high pressure</t>
  </si>
  <si>
    <t>market for natural gas, high pressure</t>
  </si>
  <si>
    <t>market for electric motor, electric passenger car</t>
  </si>
  <si>
    <t>electric motor, electric passenger car</t>
  </si>
  <si>
    <t>fuel cell system assembly, 1 kWe, proton exchange membrane (PEM)</t>
  </si>
  <si>
    <t>fuel cell system, 1 kWe, proton exchange membrane (PEM)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</si>
  <si>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</si>
  <si>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</si>
  <si>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</si>
  <si>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</si>
  <si>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</si>
  <si>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</si>
  <si>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description</t>
  </si>
  <si>
    <t>special remark</t>
  </si>
  <si>
    <t>Assumed vehicle's lifetime: 200'000 km. Assumed vehicle energy consumption: 1.8 MJ/vkm.</t>
  </si>
  <si>
    <t>fuel tank, compressed hydrogen gas, 700bar</t>
  </si>
  <si>
    <t>fuel tank assembly, compressed hydrogen gas, 700bar</t>
  </si>
  <si>
    <t>fuel tank assembly, compressed natural gas, 200 bar</t>
  </si>
  <si>
    <t>fuel tank, compressed natural gas, 200 bar</t>
  </si>
  <si>
    <t>Assumed vehicle's lifetime: 200'000 km. Assumed vehicle energy consumption: 3.7 MJ/vkm.</t>
  </si>
  <si>
    <t>market for charger, electric passenger car</t>
  </si>
  <si>
    <t>charger, electric passenger car</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</si>
  <si>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</si>
  <si>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</si>
  <si>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Sacchi, R., Bauer, C., and Cox, B. Does size matter? The influence of size, load factor, range autonomy and application type on the Life Cycle Assessment of current and future trucks. 2021. Environmental Science and Technology.</t>
  </si>
  <si>
    <t>tag</t>
  </si>
  <si>
    <t>lci-buses</t>
  </si>
  <si>
    <t>other</t>
  </si>
  <si>
    <t>fuel tank, for diesel vehicle</t>
  </si>
  <si>
    <t>fuel tank</t>
  </si>
  <si>
    <t>internal combustion engine, for lorry</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</si>
  <si>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</si>
  <si>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</si>
  <si>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</si>
  <si>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Passenger bus, fuel cell electric, 13m single deck coach bus, 2020</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</si>
  <si>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</si>
  <si>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diesel, burned in single deck coach or urban bus</t>
  </si>
  <si>
    <t>compressed gas, burned in single deck coach or urban bus</t>
  </si>
  <si>
    <t>electricity, used in single deck coach or urban bus</t>
  </si>
  <si>
    <t>hydrogen, used in single deck coach or urban 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</si>
  <si>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</si>
  <si>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electricity, used in single deck trolleybus</t>
  </si>
  <si>
    <t>electricity, used in tram</t>
  </si>
  <si>
    <t>transport, tram</t>
  </si>
  <si>
    <t>person kilometer</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</si>
  <si>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</si>
  <si>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</si>
  <si>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</si>
  <si>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Charging station per vehicle [unit]</t>
  </si>
  <si>
    <t>transport, freight, sea, container ship</t>
  </si>
  <si>
    <t>electricity, used in battery electric motorcycle</t>
  </si>
  <si>
    <t>hydrogen, used in hydrogen motorcycle</t>
  </si>
  <si>
    <t>Assumed 10 times smaller than that of a car</t>
  </si>
  <si>
    <t>petrol, burned in motorcycle</t>
  </si>
  <si>
    <t>Cyclohexane</t>
  </si>
  <si>
    <t>Ethene</t>
  </si>
  <si>
    <t>Arsenic</t>
  </si>
  <si>
    <t>Selenium</t>
  </si>
  <si>
    <t>Zinc</t>
  </si>
  <si>
    <t>Copper</t>
  </si>
  <si>
    <t>Nickel</t>
  </si>
  <si>
    <t>Chromium</t>
  </si>
  <si>
    <t>Mercury</t>
  </si>
  <si>
    <t>Cadmium</t>
  </si>
  <si>
    <t>Carbon dioxide, from soil or biomass stock</t>
  </si>
  <si>
    <t>Particulates, &lt; 2.5 um</t>
  </si>
  <si>
    <t>NMVOC, non-methane volatile organic compounds, unspecified origin</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</si>
  <si>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</si>
  <si>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</si>
  <si>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diesel, burned in heavy duty vehicle</t>
  </si>
  <si>
    <t>Ethane, 1,1,1,2-tetrafluoro-, HFC-134a</t>
  </si>
  <si>
    <t>Hydrocarbons, chlorinated</t>
  </si>
  <si>
    <t>electricity, used in heavy duty vehicle</t>
  </si>
  <si>
    <t>hydrogen, used in heavy duty vehicle</t>
  </si>
  <si>
    <t>compressed gas, burned in heavy duty vehicle</t>
  </si>
  <si>
    <t>Uses an electric scooter charger from ecoinvent 3.7 as a proxy.</t>
  </si>
  <si>
    <t>charger production, for electric scooter</t>
  </si>
  <si>
    <t>charger, for electric scooter</t>
  </si>
  <si>
    <t>treatment of waste electric and electronic equipment, shredding</t>
  </si>
  <si>
    <t>waste electric and electronic equipment</t>
  </si>
  <si>
    <t>Charger</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</si>
  <si>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</si>
  <si>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</si>
  <si>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Charging stand</t>
  </si>
  <si>
    <t>Storage battery</t>
  </si>
  <si>
    <t>electricity, used in passenger car vehicle</t>
  </si>
  <si>
    <t>hydrogen, used in passenger car vehicle</t>
  </si>
  <si>
    <t>diesel, burned in passenger car vehicle</t>
  </si>
  <si>
    <t>petrol, burned in passenger car vehicle</t>
  </si>
  <si>
    <t>compressed gas, burned in passenger car vehicle</t>
  </si>
  <si>
    <t>iron(III) chloride, without water, in 40% solution state</t>
  </si>
  <si>
    <t>Isohexane</t>
  </si>
  <si>
    <t>Hydrocarbons, aliphatic, alkanes, cyclic</t>
  </si>
  <si>
    <t>Pentachlorobenzene</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</si>
  <si>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</si>
  <si>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</si>
  <si>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minimum</t>
  </si>
  <si>
    <t>maximum</t>
  </si>
  <si>
    <t>Energy, geothermal, converted</t>
  </si>
  <si>
    <t>This amount here is not captured (90% efficiency).</t>
  </si>
  <si>
    <t>Oil, crude</t>
  </si>
  <si>
    <t>natural resource::in ground</t>
  </si>
  <si>
    <t>Plastic waste energy input</t>
  </si>
  <si>
    <t>Uranium</t>
  </si>
  <si>
    <t>Plastic waste energy input: 6.1 MJ waste/MJ heat</t>
  </si>
  <si>
    <t>Plastic waste energy input. 9.3 MJ waste/MJ</t>
  </si>
  <si>
    <t>Plastic waste energy input: 6.7 MJ/MJ</t>
  </si>
  <si>
    <t>market for hydrogen, gaseous, low pressure</t>
  </si>
  <si>
    <t>hydrogen, gaseous, low pressure</t>
  </si>
  <si>
    <t>market for chromium trioxide, flakes</t>
  </si>
  <si>
    <t>chromium trioxide, flakes</t>
  </si>
  <si>
    <t>market for battery capacity (MIX scenario)</t>
  </si>
  <si>
    <t>market for battery capacity, Li-ion, LTO</t>
  </si>
  <si>
    <t>loc</t>
  </si>
  <si>
    <t>electricity storage capacity</t>
  </si>
  <si>
    <t>Photovoltaic electricity production.</t>
  </si>
  <si>
    <t>electricity production, photovoltaic, photovoltaic slanted-roof installation, 3 kWp, multi-Si, laminated, integrated</t>
  </si>
  <si>
    <t>electricity production, wind</t>
  </si>
  <si>
    <t>electricity production, wind, 1-3MW turbine, onshore</t>
  </si>
  <si>
    <t>electricity production, from hydrogen fuel cell</t>
  </si>
  <si>
    <t>Wind turbine electricity production.</t>
  </si>
  <si>
    <t>Electricity from hydrogen fuel cell.</t>
  </si>
  <si>
    <t>electricity, residential, by conversion of hydrogen using fuel cell, PEM, allocated by exergy, distributed by pipeline, produced by Electrolysis, PEM using electricity from grid</t>
  </si>
  <si>
    <t>electricity, from residential heating system</t>
  </si>
  <si>
    <t>electricity production, from photovoltaic panels</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</si>
  <si>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</si>
  <si>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</si>
  <si>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</si>
  <si>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diesel, low-sulfur, import from Europe without Switzerland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</si>
</sst>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
    <numFmt numFmtId="165" formatCode="#,##0.0"/>
    <numFmt numFmtId="166" formatCode="[$€-2]\ #,##0;[Red]\-[$€-2]\ #,##0"/>
    <numFmt numFmtId="167" formatCode="0.0"/>
    <numFmt numFmtId="168" formatCode="0.0000"/>
    <numFmt numFmtId="169" formatCode="0.0E+00"/>
    <numFmt numFmtId="170" formatCode="0.000"/>
  </numFmts>
  <fonts count="12" x14ac:knownFonts="1">
    <font>
      <sz val="11"/>
      <color theme="1"/>
      <name val="Calibri"/>
      <family val="2"/>
      <scheme val="minor"/>
    </font>
    <font>
      <sz val="12"/>
      <color theme="1"/>
      <name val="Calibri"/>
      <family val="2"/>
      <scheme val="minor"/>
    </font>
    <font>
      <sz val="11"/>
      <color theme="1"/>
      <name val="Calibri"/>
      <family val="2"/>
      <scheme val="minor"/>
    </font>
    <font>
      <b/>
      <sz val="12"/>
      <color theme="1"/>
      <name val="Calibri"/>
      <family val="2"/>
      <scheme val="minor"/>
    </font>
    <font>
      <b/>
      <u/>
      <sz val="11"/>
      <color theme="1"/>
      <name val="Calibri"/>
      <family val="2"/>
      <scheme val="minor"/>
    </font>
    <font>
      <sz val="10"/>
      <name val="Arial"/>
      <family val="2"/>
    </font>
    <font>
      <sz val="11"/>
      <color theme="1"/>
      <name val="Calibri"/>
      <family val="2"/>
    </font>
    <font>
      <b/>
      <sz val="12"/>
      <color rgb="FF000000"/>
      <name val="Calibri"/>
      <family val="2"/>
    </font>
    <font>
      <sz val="12"/>
      <color theme="1"/>
      <name val="Calibri"/>
      <family val="2"/>
    </font>
    <font>
      <b/>
      <sz val="11"/>
      <color theme="1"/>
      <name val="Calibri"/>
      <family val="2"/>
      <scheme val="minor"/>
    </font>
    <font>
      <sz val="12"/>
      <name val="Calibri (Body)"/>
    </font>
    <font>
      <sz val="10"/>
      <color rgb="FF000000"/>
      <name val="Calibri"/>
      <family val="2"/>
      <scheme val="minor"/>
    </font>
  </fonts>
  <fills count="2">
    <fill>
      <patternFill patternType="none"/>
    </fill>
    <fill>
      <patternFill patternType="gray125"/>
    </fill>
  </fills>
  <borders count="12">
    <border>
      <left/>
      <right/>
      <top/>
      <bottom/>
      <diagonal/>
    </border>
    <border>
      <left style="thin">
        <color auto="1"/>
      </left>
      <right/>
      <top style="thin">
        <color auto="1"/>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auto="1"/>
      </left>
      <right/>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bottom/>
      <diagonal/>
    </border>
  </borders>
  <cellStyleXfs count="2">
    <xf numFmtId="0" fontId="0" fillId="0" borderId="0"/>
    <xf numFmtId="9" fontId="2" fillId="0" borderId="0" applyFont="0" applyFill="0" applyBorder="0" applyAlignment="0" applyProtection="0"/>
  </cellStyleXfs>
  <cellXfs count="70">
    <xf numFmtId="0" fontId="0" fillId="0" borderId="0" xfId="0"/>
    <xf numFmtId="0" fontId="3" fillId="0" borderId="0" xfId="0" applyFont="1"/>
    <xf numFmtId="2" fontId="0" fillId="0" borderId="0" xfId="0" applyNumberFormat="1"/>
    <xf numFmtId="11" fontId="0" fillId="0" borderId="0" xfId="0" applyNumberFormat="1"/>
    <xf numFmtId="0" fontId="4" fillId="0" borderId="0" xfId="0" applyFont="1"/>
    <xf numFmtId="0" fontId="0" fillId="0" borderId="1" xfId="0" applyBorder="1"/>
    <xf numFmtId="0" fontId="0" fillId="0" borderId="1" xfId="0" applyBorder="1" applyAlignment="1">
      <alignment horizontal="right"/>
    </xf>
    <xf numFmtId="0" fontId="0" fillId="0" borderId="2" xfId="0" applyBorder="1"/>
    <xf numFmtId="0" fontId="0" fillId="0" borderId="2" xfId="0" applyBorder="1" applyAlignment="1">
      <alignment horizontal="right"/>
    </xf>
    <xf numFmtId="0" fontId="0" fillId="0" borderId="3" xfId="0" applyBorder="1"/>
    <xf numFmtId="0" fontId="0" fillId="0" borderId="3" xfId="0" applyBorder="1" applyAlignment="1">
      <alignment horizontal="right"/>
    </xf>
    <xf numFmtId="0" fontId="0" fillId="0" borderId="4" xfId="0" applyBorder="1" applyAlignment="1">
      <alignment horizontal="right"/>
    </xf>
    <xf numFmtId="0" fontId="0" fillId="0" borderId="5" xfId="0" applyBorder="1"/>
    <xf numFmtId="164" fontId="5" fillId="0" borderId="5" xfId="1" applyNumberFormat="1" applyFont="1" applyFill="1" applyBorder="1" applyAlignment="1"/>
    <xf numFmtId="164" fontId="5" fillId="0" borderId="0" xfId="1" applyNumberFormat="1" applyFont="1" applyFill="1" applyBorder="1" applyAlignment="1"/>
    <xf numFmtId="164" fontId="0" fillId="0" borderId="0" xfId="0" applyNumberFormat="1"/>
    <xf numFmtId="165" fontId="5" fillId="0" borderId="3" xfId="1" applyNumberFormat="1" applyFont="1" applyFill="1" applyBorder="1" applyAlignment="1"/>
    <xf numFmtId="165" fontId="5" fillId="0" borderId="4" xfId="1" applyNumberFormat="1" applyFont="1" applyFill="1" applyBorder="1" applyAlignment="1"/>
    <xf numFmtId="165" fontId="0" fillId="0" borderId="4" xfId="0" applyNumberFormat="1" applyBorder="1"/>
    <xf numFmtId="0" fontId="0" fillId="0" borderId="6" xfId="0" applyBorder="1" applyAlignment="1">
      <alignment horizontal="right"/>
    </xf>
    <xf numFmtId="0" fontId="0" fillId="0" borderId="7" xfId="0" applyBorder="1" applyAlignment="1">
      <alignment horizontal="right"/>
    </xf>
    <xf numFmtId="165" fontId="0" fillId="0" borderId="7" xfId="0" applyNumberFormat="1" applyBorder="1"/>
    <xf numFmtId="166" fontId="0" fillId="0" borderId="0" xfId="0" applyNumberFormat="1"/>
    <xf numFmtId="9" fontId="0" fillId="0" borderId="0" xfId="1" applyFont="1"/>
    <xf numFmtId="165" fontId="5" fillId="0" borderId="5" xfId="1" applyNumberFormat="1" applyFont="1" applyFill="1" applyBorder="1" applyAlignment="1"/>
    <xf numFmtId="3" fontId="5" fillId="0" borderId="5" xfId="1" applyNumberFormat="1" applyFont="1" applyFill="1" applyBorder="1" applyAlignment="1"/>
    <xf numFmtId="165" fontId="5" fillId="0" borderId="0" xfId="1" applyNumberFormat="1" applyFont="1" applyFill="1" applyBorder="1" applyAlignment="1"/>
    <xf numFmtId="165" fontId="0" fillId="0" borderId="0" xfId="0" applyNumberFormat="1"/>
    <xf numFmtId="0" fontId="0" fillId="0" borderId="0" xfId="0" applyAlignment="1">
      <alignment horizontal="right"/>
    </xf>
    <xf numFmtId="0" fontId="0" fillId="0" borderId="5" xfId="0" applyBorder="1" applyAlignment="1">
      <alignment horizontal="right"/>
    </xf>
    <xf numFmtId="1" fontId="0" fillId="0" borderId="0" xfId="0" applyNumberFormat="1"/>
    <xf numFmtId="0" fontId="0" fillId="0" borderId="4" xfId="0" applyBorder="1"/>
    <xf numFmtId="0" fontId="0" fillId="0" borderId="6" xfId="0" applyBorder="1"/>
    <xf numFmtId="0" fontId="0" fillId="0" borderId="8" xfId="0" applyBorder="1"/>
    <xf numFmtId="0" fontId="0" fillId="0" borderId="9" xfId="0" applyBorder="1"/>
    <xf numFmtId="165" fontId="5" fillId="0" borderId="9" xfId="1" applyNumberFormat="1" applyFont="1" applyFill="1" applyBorder="1" applyAlignment="1"/>
    <xf numFmtId="2" fontId="0" fillId="0" borderId="5" xfId="0" applyNumberFormat="1" applyBorder="1"/>
    <xf numFmtId="167" fontId="0" fillId="0" borderId="4" xfId="0" applyNumberFormat="1" applyBorder="1"/>
    <xf numFmtId="167" fontId="0" fillId="0" borderId="7" xfId="0" applyNumberFormat="1" applyBorder="1"/>
    <xf numFmtId="0" fontId="0" fillId="0" borderId="10" xfId="0" applyBorder="1"/>
    <xf numFmtId="9" fontId="0" fillId="0" borderId="2" xfId="1" applyFont="1" applyBorder="1"/>
    <xf numFmtId="9" fontId="0" fillId="0" borderId="2" xfId="1" applyFont="1" applyFill="1" applyBorder="1"/>
    <xf numFmtId="9" fontId="0" fillId="0" borderId="6" xfId="1" applyFont="1" applyFill="1" applyBorder="1"/>
    <xf numFmtId="9" fontId="0" fillId="0" borderId="4" xfId="1" applyFont="1" applyBorder="1"/>
    <xf numFmtId="9" fontId="0" fillId="0" borderId="4" xfId="1" applyFont="1" applyFill="1" applyBorder="1"/>
    <xf numFmtId="9" fontId="0" fillId="0" borderId="7" xfId="1" applyFont="1" applyFill="1" applyBorder="1"/>
    <xf numFmtId="0" fontId="0" fillId="0" borderId="11" xfId="0" applyBorder="1"/>
    <xf numFmtId="11" fontId="3" fillId="0" borderId="0" xfId="0" applyNumberFormat="1" applyFont="1"/>
    <xf numFmtId="4" fontId="5" fillId="0" borderId="5" xfId="1" applyNumberFormat="1" applyFont="1" applyFill="1" applyBorder="1" applyAlignment="1"/>
    <xf numFmtId="0" fontId="7" fillId="0" borderId="0" xfId="0" applyFont="1"/>
    <xf numFmtId="0" fontId="6" fillId="0" borderId="0" xfId="0" applyFont="1"/>
    <xf numFmtId="11" fontId="6" fillId="0" borderId="0" xfId="0" applyNumberFormat="1" applyFont="1"/>
    <xf numFmtId="2" fontId="6" fillId="0" borderId="0" xfId="0" applyNumberFormat="1" applyFont="1"/>
    <xf numFmtId="0" fontId="2" fillId="0" borderId="0" xfId="0" applyFont="1"/>
    <xf numFmtId="11" fontId="2" fillId="0" borderId="0" xfId="0" applyNumberFormat="1" applyFont="1"/>
    <xf numFmtId="0" fontId="8" fillId="0" borderId="0" xfId="0" applyFont="1"/>
    <xf numFmtId="167" fontId="8" fillId="0" borderId="0" xfId="0" applyNumberFormat="1" applyFont="1"/>
    <xf numFmtId="11" fontId="8" fillId="0" borderId="0" xfId="0" applyNumberFormat="1" applyFont="1"/>
    <xf numFmtId="11" fontId="8" fillId="0" borderId="0" xfId="0" applyNumberFormat="1" applyFont="1" applyAlignment="1">
      <alignment horizontal="right"/>
    </xf>
    <xf numFmtId="168" fontId="8" fillId="0" borderId="0" xfId="0" applyNumberFormat="1" applyFont="1" applyAlignment="1">
      <alignment horizontal="right"/>
    </xf>
    <xf numFmtId="0" fontId="9" fillId="0" borderId="0" xfId="0" applyFont="1"/>
    <xf numFmtId="0" fontId="10" fillId="0" borderId="0" xfId="0" applyFont="1"/>
    <xf numFmtId="169" fontId="8" fillId="0" borderId="0" xfId="0" applyNumberFormat="1" applyFont="1" applyAlignment="1">
      <alignment horizontal="right"/>
    </xf>
    <xf numFmtId="169" fontId="0" fillId="0" borderId="0" xfId="0" applyNumberFormat="1" applyAlignment="1">
      <alignment horizontal="right"/>
    </xf>
    <xf numFmtId="0" fontId="1" fillId="0" borderId="0" xfId="0" applyFont="1"/>
    <xf numFmtId="0" fontId="11" fillId="0" borderId="0" xfId="0" applyFont="1"/>
    <xf numFmtId="170" fontId="0" fillId="0" borderId="0" xfId="0" applyNumberFormat="1"/>
    <xf numFmtId="11" fontId="0" fillId="0" borderId="0" xfId="0" applyNumberFormat="1" applyAlignment="1">
      <alignment horizontal="right"/>
    </xf>
    <xf numFmtId="169" fontId="8" fillId="0" borderId="0" xfId="0" applyNumberFormat="1" applyFont="1"/>
    <xf numFmtId="11" fontId="9" fillId="0" borderId="0" xfId="0" applyNumberFormat="1" applyFont="1"/>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400-000000000000}">
  <dimension ref="A1:Z4123"/>
  <sheetViews>
    <sheetView tabSelected="1" topLeftCell="A1300" workbookViewId="0">
      <selection activeCell="A1319" sqref="A1319"/>
    </sheetView>
  </sheetViews>
  <sheetFormatPr baseColWidth="10" defaultColWidth="8.83203125" defaultRowHeight="15" ns3:dyDescent="0.2"/>
  <cols>
    <col min="1" max="1" width="49.83203125" customWidth="1"/>
    <col min="2" max="2" width="9.83203125" style="3" customWidth="1"/>
    <col min="4" max="4" width="16.6640625" customWidth="1"/>
    <col min="5" max="5" width="13.33203125" customWidth="1"/>
    <col min="6" max="6" width="11.5" customWidth="1"/>
    <col min="7" max="7" width="35.6640625" customWidth="1"/>
    <col min="8" max="8" width="11.83203125" bestFit="1" customWidth="1"/>
    <col min="9" max="9" width="12.33203125" bestFit="1" customWidth="1"/>
    <col min="10" max="10" width="18.6640625" customWidth="1"/>
    <col min="11" max="11" width="11.83203125" bestFit="1" customWidth="1"/>
    <col min="13" max="13" width="9.6640625" bestFit="1" customWidth="1"/>
    <col min="14" max="14" width="10.6640625" bestFit="1" customWidth="1"/>
    <col min="18" max="18" width="9.6640625" bestFit="1" customWidth="1"/>
  </cols>
  <sheetData>
    <row r="1" spans="1:8" ns3:dyDescent="0.2">
      <c r="A1" t="s">
        <v>116</v>
      </c>
      <c r="B1" s="3" t="s">
        <v>117</v>
      </c>
    </row>
    <row r="2" spans="1:8" ht="16.25" customHeight="1" ns3:dyDescent="0.2">
      <c r="A2" s="1"/>
      <c r="B2" s="47"/>
    </row>
    <row r="3" spans="1:8" ht="16" ns3:dyDescent="0.2">
      <c r="A3" s="1" t="s">
        <v>0</v>
      </c>
      <c r="B3" s="47" t="s">
        <v>118</v>
      </c>
    </row>
    <row r="4" spans="1:8" ns3:dyDescent="0.2">
      <c r="A4" t="s">
        <v>1</v>
      </c>
      <c r="B4" s="3" t="s">
        <v>104</v>
      </c>
    </row>
    <row r="5" spans="1:8" ns3:dyDescent="0.2">
      <c r="A5" t="s">
        <v>2</v>
      </c>
      <c r="B5" s="3">
        <v>1</v>
      </c>
    </row>
    <row r="6" spans="1:8" ns3:dyDescent="0.2">
      <c r="A6" t="s">
        <v>3</v>
      </c>
      <c r="B6" s="3" t="s">
        <v>119</v>
      </c>
    </row>
    <row r="7" spans="1:8" ns3:dyDescent="0.2">
      <c r="A7" t="s">
        <v>4</v>
      </c>
      <c r="B7" s="3" t="s">
        <v>5</v>
      </c>
    </row>
    <row r="8" spans="1:8" ns3:dyDescent="0.2">
      <c r="A8" t="s">
        <v>6</v>
      </c>
      <c r="B8" s="3" t="s">
        <v>7</v>
      </c>
    </row>
    <row r="9" spans="1:8" ns3:dyDescent="0.2">
      <c r="A9" t="s">
        <v>8</v>
      </c>
      <c r="B9" s="3" t="s">
        <v>120</v>
      </c>
    </row>
    <row r="10" spans="1:8" ns3:dyDescent="0.2">
      <c r="A10" t="s">
        <v>106</v>
      </c>
      <c r="B10" s="3">
        <v>19</v>
      </c>
    </row>
    <row r="11" spans="1:8" ns3:dyDescent="0.2">
      <c r="A11" t="s">
        <v>107</v>
      </c>
      <c r="B11" s="3">
        <v>0</v>
      </c>
    </row>
    <row r="12" spans="1:8" ns3:dyDescent="0.2">
      <c r="A12" t="s">
        <v>9</v>
      </c>
      <c r="B12" s="3" t="s">
        <v>121</v>
      </c>
    </row>
    <row r="13" spans="1:8" ht="16" ns3:dyDescent="0.2">
      <c r="A13" s="1" t="s">
        <v>10</v>
      </c>
    </row>
    <row r="14" spans="1:8" ns3:dyDescent="0.2">
      <c r="A14" t="s">
        <v>11</v>
      </c>
      <c r="B14" s="3" t="s">
        <v>12</v>
      </c>
      <c r="C14" t="s">
        <v>1</v>
      </c>
      <c r="D14" t="s">
        <v>6</v>
      </c>
      <c r="E14" t="s">
        <v>13</v>
      </c>
      <c r="F14" t="s">
        <v>4</v>
      </c>
      <c r="G14" t="s">
        <v>9</v>
      </c>
      <c r="H14" t="s">
        <v>3</v>
      </c>
    </row>
    <row r="15" spans="1:8" ns3:dyDescent="0.2">
      <c r="A15" s="3" t="str">
        <f>B3</f>
        <v>market for forest residue</v>
      </c>
      <c r="B15" s="3">
        <v>1</v>
      </c>
      <c r="C15" s="3" t="str">
        <f>B4</f>
        <v>CH</v>
      </c>
      <c r="D15" t="s">
        <v>7</v>
      </c>
      <c r="F15" t="s">
        <v>15</v>
      </c>
      <c r="G15" t="s">
        <v>16</v>
      </c>
      <c r="H15" s="3" t="str">
        <f>B6</f>
        <v>forest residue</v>
      </c>
    </row>
    <row r="16" spans="1:8" ns3:dyDescent="0.2">
      <c r="A16" t="s">
        <v>20</v>
      </c>
      <c r="B16" s="3">
        <f>132180*Parameters!$B$3/1000</f>
        <v>0.13945728886199998</v>
      </c>
      <c r="C16" t="s">
        <v>24</v>
      </c>
      <c r="D16" t="s">
        <v>17</v>
      </c>
      <c r="F16" t="s">
        <v>18</v>
      </c>
      <c r="G16" t="s">
        <v>30</v>
      </c>
      <c r="H16" t="s">
        <v>21</v>
      </c>
    </row>
    <row r="17" spans="1:8" ns3:dyDescent="0.2">
      <c r="A17" t="s">
        <v>81</v>
      </c>
      <c r="B17" s="3">
        <f>0.001*100</f>
        <v>0.1</v>
      </c>
      <c r="C17" t="s">
        <v>103</v>
      </c>
      <c r="D17" t="s">
        <v>28</v>
      </c>
      <c r="F17" t="s">
        <v>18</v>
      </c>
      <c r="G17" t="s">
        <v>16</v>
      </c>
      <c r="H17" t="s">
        <v>82</v>
      </c>
    </row>
    <row r="18" spans="1:8" ns3:dyDescent="0.2">
      <c r="A18" t="s">
        <v>35</v>
      </c>
      <c r="B18" s="3">
        <f>B10*(1-B11)</f>
        <v>19</v>
      </c>
      <c r="D18" t="s">
        <v>17</v>
      </c>
      <c r="E18" t="s">
        <v>36</v>
      </c>
      <c r="F18" t="s">
        <v>27</v>
      </c>
      <c r="G18" t="s">
        <v>105</v>
      </c>
    </row>
    <row r="19" spans="1:8" ns3:dyDescent="0.2">
      <c r="A19" t="s">
        <v>110</v>
      </c>
      <c r="B19" s="3">
        <f>0.55*(44/12)*(1-B11)</f>
        <v>2.0166666666666666</v>
      </c>
      <c r="D19" t="s">
        <v>7</v>
      </c>
      <c r="E19" t="s">
        <v>111</v>
      </c>
      <c r="F19" t="s">
        <v>27</v>
      </c>
      <c r="G19" t="s">
        <v>108</v>
      </c>
    </row>
    <row r="20" spans="1:8" ns3:dyDescent="0.2">
      <c r="A20" t="s">
        <v>39</v>
      </c>
      <c r="B20" s="3">
        <v>2.3256000000000001E-3</v>
      </c>
      <c r="D20" t="s">
        <v>37</v>
      </c>
      <c r="E20" t="s">
        <v>36</v>
      </c>
      <c r="F20" t="s">
        <v>27</v>
      </c>
      <c r="G20" t="s">
        <v>38</v>
      </c>
    </row>
    <row r="21" spans="1:8" ns3:dyDescent="0.2">
      <c r="G21" s="3"/>
    </row>
    <row r="22" spans="1:8" ht="16" ns3:dyDescent="0.2">
      <c r="A22" s="1" t="s">
        <v>0</v>
      </c>
      <c r="B22" s="47" t="s">
        <v>123</v>
      </c>
    </row>
    <row r="23" spans="1:8" ns3:dyDescent="0.2">
      <c r="A23" t="s">
        <v>1</v>
      </c>
      <c r="B23" s="3" t="s">
        <v>104</v>
      </c>
    </row>
    <row r="24" spans="1:8" ns3:dyDescent="0.2">
      <c r="A24" t="s">
        <v>2</v>
      </c>
      <c r="B24" s="3">
        <v>1</v>
      </c>
    </row>
    <row r="25" spans="1:8" ns3:dyDescent="0.2">
      <c r="A25" t="s">
        <v>3</v>
      </c>
      <c r="B25" s="3" t="s">
        <v>124</v>
      </c>
    </row>
    <row r="26" spans="1:8" ns3:dyDescent="0.2">
      <c r="A26" t="s">
        <v>4</v>
      </c>
      <c r="B26" s="3" t="s">
        <v>5</v>
      </c>
    </row>
    <row r="27" spans="1:8" ns3:dyDescent="0.2">
      <c r="A27" t="s">
        <v>6</v>
      </c>
      <c r="B27" s="3" t="s">
        <v>17</v>
      </c>
    </row>
    <row r="28" spans="1:8" ns3:dyDescent="0.2">
      <c r="A28" t="s">
        <v>261</v>
      </c>
      <c r="B28" s="23">
        <f>0.37*66%</f>
        <v>0.2442</v>
      </c>
    </row>
    <row r="29" spans="1:8" ns3:dyDescent="0.2">
      <c r="A29" t="s">
        <v>8</v>
      </c>
      <c r="B29" s="3" t="s">
        <v>122</v>
      </c>
    </row>
    <row r="30" spans="1:8" ns3:dyDescent="0.2">
      <c r="A30" t="s">
        <v>9</v>
      </c>
      <c r="B30" s="3" t="s">
        <v>128</v>
      </c>
    </row>
    <row r="31" spans="1:8" ht="16" ns3:dyDescent="0.2">
      <c r="A31" s="1" t="s">
        <v>10</v>
      </c>
    </row>
    <row r="32" spans="1:8" ns3:dyDescent="0.2">
      <c r="A32" t="s">
        <v>11</v>
      </c>
      <c r="B32" s="3" t="s">
        <v>12</v>
      </c>
      <c r="C32" t="s">
        <v>1</v>
      </c>
      <c r="D32" t="s">
        <v>6</v>
      </c>
      <c r="E32" t="s">
        <v>13</v>
      </c>
      <c r="F32" t="s">
        <v>4</v>
      </c>
      <c r="G32" t="s">
        <v>9</v>
      </c>
      <c r="H32" t="s">
        <v>3</v>
      </c>
    </row>
    <row r="33" spans="1:8" ns3:dyDescent="0.2">
      <c r="A33" s="3" t="str">
        <f>B22</f>
        <v>heat production, from incineration of plastic waste mixture, energy allocation</v>
      </c>
      <c r="B33" s="3">
        <v>1</v>
      </c>
      <c r="C33" s="3" t="str">
        <f>B23</f>
        <v>CH</v>
      </c>
      <c r="D33" s="3" t="str">
        <f>B27</f>
        <v>megajoule</v>
      </c>
      <c r="F33" t="s">
        <v>15</v>
      </c>
      <c r="G33" t="s">
        <v>16</v>
      </c>
      <c r="H33" s="3" t="str">
        <f>B25</f>
        <v>heat, from incineration of plastic waste mixture, energy allocation</v>
      </c>
    </row>
    <row r="34" spans="1:8" ns3:dyDescent="0.2">
      <c r="A34" t="s">
        <v>149</v>
      </c>
      <c r="B34" s="3">
        <v>1.2699741156169109E-4</v>
      </c>
      <c r="C34" s="3" t="s">
        <v>103</v>
      </c>
      <c r="D34" t="s">
        <v>7</v>
      </c>
      <c r="F34" t="s">
        <v>18</v>
      </c>
      <c r="G34" s="2"/>
      <c r="H34" t="s">
        <v>170</v>
      </c>
    </row>
    <row r="35" spans="1:8" ns3:dyDescent="0.2">
      <c r="A35" t="s">
        <v>150</v>
      </c>
      <c r="B35" s="3">
        <v>3.4647972389991371E-7</v>
      </c>
      <c r="C35" s="3" t="s">
        <v>103</v>
      </c>
      <c r="D35" t="s">
        <v>7</v>
      </c>
      <c r="F35" t="s">
        <v>18</v>
      </c>
      <c r="G35" s="2"/>
      <c r="H35" t="s">
        <v>171</v>
      </c>
    </row>
    <row r="36" spans="1:8" ns3:dyDescent="0.2">
      <c r="A36" t="s">
        <v>168</v>
      </c>
      <c r="B36" s="3">
        <v>2.8979292493528904E-4</v>
      </c>
      <c r="C36" s="3" t="s">
        <v>104</v>
      </c>
      <c r="D36" t="s">
        <v>7</v>
      </c>
      <c r="F36" t="s">
        <v>18</v>
      </c>
      <c r="G36" s="2"/>
      <c r="H36" t="s">
        <v>186</v>
      </c>
    </row>
    <row r="37" spans="1:8" ns3:dyDescent="0.2">
      <c r="A37" t="s">
        <v>151</v>
      </c>
      <c r="B37" s="3">
        <v>2.6754961173425365E-5</v>
      </c>
      <c r="C37" s="3" t="s">
        <v>24</v>
      </c>
      <c r="D37" t="s">
        <v>7</v>
      </c>
      <c r="F37" t="s">
        <v>18</v>
      </c>
      <c r="G37" s="2"/>
      <c r="H37" t="s">
        <v>172</v>
      </c>
    </row>
    <row r="38" spans="1:8" ns3:dyDescent="0.2">
      <c r="A38" t="s">
        <v>152</v>
      </c>
      <c r="B38" s="3">
        <v>1.5343399482312336E-6</v>
      </c>
      <c r="C38" s="3" t="s">
        <v>24</v>
      </c>
      <c r="D38" t="s">
        <v>7</v>
      </c>
      <c r="F38" t="s">
        <v>18</v>
      </c>
      <c r="G38" s="2"/>
      <c r="H38" t="s">
        <v>173</v>
      </c>
    </row>
    <row r="39" spans="1:8" ns3:dyDescent="0.2">
      <c r="A39" t="s">
        <v>493</v>
      </c>
      <c r="B39" s="3">
        <v>1.623727351164797E-7</v>
      </c>
      <c r="C39" s="3" t="s">
        <v>24</v>
      </c>
      <c r="D39" t="s">
        <v>7</v>
      </c>
      <c r="F39" t="s">
        <v>18</v>
      </c>
      <c r="G39" s="2"/>
      <c r="H39" t="s">
        <v>494</v>
      </c>
    </row>
    <row r="40" spans="1:8" ns3:dyDescent="0.2">
      <c r="A40" t="s">
        <v>169</v>
      </c>
      <c r="B40" s="3">
        <v>2.3748058671268332E-2</v>
      </c>
      <c r="C40" s="3" t="s">
        <v>104</v>
      </c>
      <c r="D40" t="s">
        <v>17</v>
      </c>
      <c r="F40" t="s">
        <v>18</v>
      </c>
      <c r="G40" s="2"/>
      <c r="H40" t="s">
        <v>187</v>
      </c>
    </row>
    <row r="41" spans="1:8" ns3:dyDescent="0.2">
      <c r="A41" t="s">
        <v>153</v>
      </c>
      <c r="B41" s="3">
        <v>2.6030198446937014E-5</v>
      </c>
      <c r="C41" s="3" t="s">
        <v>103</v>
      </c>
      <c r="D41" t="s">
        <v>7</v>
      </c>
      <c r="F41" t="s">
        <v>18</v>
      </c>
      <c r="G41" s="2"/>
      <c r="H41" t="s">
        <v>174</v>
      </c>
    </row>
    <row r="42" spans="1:8" ns3:dyDescent="0.2">
      <c r="A42" t="s">
        <v>154</v>
      </c>
      <c r="B42" s="3">
        <v>4.8353753235547878E-5</v>
      </c>
      <c r="C42" s="3" t="s">
        <v>103</v>
      </c>
      <c r="D42" t="s">
        <v>7</v>
      </c>
      <c r="F42" t="s">
        <v>18</v>
      </c>
      <c r="G42" s="2"/>
      <c r="H42" t="s">
        <v>175</v>
      </c>
    </row>
    <row r="43" spans="1:8" ns3:dyDescent="0.2">
      <c r="A43" t="s">
        <v>155</v>
      </c>
      <c r="B43" s="3">
        <v>4.1976704055220016E-6</v>
      </c>
      <c r="C43" s="3" t="s">
        <v>24</v>
      </c>
      <c r="D43" t="s">
        <v>7</v>
      </c>
      <c r="F43" t="s">
        <v>18</v>
      </c>
      <c r="G43" s="2"/>
      <c r="H43" t="s">
        <v>474</v>
      </c>
    </row>
    <row r="44" spans="1:8" ns3:dyDescent="0.2">
      <c r="A44" t="s">
        <v>156</v>
      </c>
      <c r="B44" s="3">
        <v>-3.8813632441760132E-4</v>
      </c>
      <c r="C44" s="3" t="s">
        <v>24</v>
      </c>
      <c r="D44" t="s">
        <v>7</v>
      </c>
      <c r="F44" t="s">
        <v>18</v>
      </c>
      <c r="G44" s="2"/>
      <c r="H44" t="s">
        <v>176</v>
      </c>
    </row>
    <row r="45" spans="1:8" ns3:dyDescent="0.2">
      <c r="A45" t="s">
        <v>157</v>
      </c>
      <c r="B45" s="3">
        <v>2.157031924072476E-11</v>
      </c>
      <c r="C45" s="3" t="s">
        <v>104</v>
      </c>
      <c r="D45" t="s">
        <v>6</v>
      </c>
      <c r="F45" t="s">
        <v>18</v>
      </c>
      <c r="G45" s="2"/>
      <c r="H45" t="s">
        <v>177</v>
      </c>
    </row>
    <row r="46" spans="1:8" ns3:dyDescent="0.2">
      <c r="A46" t="s">
        <v>158</v>
      </c>
      <c r="B46" s="3">
        <v>1.4444348576358927E-3</v>
      </c>
      <c r="C46" s="3" t="s">
        <v>104</v>
      </c>
      <c r="D46" t="s">
        <v>7</v>
      </c>
      <c r="F46" t="s">
        <v>18</v>
      </c>
      <c r="G46" s="2"/>
      <c r="H46" t="s">
        <v>158</v>
      </c>
    </row>
    <row r="47" spans="1:8" ns3:dyDescent="0.2">
      <c r="A47" t="s">
        <v>159</v>
      </c>
      <c r="B47" s="3">
        <v>2.2925798101811907E-3</v>
      </c>
      <c r="C47" s="3" t="s">
        <v>104</v>
      </c>
      <c r="D47" t="s">
        <v>7</v>
      </c>
      <c r="F47" t="s">
        <v>18</v>
      </c>
      <c r="G47" s="2"/>
      <c r="H47" t="s">
        <v>159</v>
      </c>
    </row>
    <row r="48" spans="1:8" ns3:dyDescent="0.2">
      <c r="A48" t="s">
        <v>160</v>
      </c>
      <c r="B48" s="3">
        <v>8.0711820534943907E-4</v>
      </c>
      <c r="C48" s="3" t="s">
        <v>103</v>
      </c>
      <c r="D48" t="s">
        <v>7</v>
      </c>
      <c r="F48" t="s">
        <v>18</v>
      </c>
      <c r="G48" s="2"/>
      <c r="H48" t="s">
        <v>178</v>
      </c>
    </row>
    <row r="49" spans="1:8" ns3:dyDescent="0.2">
      <c r="A49" t="s">
        <v>161</v>
      </c>
      <c r="B49" s="3">
        <v>3.0092320966350298E-12</v>
      </c>
      <c r="C49" s="3" t="s">
        <v>104</v>
      </c>
      <c r="D49" t="s">
        <v>6</v>
      </c>
      <c r="F49" t="s">
        <v>18</v>
      </c>
      <c r="G49" s="2"/>
      <c r="H49" t="s">
        <v>179</v>
      </c>
    </row>
    <row r="50" spans="1:8" ns3:dyDescent="0.2">
      <c r="A50" t="s">
        <v>162</v>
      </c>
      <c r="B50" s="3">
        <v>4.0756686798964627E-12</v>
      </c>
      <c r="C50" s="3" t="s">
        <v>104</v>
      </c>
      <c r="D50" t="s">
        <v>6</v>
      </c>
      <c r="F50" t="s">
        <v>18</v>
      </c>
      <c r="G50" s="2"/>
      <c r="H50" t="s">
        <v>180</v>
      </c>
    </row>
    <row r="51" spans="1:8" ns3:dyDescent="0.2">
      <c r="A51" t="s">
        <v>163</v>
      </c>
      <c r="B51" s="3">
        <v>2.151768766177739E-4</v>
      </c>
      <c r="C51" s="3" t="s">
        <v>267</v>
      </c>
      <c r="D51" t="s">
        <v>7</v>
      </c>
      <c r="F51" t="s">
        <v>18</v>
      </c>
      <c r="G51" s="2"/>
      <c r="H51" t="s">
        <v>181</v>
      </c>
    </row>
    <row r="52" spans="1:8" ns3:dyDescent="0.2">
      <c r="A52" t="s">
        <v>164</v>
      </c>
      <c r="B52" s="3">
        <v>-3.6471958584987054E-7</v>
      </c>
      <c r="C52" s="3" t="s">
        <v>24</v>
      </c>
      <c r="D52" t="s">
        <v>7</v>
      </c>
      <c r="F52" t="s">
        <v>18</v>
      </c>
      <c r="G52" s="2"/>
      <c r="H52" t="s">
        <v>182</v>
      </c>
    </row>
    <row r="53" spans="1:8" ns3:dyDescent="0.2">
      <c r="A53" t="s">
        <v>165</v>
      </c>
      <c r="B53" s="3">
        <v>7.9564279551337343E-6</v>
      </c>
      <c r="C53" s="3" t="s">
        <v>103</v>
      </c>
      <c r="D53" t="s">
        <v>7</v>
      </c>
      <c r="F53" t="s">
        <v>18</v>
      </c>
      <c r="G53" s="2"/>
      <c r="H53" t="s">
        <v>183</v>
      </c>
    </row>
    <row r="54" spans="1:8" ns3:dyDescent="0.2">
      <c r="A54" t="s">
        <v>81</v>
      </c>
      <c r="B54" s="3">
        <v>1.3596203623813632E-4</v>
      </c>
      <c r="C54" s="3" t="s">
        <v>103</v>
      </c>
      <c r="D54" t="s">
        <v>28</v>
      </c>
      <c r="F54" t="s">
        <v>18</v>
      </c>
      <c r="G54" s="2"/>
      <c r="H54" t="s">
        <v>82</v>
      </c>
    </row>
    <row r="55" spans="1:8" ns3:dyDescent="0.2">
      <c r="A55" t="s">
        <v>166</v>
      </c>
      <c r="B55" s="3">
        <v>-7.2448662640207061E-4</v>
      </c>
      <c r="C55" s="3" t="s">
        <v>104</v>
      </c>
      <c r="D55" t="s">
        <v>7</v>
      </c>
      <c r="F55" t="s">
        <v>18</v>
      </c>
      <c r="G55" s="2"/>
      <c r="H55" t="s">
        <v>184</v>
      </c>
    </row>
    <row r="56" spans="1:8" ns3:dyDescent="0.2">
      <c r="A56" t="s">
        <v>167</v>
      </c>
      <c r="B56" s="3">
        <v>0.31717860224331318</v>
      </c>
      <c r="C56" s="3" t="s">
        <v>104</v>
      </c>
      <c r="D56" t="s">
        <v>7</v>
      </c>
      <c r="F56" t="s">
        <v>18</v>
      </c>
      <c r="G56" s="2"/>
      <c r="H56" t="s">
        <v>185</v>
      </c>
    </row>
    <row r="57" spans="1:8" ns3:dyDescent="0.2">
      <c r="A57" t="s">
        <v>188</v>
      </c>
      <c r="B57" s="3">
        <v>1.3128559102674717E-11</v>
      </c>
      <c r="C57" s="3"/>
      <c r="D57" t="s">
        <v>7</v>
      </c>
      <c r="E57" t="s">
        <v>244</v>
      </c>
      <c r="F57" t="s">
        <v>27</v>
      </c>
      <c r="G57" s="2"/>
    </row>
    <row r="58" spans="1:8" ns3:dyDescent="0.2">
      <c r="A58" t="s">
        <v>189</v>
      </c>
      <c r="B58" s="3">
        <v>1.4930974978429678E-7</v>
      </c>
      <c r="C58" s="3"/>
      <c r="D58" t="s">
        <v>7</v>
      </c>
      <c r="E58" t="s">
        <v>244</v>
      </c>
      <c r="F58" t="s">
        <v>27</v>
      </c>
      <c r="G58" s="2"/>
    </row>
    <row r="59" spans="1:8" ns3:dyDescent="0.2">
      <c r="A59" t="s">
        <v>190</v>
      </c>
      <c r="B59" s="3">
        <v>2.7710957722174288E-12</v>
      </c>
      <c r="C59" s="3"/>
      <c r="D59" t="s">
        <v>7</v>
      </c>
      <c r="E59" t="s">
        <v>244</v>
      </c>
      <c r="F59" t="s">
        <v>27</v>
      </c>
      <c r="G59" s="2"/>
    </row>
    <row r="60" spans="1:8" ns3:dyDescent="0.2">
      <c r="A60" t="s">
        <v>191</v>
      </c>
      <c r="B60" s="3">
        <v>1.1982743744607419E-9</v>
      </c>
      <c r="C60" s="3"/>
      <c r="D60" t="s">
        <v>7</v>
      </c>
      <c r="E60" t="s">
        <v>244</v>
      </c>
      <c r="F60" t="s">
        <v>27</v>
      </c>
      <c r="G60" s="2"/>
    </row>
    <row r="61" spans="1:8" ns3:dyDescent="0.2">
      <c r="A61" t="s">
        <v>192</v>
      </c>
      <c r="B61" s="3">
        <v>5.8936151855047445E-8</v>
      </c>
      <c r="C61" s="3"/>
      <c r="D61" t="s">
        <v>7</v>
      </c>
      <c r="E61" t="s">
        <v>244</v>
      </c>
      <c r="F61" t="s">
        <v>27</v>
      </c>
      <c r="G61" s="2"/>
    </row>
    <row r="62" spans="1:8" ns3:dyDescent="0.2">
      <c r="A62" t="s">
        <v>193</v>
      </c>
      <c r="B62" s="3">
        <v>1.2956859361518551E-9</v>
      </c>
      <c r="C62" s="3"/>
      <c r="D62" t="s">
        <v>7</v>
      </c>
      <c r="E62" t="s">
        <v>244</v>
      </c>
      <c r="F62" t="s">
        <v>27</v>
      </c>
      <c r="G62" s="2"/>
    </row>
    <row r="63" spans="1:8" ns3:dyDescent="0.2">
      <c r="A63" t="s">
        <v>194</v>
      </c>
      <c r="B63" s="3">
        <v>2.7093183779119927E-12</v>
      </c>
      <c r="C63" s="3"/>
      <c r="D63" t="s">
        <v>7</v>
      </c>
      <c r="E63" t="s">
        <v>244</v>
      </c>
      <c r="F63" t="s">
        <v>27</v>
      </c>
      <c r="G63" s="2"/>
    </row>
    <row r="64" spans="1:8" ns3:dyDescent="0.2">
      <c r="A64" t="s">
        <v>477</v>
      </c>
      <c r="B64" s="3">
        <v>6.8457290767903355E-12</v>
      </c>
      <c r="C64" s="3"/>
      <c r="D64" t="s">
        <v>7</v>
      </c>
      <c r="E64" t="s">
        <v>244</v>
      </c>
      <c r="F64" t="s">
        <v>27</v>
      </c>
      <c r="G64" s="2"/>
    </row>
    <row r="65" spans="1:7" ns3:dyDescent="0.2">
      <c r="A65" t="s">
        <v>195</v>
      </c>
      <c r="B65" s="3">
        <v>2.8834339948231233E-14</v>
      </c>
      <c r="C65" s="3"/>
      <c r="D65" t="s">
        <v>7</v>
      </c>
      <c r="E65" t="s">
        <v>244</v>
      </c>
      <c r="F65" t="s">
        <v>27</v>
      </c>
      <c r="G65" s="2"/>
    </row>
    <row r="66" spans="1:7" ns3:dyDescent="0.2">
      <c r="A66" t="s">
        <v>196</v>
      </c>
      <c r="B66" s="3">
        <v>2.815099223468507E-9</v>
      </c>
      <c r="C66" s="3"/>
      <c r="D66" t="s">
        <v>7</v>
      </c>
      <c r="E66" t="s">
        <v>244</v>
      </c>
      <c r="F66" t="s">
        <v>27</v>
      </c>
      <c r="G66" s="2"/>
    </row>
    <row r="67" spans="1:7" ns3:dyDescent="0.2">
      <c r="A67" t="s">
        <v>197</v>
      </c>
      <c r="B67" s="3">
        <v>3.3329594477998272E-9</v>
      </c>
      <c r="C67" s="3"/>
      <c r="D67" t="s">
        <v>7</v>
      </c>
      <c r="E67" t="s">
        <v>244</v>
      </c>
      <c r="F67" t="s">
        <v>27</v>
      </c>
      <c r="G67" s="2"/>
    </row>
    <row r="68" spans="1:7" ns3:dyDescent="0.2">
      <c r="A68" t="s">
        <v>144</v>
      </c>
      <c r="B68" s="3">
        <v>0.19924072476272647</v>
      </c>
      <c r="C68" s="3"/>
      <c r="D68" t="s">
        <v>7</v>
      </c>
      <c r="E68" t="s">
        <v>244</v>
      </c>
      <c r="F68" t="s">
        <v>27</v>
      </c>
      <c r="G68" s="2"/>
    </row>
    <row r="69" spans="1:7" ns3:dyDescent="0.2">
      <c r="A69" t="s">
        <v>198</v>
      </c>
      <c r="B69" s="3">
        <v>2.2025884383088867E-6</v>
      </c>
      <c r="C69" s="3"/>
      <c r="D69" t="s">
        <v>7</v>
      </c>
      <c r="E69" t="s">
        <v>244</v>
      </c>
      <c r="F69" t="s">
        <v>27</v>
      </c>
      <c r="G69" s="2"/>
    </row>
    <row r="70" spans="1:7" ns3:dyDescent="0.2">
      <c r="A70" t="s">
        <v>199</v>
      </c>
      <c r="B70" s="3">
        <v>2.872993960310612E-9</v>
      </c>
      <c r="C70" s="3"/>
      <c r="D70" t="s">
        <v>7</v>
      </c>
      <c r="E70" t="s">
        <v>244</v>
      </c>
      <c r="F70" t="s">
        <v>27</v>
      </c>
      <c r="G70" s="2"/>
    </row>
    <row r="71" spans="1:7" ns3:dyDescent="0.2">
      <c r="A71" t="s">
        <v>200</v>
      </c>
      <c r="B71" s="3">
        <v>4.6255392579810181E-9</v>
      </c>
      <c r="C71" s="3"/>
      <c r="D71" t="s">
        <v>7</v>
      </c>
      <c r="E71" t="s">
        <v>244</v>
      </c>
      <c r="F71" t="s">
        <v>27</v>
      </c>
      <c r="G71" s="2"/>
    </row>
    <row r="72" spans="1:7" ns3:dyDescent="0.2">
      <c r="A72" t="s">
        <v>201</v>
      </c>
      <c r="B72" s="3">
        <v>2.3423641069887831E-9</v>
      </c>
      <c r="C72" s="3"/>
      <c r="D72" t="s">
        <v>7</v>
      </c>
      <c r="E72" t="s">
        <v>244</v>
      </c>
      <c r="F72" t="s">
        <v>27</v>
      </c>
      <c r="G72" s="2"/>
    </row>
    <row r="73" spans="1:7" ns3:dyDescent="0.2">
      <c r="A73" t="s">
        <v>202</v>
      </c>
      <c r="B73" s="3">
        <v>1.6898188093183777E-6</v>
      </c>
      <c r="C73" s="3"/>
      <c r="D73" t="s">
        <v>7</v>
      </c>
      <c r="E73" t="s">
        <v>244</v>
      </c>
      <c r="F73" t="s">
        <v>27</v>
      </c>
      <c r="G73" s="2"/>
    </row>
    <row r="74" spans="1:7" ns3:dyDescent="0.2">
      <c r="A74" t="s">
        <v>203</v>
      </c>
      <c r="B74" s="3">
        <v>7.8652286453839509E-6</v>
      </c>
      <c r="C74" s="3"/>
      <c r="D74" t="s">
        <v>7</v>
      </c>
      <c r="E74" t="s">
        <v>244</v>
      </c>
      <c r="F74" t="s">
        <v>27</v>
      </c>
      <c r="G74" s="2"/>
    </row>
    <row r="75" spans="1:7" ns3:dyDescent="0.2">
      <c r="A75" t="s">
        <v>204</v>
      </c>
      <c r="B75" s="3">
        <v>2.591285591026747E-15</v>
      </c>
      <c r="C75" s="3"/>
      <c r="D75" t="s">
        <v>7</v>
      </c>
      <c r="E75" t="s">
        <v>244</v>
      </c>
      <c r="F75" t="s">
        <v>27</v>
      </c>
      <c r="G75" s="2"/>
    </row>
    <row r="76" spans="1:7" ns3:dyDescent="0.2">
      <c r="A76" t="s">
        <v>205</v>
      </c>
      <c r="B76" s="3">
        <v>2.1375323554788608</v>
      </c>
      <c r="C76" s="3"/>
      <c r="D76" t="s">
        <v>17</v>
      </c>
      <c r="E76" t="s">
        <v>244</v>
      </c>
      <c r="F76" t="s">
        <v>27</v>
      </c>
      <c r="G76" s="2"/>
    </row>
    <row r="77" spans="1:7" ns3:dyDescent="0.2">
      <c r="A77" t="s">
        <v>206</v>
      </c>
      <c r="B77" s="3">
        <v>8.9266609145815352E-7</v>
      </c>
      <c r="C77" s="3"/>
      <c r="D77" t="s">
        <v>7</v>
      </c>
      <c r="E77" t="s">
        <v>244</v>
      </c>
      <c r="F77" t="s">
        <v>27</v>
      </c>
      <c r="G77" s="2"/>
    </row>
    <row r="78" spans="1:7" ns3:dyDescent="0.2">
      <c r="A78" t="s">
        <v>207</v>
      </c>
      <c r="B78" s="3">
        <v>7.9848144952545281E-9</v>
      </c>
      <c r="C78" s="3"/>
      <c r="D78" t="s">
        <v>7</v>
      </c>
      <c r="E78" t="s">
        <v>244</v>
      </c>
      <c r="F78" t="s">
        <v>27</v>
      </c>
      <c r="G78" s="2"/>
    </row>
    <row r="79" spans="1:7" ns3:dyDescent="0.2">
      <c r="A79" t="s">
        <v>208</v>
      </c>
      <c r="B79" s="3">
        <v>5.3757549611734245E-10</v>
      </c>
      <c r="C79" s="3"/>
      <c r="D79" t="s">
        <v>7</v>
      </c>
      <c r="E79" t="s">
        <v>244</v>
      </c>
      <c r="F79" t="s">
        <v>27</v>
      </c>
      <c r="G79" s="2"/>
    </row>
    <row r="80" spans="1:7" ns3:dyDescent="0.2">
      <c r="A80" t="s">
        <v>209</v>
      </c>
      <c r="B80" s="3">
        <v>3.0978429680759274E-9</v>
      </c>
      <c r="C80" s="3"/>
      <c r="D80" t="s">
        <v>7</v>
      </c>
      <c r="E80" t="s">
        <v>244</v>
      </c>
      <c r="F80" t="s">
        <v>27</v>
      </c>
      <c r="G80" s="2"/>
    </row>
    <row r="81" spans="1:7" ns3:dyDescent="0.2">
      <c r="A81" t="s">
        <v>210</v>
      </c>
      <c r="B81" s="3">
        <v>1.228817946505608E-9</v>
      </c>
      <c r="C81" s="3"/>
      <c r="D81" t="s">
        <v>7</v>
      </c>
      <c r="E81" t="s">
        <v>244</v>
      </c>
      <c r="F81" t="s">
        <v>27</v>
      </c>
      <c r="G81" s="2"/>
    </row>
    <row r="82" spans="1:7" ns3:dyDescent="0.2">
      <c r="A82" t="s">
        <v>211</v>
      </c>
      <c r="B82" s="3">
        <v>1.9383951682484898E-9</v>
      </c>
      <c r="C82" s="3"/>
      <c r="D82" t="s">
        <v>7</v>
      </c>
      <c r="E82" t="s">
        <v>244</v>
      </c>
      <c r="F82" t="s">
        <v>27</v>
      </c>
      <c r="G82" s="2"/>
    </row>
    <row r="83" spans="1:7" ns3:dyDescent="0.2">
      <c r="A83" t="s">
        <v>212</v>
      </c>
      <c r="B83" s="3">
        <v>1.9435720448662638E-8</v>
      </c>
      <c r="C83" s="3"/>
      <c r="D83" t="s">
        <v>7</v>
      </c>
      <c r="E83" t="s">
        <v>244</v>
      </c>
      <c r="F83" t="s">
        <v>27</v>
      </c>
      <c r="G83" s="2"/>
    </row>
    <row r="84" spans="1:7" ns3:dyDescent="0.2">
      <c r="A84" t="s">
        <v>213</v>
      </c>
      <c r="B84" s="3">
        <v>5.8968075927523725E-8</v>
      </c>
      <c r="C84" s="3"/>
      <c r="D84" t="s">
        <v>7</v>
      </c>
      <c r="E84" t="s">
        <v>244</v>
      </c>
      <c r="F84" t="s">
        <v>27</v>
      </c>
      <c r="G84" s="2"/>
    </row>
    <row r="85" spans="1:7" ns3:dyDescent="0.2">
      <c r="A85" t="s">
        <v>214</v>
      </c>
      <c r="B85" s="3">
        <v>2.0834339948231234E-9</v>
      </c>
      <c r="C85" s="3"/>
      <c r="D85" t="s">
        <v>7</v>
      </c>
      <c r="E85" t="s">
        <v>244</v>
      </c>
      <c r="F85" t="s">
        <v>27</v>
      </c>
      <c r="G85" s="2"/>
    </row>
    <row r="86" spans="1:7" ns3:dyDescent="0.2">
      <c r="A86" t="s">
        <v>215</v>
      </c>
      <c r="B86" s="3">
        <v>4.7282139775668672E-5</v>
      </c>
      <c r="C86" s="3"/>
      <c r="D86" t="s">
        <v>7</v>
      </c>
      <c r="E86" t="s">
        <v>244</v>
      </c>
      <c r="F86" t="s">
        <v>27</v>
      </c>
      <c r="G86" s="2"/>
    </row>
    <row r="87" spans="1:7" ns3:dyDescent="0.2">
      <c r="A87" t="s">
        <v>216</v>
      </c>
      <c r="B87" s="3">
        <v>1.5470232959447798E-7</v>
      </c>
      <c r="C87" s="3"/>
      <c r="D87" t="s">
        <v>7</v>
      </c>
      <c r="E87" t="s">
        <v>244</v>
      </c>
      <c r="F87" t="s">
        <v>27</v>
      </c>
      <c r="G87" s="2"/>
    </row>
    <row r="88" spans="1:7" ns3:dyDescent="0.2">
      <c r="A88" t="s">
        <v>217</v>
      </c>
      <c r="B88" s="3">
        <v>7.7737704918032776E-10</v>
      </c>
      <c r="C88" s="3"/>
      <c r="D88" t="s">
        <v>7</v>
      </c>
      <c r="E88" t="s">
        <v>244</v>
      </c>
      <c r="F88" t="s">
        <v>27</v>
      </c>
      <c r="G88" s="2"/>
    </row>
    <row r="89" spans="1:7" ns3:dyDescent="0.2">
      <c r="A89" t="s">
        <v>218</v>
      </c>
      <c r="B89" s="3">
        <v>5.642709232096634E-13</v>
      </c>
      <c r="C89" s="3"/>
      <c r="D89" t="s">
        <v>7</v>
      </c>
      <c r="E89" t="s">
        <v>244</v>
      </c>
      <c r="F89" t="s">
        <v>27</v>
      </c>
      <c r="G89" s="2"/>
    </row>
    <row r="90" spans="1:7" ns3:dyDescent="0.2">
      <c r="A90" t="s">
        <v>219</v>
      </c>
      <c r="B90" s="3">
        <v>2.0169974115616912E-9</v>
      </c>
      <c r="C90" s="3"/>
      <c r="D90" t="s">
        <v>7</v>
      </c>
      <c r="E90" t="s">
        <v>244</v>
      </c>
      <c r="F90" t="s">
        <v>27</v>
      </c>
      <c r="G90" s="2"/>
    </row>
    <row r="91" spans="1:7" ns3:dyDescent="0.2">
      <c r="A91" t="s">
        <v>220</v>
      </c>
      <c r="B91" s="3">
        <v>9.6867989646246756E-7</v>
      </c>
      <c r="C91" s="3"/>
      <c r="D91" t="s">
        <v>7</v>
      </c>
      <c r="E91" t="s">
        <v>244</v>
      </c>
      <c r="F91" t="s">
        <v>27</v>
      </c>
      <c r="G91" s="2"/>
    </row>
    <row r="92" spans="1:7" ns3:dyDescent="0.2">
      <c r="A92" t="s">
        <v>221</v>
      </c>
      <c r="B92" s="3">
        <v>7.1252804141501287E-10</v>
      </c>
      <c r="C92" s="3"/>
      <c r="D92" t="s">
        <v>7</v>
      </c>
      <c r="E92" t="s">
        <v>244</v>
      </c>
      <c r="F92" t="s">
        <v>27</v>
      </c>
      <c r="G92" s="2"/>
    </row>
    <row r="93" spans="1:7" ns3:dyDescent="0.2">
      <c r="A93" t="s">
        <v>222</v>
      </c>
      <c r="B93" s="3">
        <v>1.2907679033649697E-6</v>
      </c>
      <c r="C93" s="3"/>
      <c r="D93" t="s">
        <v>7</v>
      </c>
      <c r="E93" t="s">
        <v>244</v>
      </c>
      <c r="F93" t="s">
        <v>27</v>
      </c>
      <c r="G93" s="2"/>
    </row>
    <row r="94" spans="1:7" ns3:dyDescent="0.2">
      <c r="A94" t="s">
        <v>223</v>
      </c>
      <c r="B94" s="3">
        <v>3.2204486626402068E-11</v>
      </c>
      <c r="C94" s="3"/>
      <c r="D94" t="s">
        <v>7</v>
      </c>
      <c r="E94" t="s">
        <v>244</v>
      </c>
      <c r="F94" t="s">
        <v>27</v>
      </c>
      <c r="G94" s="2"/>
    </row>
    <row r="95" spans="1:7" ns3:dyDescent="0.2">
      <c r="A95" t="s">
        <v>224</v>
      </c>
      <c r="B95" s="3">
        <v>1.3781708369283865E-12</v>
      </c>
      <c r="C95" s="3"/>
      <c r="D95" t="s">
        <v>7</v>
      </c>
      <c r="E95" t="s">
        <v>244</v>
      </c>
      <c r="F95" t="s">
        <v>27</v>
      </c>
      <c r="G95" s="2"/>
    </row>
    <row r="96" spans="1:7" ns3:dyDescent="0.2">
      <c r="A96" t="s">
        <v>225</v>
      </c>
      <c r="B96" s="3">
        <v>6.679637618636755E-8</v>
      </c>
      <c r="C96" s="3"/>
      <c r="D96" t="s">
        <v>7</v>
      </c>
      <c r="E96" t="s">
        <v>244</v>
      </c>
      <c r="F96" t="s">
        <v>27</v>
      </c>
      <c r="G96" s="2"/>
    </row>
    <row r="97" spans="1:7" ns3:dyDescent="0.2">
      <c r="A97" t="s">
        <v>226</v>
      </c>
      <c r="B97" s="3">
        <v>2.5914581535806724E-9</v>
      </c>
      <c r="C97" s="3"/>
      <c r="D97" t="s">
        <v>7</v>
      </c>
      <c r="E97" t="s">
        <v>244</v>
      </c>
      <c r="F97" t="s">
        <v>27</v>
      </c>
      <c r="G97" s="2"/>
    </row>
    <row r="98" spans="1:7" ns3:dyDescent="0.2">
      <c r="A98" t="s">
        <v>227</v>
      </c>
      <c r="B98" s="3">
        <v>4.920362381363243E-7</v>
      </c>
      <c r="C98" s="3"/>
      <c r="D98" t="s">
        <v>7</v>
      </c>
      <c r="E98" t="s">
        <v>244</v>
      </c>
      <c r="F98" t="s">
        <v>27</v>
      </c>
      <c r="G98" s="2"/>
    </row>
    <row r="99" spans="1:7" ns3:dyDescent="0.2">
      <c r="A99" t="s">
        <v>228</v>
      </c>
      <c r="B99" s="3">
        <v>2.9460681622088005E-4</v>
      </c>
      <c r="C99" s="3"/>
      <c r="D99" t="s">
        <v>37</v>
      </c>
      <c r="E99" t="s">
        <v>244</v>
      </c>
      <c r="F99" t="s">
        <v>27</v>
      </c>
      <c r="G99" s="2"/>
    </row>
    <row r="100" spans="1:7" ns3:dyDescent="0.2">
      <c r="A100" t="s">
        <v>229</v>
      </c>
      <c r="B100" s="3">
        <v>3.0169974115616903E-8</v>
      </c>
      <c r="C100" s="3"/>
      <c r="D100" t="s">
        <v>7</v>
      </c>
      <c r="E100" t="s">
        <v>244</v>
      </c>
      <c r="F100" t="s">
        <v>27</v>
      </c>
      <c r="G100" s="2"/>
    </row>
    <row r="101" spans="1:7" ns3:dyDescent="0.2">
      <c r="A101" t="s">
        <v>188</v>
      </c>
      <c r="B101" s="3">
        <v>1.500776531492666E-5</v>
      </c>
      <c r="C101" s="3"/>
      <c r="D101" t="s">
        <v>7</v>
      </c>
      <c r="E101" t="s">
        <v>245</v>
      </c>
      <c r="F101" t="s">
        <v>27</v>
      </c>
      <c r="G101" s="2"/>
    </row>
    <row r="102" spans="1:7" ns3:dyDescent="0.2">
      <c r="A102" t="s">
        <v>188</v>
      </c>
      <c r="B102" s="3">
        <v>5.4982743744607411E-9</v>
      </c>
      <c r="C102" s="3"/>
      <c r="D102" t="s">
        <v>7</v>
      </c>
      <c r="E102" t="s">
        <v>246</v>
      </c>
      <c r="F102" t="s">
        <v>27</v>
      </c>
      <c r="G102" s="2"/>
    </row>
    <row r="103" spans="1:7" ns3:dyDescent="0.2">
      <c r="A103" t="s">
        <v>190</v>
      </c>
      <c r="B103" s="3">
        <v>1.4037100949094044E-6</v>
      </c>
      <c r="C103" s="3"/>
      <c r="D103" t="s">
        <v>7</v>
      </c>
      <c r="E103" t="s">
        <v>245</v>
      </c>
      <c r="F103" t="s">
        <v>27</v>
      </c>
      <c r="G103" s="2"/>
    </row>
    <row r="104" spans="1:7" ns3:dyDescent="0.2">
      <c r="A104" t="s">
        <v>190</v>
      </c>
      <c r="B104" s="3">
        <v>6.7987057808455564E-7</v>
      </c>
      <c r="C104" s="3"/>
      <c r="D104" t="s">
        <v>7</v>
      </c>
      <c r="E104" t="s">
        <v>246</v>
      </c>
      <c r="F104" t="s">
        <v>27</v>
      </c>
      <c r="G104" s="2"/>
    </row>
    <row r="105" spans="1:7" ns3:dyDescent="0.2">
      <c r="A105" t="s">
        <v>191</v>
      </c>
      <c r="B105" s="3">
        <v>9.3261432269197588E-8</v>
      </c>
      <c r="C105" s="3"/>
      <c r="D105" t="s">
        <v>7</v>
      </c>
      <c r="E105" t="s">
        <v>245</v>
      </c>
      <c r="F105" t="s">
        <v>27</v>
      </c>
      <c r="G105" s="2"/>
    </row>
    <row r="106" spans="1:7" ns3:dyDescent="0.2">
      <c r="A106" t="s">
        <v>191</v>
      </c>
      <c r="B106" s="3">
        <v>5.9814495254529765E-8</v>
      </c>
      <c r="C106" s="3"/>
      <c r="D106" t="s">
        <v>7</v>
      </c>
      <c r="E106" t="s">
        <v>246</v>
      </c>
      <c r="F106" t="s">
        <v>27</v>
      </c>
      <c r="G106" s="2"/>
    </row>
    <row r="107" spans="1:7" ns3:dyDescent="0.2">
      <c r="A107" t="s">
        <v>230</v>
      </c>
      <c r="B107" s="3">
        <v>1.3251078515962033E-4</v>
      </c>
      <c r="C107" s="3"/>
      <c r="D107" t="s">
        <v>7</v>
      </c>
      <c r="E107" t="s">
        <v>245</v>
      </c>
      <c r="F107" t="s">
        <v>27</v>
      </c>
      <c r="G107" s="2"/>
    </row>
    <row r="108" spans="1:7" ns3:dyDescent="0.2">
      <c r="A108" t="s">
        <v>230</v>
      </c>
      <c r="B108" s="3">
        <v>4.0669542709232094E-5</v>
      </c>
      <c r="C108" s="3"/>
      <c r="D108" t="s">
        <v>7</v>
      </c>
      <c r="E108" t="s">
        <v>246</v>
      </c>
      <c r="F108" t="s">
        <v>27</v>
      </c>
      <c r="G108" s="2"/>
    </row>
    <row r="109" spans="1:7" ns3:dyDescent="0.2">
      <c r="A109" t="s">
        <v>192</v>
      </c>
      <c r="B109" s="3">
        <v>1.0969801553062984E-5</v>
      </c>
      <c r="C109" s="3"/>
      <c r="D109" t="s">
        <v>7</v>
      </c>
      <c r="E109" t="s">
        <v>245</v>
      </c>
      <c r="F109" t="s">
        <v>27</v>
      </c>
      <c r="G109" s="2"/>
    </row>
    <row r="110" spans="1:7" ns3:dyDescent="0.2">
      <c r="A110" t="s">
        <v>192</v>
      </c>
      <c r="B110" s="3">
        <v>6.3710094909404658E-9</v>
      </c>
      <c r="C110" s="3"/>
      <c r="D110" t="s">
        <v>7</v>
      </c>
      <c r="E110" t="s">
        <v>246</v>
      </c>
      <c r="F110" t="s">
        <v>27</v>
      </c>
      <c r="G110" s="2"/>
    </row>
    <row r="111" spans="1:7" ns3:dyDescent="0.2">
      <c r="A111" t="s">
        <v>231</v>
      </c>
      <c r="B111" s="3">
        <v>3.777911993097497E-8</v>
      </c>
      <c r="C111" s="3"/>
      <c r="D111" t="s">
        <v>7</v>
      </c>
      <c r="E111" t="s">
        <v>245</v>
      </c>
      <c r="F111" t="s">
        <v>27</v>
      </c>
      <c r="G111" s="2"/>
    </row>
    <row r="112" spans="1:7" ns3:dyDescent="0.2">
      <c r="A112" t="s">
        <v>231</v>
      </c>
      <c r="B112" s="3">
        <v>2.5052631578947369E-11</v>
      </c>
      <c r="C112" s="3"/>
      <c r="D112" t="s">
        <v>7</v>
      </c>
      <c r="E112" t="s">
        <v>246</v>
      </c>
      <c r="F112" t="s">
        <v>27</v>
      </c>
      <c r="G112" s="2"/>
    </row>
    <row r="113" spans="1:7" ns3:dyDescent="0.2">
      <c r="A113" t="s">
        <v>196</v>
      </c>
      <c r="B113" s="3">
        <v>2.9215703192407247E-7</v>
      </c>
      <c r="C113" s="3"/>
      <c r="D113" t="s">
        <v>7</v>
      </c>
      <c r="E113" t="s">
        <v>245</v>
      </c>
      <c r="F113" t="s">
        <v>27</v>
      </c>
      <c r="G113" s="2"/>
    </row>
    <row r="114" spans="1:7" ns3:dyDescent="0.2">
      <c r="A114" t="s">
        <v>196</v>
      </c>
      <c r="B114" s="3">
        <v>5.2295081967213105E-6</v>
      </c>
      <c r="C114" s="3"/>
      <c r="D114" t="s">
        <v>7</v>
      </c>
      <c r="E114" t="s">
        <v>246</v>
      </c>
      <c r="F114" t="s">
        <v>27</v>
      </c>
      <c r="G114" s="2"/>
    </row>
    <row r="115" spans="1:7" ns3:dyDescent="0.2">
      <c r="A115" t="s">
        <v>232</v>
      </c>
      <c r="B115" s="3">
        <v>4.0510785159620358E-4</v>
      </c>
      <c r="C115" s="3"/>
      <c r="D115" t="s">
        <v>7</v>
      </c>
      <c r="E115" t="s">
        <v>245</v>
      </c>
      <c r="F115" t="s">
        <v>27</v>
      </c>
      <c r="G115" s="2"/>
    </row>
    <row r="116" spans="1:7" ns3:dyDescent="0.2">
      <c r="A116" t="s">
        <v>232</v>
      </c>
      <c r="B116" s="3">
        <v>4.1559102674719583E-5</v>
      </c>
      <c r="C116" s="3"/>
      <c r="D116" t="s">
        <v>7</v>
      </c>
      <c r="E116" t="s">
        <v>246</v>
      </c>
      <c r="F116" t="s">
        <v>27</v>
      </c>
      <c r="G116" s="2"/>
    </row>
    <row r="117" spans="1:7" ns3:dyDescent="0.2">
      <c r="A117" t="s">
        <v>197</v>
      </c>
      <c r="B117" s="3">
        <v>1.0484037963761862E-6</v>
      </c>
      <c r="C117" s="3"/>
      <c r="D117" t="s">
        <v>7</v>
      </c>
      <c r="E117" t="s">
        <v>245</v>
      </c>
      <c r="F117" t="s">
        <v>27</v>
      </c>
      <c r="G117" s="2"/>
    </row>
    <row r="118" spans="1:7" ns3:dyDescent="0.2">
      <c r="A118" t="s">
        <v>197</v>
      </c>
      <c r="B118" s="3">
        <v>1.1622088006902501E-9</v>
      </c>
      <c r="C118" s="3"/>
      <c r="D118" t="s">
        <v>7</v>
      </c>
      <c r="E118" t="s">
        <v>246</v>
      </c>
      <c r="F118" t="s">
        <v>27</v>
      </c>
      <c r="G118" s="2"/>
    </row>
    <row r="119" spans="1:7" ns3:dyDescent="0.2">
      <c r="A119" t="s">
        <v>233</v>
      </c>
      <c r="B119" s="3">
        <v>1.2359792924935289E-5</v>
      </c>
      <c r="C119" s="3"/>
      <c r="D119" t="s">
        <v>7</v>
      </c>
      <c r="E119" t="s">
        <v>245</v>
      </c>
      <c r="F119" t="s">
        <v>27</v>
      </c>
      <c r="G119" s="2"/>
    </row>
    <row r="120" spans="1:7" ns3:dyDescent="0.2">
      <c r="A120" t="s">
        <v>233</v>
      </c>
      <c r="B120" s="3">
        <v>2.0633304572907679E-8</v>
      </c>
      <c r="C120" s="3"/>
      <c r="D120" t="s">
        <v>7</v>
      </c>
      <c r="E120" t="s">
        <v>246</v>
      </c>
      <c r="F120" t="s">
        <v>27</v>
      </c>
      <c r="G120" s="2"/>
    </row>
    <row r="121" spans="1:7" ns3:dyDescent="0.2">
      <c r="A121" t="s">
        <v>234</v>
      </c>
      <c r="B121" s="3">
        <v>1.9704918032786882E-4</v>
      </c>
      <c r="C121" s="3"/>
      <c r="D121" t="s">
        <v>7</v>
      </c>
      <c r="E121" t="s">
        <v>245</v>
      </c>
      <c r="F121" t="s">
        <v>27</v>
      </c>
      <c r="G121" s="2"/>
    </row>
    <row r="122" spans="1:7" ns3:dyDescent="0.2">
      <c r="A122" t="s">
        <v>234</v>
      </c>
      <c r="B122" s="3">
        <v>1.3287316652286453E-3</v>
      </c>
      <c r="C122" s="3"/>
      <c r="D122" t="s">
        <v>7</v>
      </c>
      <c r="E122" t="s">
        <v>246</v>
      </c>
      <c r="F122" t="s">
        <v>27</v>
      </c>
      <c r="G122" s="2"/>
    </row>
    <row r="123" spans="1:7" ns3:dyDescent="0.2">
      <c r="A123" t="s">
        <v>199</v>
      </c>
      <c r="B123" s="3">
        <v>4.2713546160483174E-10</v>
      </c>
      <c r="C123" s="3"/>
      <c r="D123" t="s">
        <v>7</v>
      </c>
      <c r="E123" t="s">
        <v>246</v>
      </c>
      <c r="F123" t="s">
        <v>27</v>
      </c>
      <c r="G123" s="2"/>
    </row>
    <row r="124" spans="1:7" ns3:dyDescent="0.2">
      <c r="A124" t="s">
        <v>235</v>
      </c>
      <c r="B124" s="3">
        <v>1.7395168248490077E-7</v>
      </c>
      <c r="C124" s="3"/>
      <c r="D124" t="s">
        <v>7</v>
      </c>
      <c r="E124" t="s">
        <v>245</v>
      </c>
      <c r="F124" t="s">
        <v>27</v>
      </c>
      <c r="G124" s="2"/>
    </row>
    <row r="125" spans="1:7" ns3:dyDescent="0.2">
      <c r="A125" t="s">
        <v>235</v>
      </c>
      <c r="B125" s="3">
        <v>5.0064710957722166E-8</v>
      </c>
      <c r="C125" s="3"/>
      <c r="D125" t="s">
        <v>7</v>
      </c>
      <c r="E125" t="s">
        <v>246</v>
      </c>
      <c r="F125" t="s">
        <v>27</v>
      </c>
      <c r="G125" s="2"/>
    </row>
    <row r="126" spans="1:7" ns3:dyDescent="0.2">
      <c r="A126" t="s">
        <v>200</v>
      </c>
      <c r="B126" s="3">
        <v>2.2249352890422776E-6</v>
      </c>
      <c r="C126" s="3"/>
      <c r="D126" t="s">
        <v>7</v>
      </c>
      <c r="E126" t="s">
        <v>245</v>
      </c>
      <c r="F126" t="s">
        <v>27</v>
      </c>
      <c r="G126" s="2"/>
    </row>
    <row r="127" spans="1:7" ns3:dyDescent="0.2">
      <c r="A127" t="s">
        <v>200</v>
      </c>
      <c r="B127" s="3">
        <v>4.1891285591026745E-10</v>
      </c>
      <c r="C127" s="3"/>
      <c r="D127" t="s">
        <v>7</v>
      </c>
      <c r="E127" t="s">
        <v>246</v>
      </c>
      <c r="F127" t="s">
        <v>27</v>
      </c>
      <c r="G127" s="2"/>
    </row>
    <row r="128" spans="1:7" ns3:dyDescent="0.2">
      <c r="A128" t="s">
        <v>201</v>
      </c>
      <c r="B128" s="3">
        <v>2.4094046591889557E-5</v>
      </c>
      <c r="C128" s="3"/>
      <c r="D128" t="s">
        <v>7</v>
      </c>
      <c r="E128" t="s">
        <v>245</v>
      </c>
      <c r="F128" t="s">
        <v>27</v>
      </c>
      <c r="G128" s="2"/>
    </row>
    <row r="129" spans="1:7" ns3:dyDescent="0.2">
      <c r="A129" t="s">
        <v>201</v>
      </c>
      <c r="B129" s="3">
        <v>2.2126833477135459E-9</v>
      </c>
      <c r="C129" s="3"/>
      <c r="D129" t="s">
        <v>7</v>
      </c>
      <c r="E129" t="s">
        <v>246</v>
      </c>
      <c r="F129" t="s">
        <v>27</v>
      </c>
      <c r="G129" s="2"/>
    </row>
    <row r="130" spans="1:7" ns3:dyDescent="0.2">
      <c r="A130" t="s">
        <v>236</v>
      </c>
      <c r="B130" s="3">
        <v>1.6030198446937013E-4</v>
      </c>
      <c r="C130" s="3"/>
      <c r="D130" t="s">
        <v>7</v>
      </c>
      <c r="E130" t="s">
        <v>245</v>
      </c>
      <c r="F130" t="s">
        <v>27</v>
      </c>
      <c r="G130" s="2"/>
    </row>
    <row r="131" spans="1:7" ns3:dyDescent="0.2">
      <c r="A131" t="s">
        <v>236</v>
      </c>
      <c r="B131" s="3">
        <v>1.8126833477135459E-5</v>
      </c>
      <c r="C131" s="3"/>
      <c r="D131" t="s">
        <v>7</v>
      </c>
      <c r="E131" t="s">
        <v>246</v>
      </c>
      <c r="F131" t="s">
        <v>27</v>
      </c>
      <c r="G131" s="2"/>
    </row>
    <row r="132" spans="1:7" ns3:dyDescent="0.2">
      <c r="A132" t="s">
        <v>237</v>
      </c>
      <c r="B132" s="3">
        <v>7.896031061259706E-7</v>
      </c>
      <c r="C132" s="3"/>
      <c r="D132" t="s">
        <v>7</v>
      </c>
      <c r="E132" t="s">
        <v>245</v>
      </c>
      <c r="F132" t="s">
        <v>27</v>
      </c>
      <c r="G132" s="2"/>
    </row>
    <row r="133" spans="1:7" ns3:dyDescent="0.2">
      <c r="A133" t="s">
        <v>237</v>
      </c>
      <c r="B133" s="3">
        <v>3.4446074201898184E-7</v>
      </c>
      <c r="C133" s="3"/>
      <c r="D133" t="s">
        <v>7</v>
      </c>
      <c r="E133" t="s">
        <v>246</v>
      </c>
      <c r="F133" t="s">
        <v>27</v>
      </c>
      <c r="G133" s="2"/>
    </row>
    <row r="134" spans="1:7" ns3:dyDescent="0.2">
      <c r="A134" t="s">
        <v>205</v>
      </c>
      <c r="B134" s="3">
        <v>0.54251941328731657</v>
      </c>
      <c r="C134" s="3"/>
      <c r="D134" t="s">
        <v>17</v>
      </c>
      <c r="E134" t="s">
        <v>246</v>
      </c>
      <c r="F134" t="s">
        <v>27</v>
      </c>
      <c r="G134" s="2"/>
    </row>
    <row r="135" spans="1:7" ns3:dyDescent="0.2">
      <c r="A135" t="s">
        <v>208</v>
      </c>
      <c r="B135" s="3">
        <v>1.5352027610008627E-4</v>
      </c>
      <c r="C135" s="3"/>
      <c r="D135" t="s">
        <v>7</v>
      </c>
      <c r="E135" t="s">
        <v>245</v>
      </c>
      <c r="F135" t="s">
        <v>27</v>
      </c>
      <c r="G135" s="2"/>
    </row>
    <row r="136" spans="1:7" ns3:dyDescent="0.2">
      <c r="A136" t="s">
        <v>208</v>
      </c>
      <c r="B136" s="3">
        <v>5.7875754961173422E-9</v>
      </c>
      <c r="C136" s="3"/>
      <c r="D136" t="s">
        <v>7</v>
      </c>
      <c r="E136" t="s">
        <v>246</v>
      </c>
      <c r="F136" t="s">
        <v>27</v>
      </c>
      <c r="G136" s="2"/>
    </row>
    <row r="137" spans="1:7" ns3:dyDescent="0.2">
      <c r="A137" t="s">
        <v>209</v>
      </c>
      <c r="B137" s="3">
        <v>2.647540983606557E-5</v>
      </c>
      <c r="C137" s="3"/>
      <c r="D137" t="s">
        <v>7</v>
      </c>
      <c r="E137" t="s">
        <v>245</v>
      </c>
      <c r="F137" t="s">
        <v>27</v>
      </c>
      <c r="G137" s="2"/>
    </row>
    <row r="138" spans="1:7" ns3:dyDescent="0.2">
      <c r="A138" t="s">
        <v>209</v>
      </c>
      <c r="B138" s="3">
        <v>2.560569456427955E-9</v>
      </c>
      <c r="C138" s="3"/>
      <c r="D138" t="s">
        <v>7</v>
      </c>
      <c r="E138" t="s">
        <v>246</v>
      </c>
      <c r="F138" t="s">
        <v>27</v>
      </c>
      <c r="G138" s="2"/>
    </row>
    <row r="139" spans="1:7" ns3:dyDescent="0.2">
      <c r="A139" t="s">
        <v>210</v>
      </c>
      <c r="B139" s="3">
        <v>5.1015530629853312E-6</v>
      </c>
      <c r="C139" s="3"/>
      <c r="D139" t="s">
        <v>7</v>
      </c>
      <c r="E139" t="s">
        <v>245</v>
      </c>
      <c r="F139" t="s">
        <v>27</v>
      </c>
      <c r="G139" s="2"/>
    </row>
    <row r="140" spans="1:7" ns3:dyDescent="0.2">
      <c r="A140" t="s">
        <v>210</v>
      </c>
      <c r="B140" s="3">
        <v>7.8650560828300248E-10</v>
      </c>
      <c r="C140" s="3"/>
      <c r="D140" t="s">
        <v>7</v>
      </c>
      <c r="E140" t="s">
        <v>246</v>
      </c>
      <c r="F140" t="s">
        <v>27</v>
      </c>
      <c r="G140" s="2"/>
    </row>
    <row r="141" spans="1:7" ns3:dyDescent="0.2">
      <c r="A141" t="s">
        <v>211</v>
      </c>
      <c r="B141" s="3">
        <v>1.4357204486626402E-8</v>
      </c>
      <c r="C141" s="3"/>
      <c r="D141" t="s">
        <v>7</v>
      </c>
      <c r="E141" t="s">
        <v>245</v>
      </c>
      <c r="F141" t="s">
        <v>27</v>
      </c>
      <c r="G141" s="2"/>
    </row>
    <row r="142" spans="1:7" ns3:dyDescent="0.2">
      <c r="A142" t="s">
        <v>211</v>
      </c>
      <c r="B142" s="3">
        <v>3.6377049180327864E-10</v>
      </c>
      <c r="C142" s="3"/>
      <c r="D142" t="s">
        <v>7</v>
      </c>
      <c r="E142" t="s">
        <v>246</v>
      </c>
      <c r="F142" t="s">
        <v>27</v>
      </c>
      <c r="G142" s="2"/>
    </row>
    <row r="143" spans="1:7" ns3:dyDescent="0.2">
      <c r="A143" t="s">
        <v>214</v>
      </c>
      <c r="B143" s="3">
        <v>1.6223468507333906E-6</v>
      </c>
      <c r="C143" s="3"/>
      <c r="D143" t="s">
        <v>7</v>
      </c>
      <c r="E143" t="s">
        <v>245</v>
      </c>
      <c r="F143" t="s">
        <v>27</v>
      </c>
      <c r="G143" s="2"/>
    </row>
    <row r="144" spans="1:7" ns3:dyDescent="0.2">
      <c r="A144" t="s">
        <v>214</v>
      </c>
      <c r="B144" s="3">
        <v>1.0992234685073338E-9</v>
      </c>
      <c r="C144" s="3"/>
      <c r="D144" t="s">
        <v>7</v>
      </c>
      <c r="E144" t="s">
        <v>246</v>
      </c>
      <c r="F144" t="s">
        <v>27</v>
      </c>
      <c r="G144" s="2"/>
    </row>
    <row r="145" spans="1:7" ns3:dyDescent="0.2">
      <c r="A145" t="s">
        <v>238</v>
      </c>
      <c r="B145" s="3">
        <v>1.8914581535806728E-5</v>
      </c>
      <c r="C145" s="3"/>
      <c r="D145" t="s">
        <v>7</v>
      </c>
      <c r="E145" t="s">
        <v>245</v>
      </c>
      <c r="F145" t="s">
        <v>27</v>
      </c>
      <c r="G145" s="2"/>
    </row>
    <row r="146" spans="1:7" ns3:dyDescent="0.2">
      <c r="A146" t="s">
        <v>238</v>
      </c>
      <c r="B146" s="3">
        <v>6.7752372735116468E-6</v>
      </c>
      <c r="C146" s="3"/>
      <c r="D146" t="s">
        <v>7</v>
      </c>
      <c r="E146" t="s">
        <v>246</v>
      </c>
      <c r="F146" t="s">
        <v>27</v>
      </c>
      <c r="G146" s="2"/>
    </row>
    <row r="147" spans="1:7" ns3:dyDescent="0.2">
      <c r="A147" t="s">
        <v>219</v>
      </c>
      <c r="B147" s="3">
        <v>1.2974978429680756E-7</v>
      </c>
      <c r="C147" s="3"/>
      <c r="D147" t="s">
        <v>7</v>
      </c>
      <c r="E147" t="s">
        <v>245</v>
      </c>
      <c r="F147" t="s">
        <v>27</v>
      </c>
      <c r="G147" s="2"/>
    </row>
    <row r="148" spans="1:7" ns3:dyDescent="0.2">
      <c r="A148" t="s">
        <v>219</v>
      </c>
      <c r="B148" s="3">
        <v>3.3685936151855048E-8</v>
      </c>
      <c r="C148" s="3"/>
      <c r="D148" t="s">
        <v>7</v>
      </c>
      <c r="E148" t="s">
        <v>246</v>
      </c>
      <c r="F148" t="s">
        <v>27</v>
      </c>
      <c r="G148" s="2"/>
    </row>
    <row r="149" spans="1:7" ns3:dyDescent="0.2">
      <c r="A149" t="s">
        <v>239</v>
      </c>
      <c r="B149" s="3">
        <v>2.9781708369283863E-5</v>
      </c>
      <c r="C149" s="3"/>
      <c r="D149" t="s">
        <v>7</v>
      </c>
      <c r="E149" t="s">
        <v>245</v>
      </c>
      <c r="F149" t="s">
        <v>27</v>
      </c>
      <c r="G149" s="2"/>
    </row>
    <row r="150" spans="1:7" ns3:dyDescent="0.2">
      <c r="A150" t="s">
        <v>239</v>
      </c>
      <c r="B150" s="3">
        <v>6.712855910267472E-8</v>
      </c>
      <c r="C150" s="3"/>
      <c r="D150" t="s">
        <v>7</v>
      </c>
      <c r="E150" t="s">
        <v>246</v>
      </c>
      <c r="F150" t="s">
        <v>27</v>
      </c>
      <c r="G150" s="2"/>
    </row>
    <row r="151" spans="1:7" ns3:dyDescent="0.2">
      <c r="A151" t="s">
        <v>240</v>
      </c>
      <c r="B151" s="3">
        <v>7.7221742881794639E-5</v>
      </c>
      <c r="C151" s="3"/>
      <c r="D151" t="s">
        <v>7</v>
      </c>
      <c r="E151" t="s">
        <v>245</v>
      </c>
      <c r="F151" t="s">
        <v>27</v>
      </c>
      <c r="G151" s="2"/>
    </row>
    <row r="152" spans="1:7" ns3:dyDescent="0.2">
      <c r="A152" t="s">
        <v>240</v>
      </c>
      <c r="B152" s="3">
        <v>3.883002588438309E-5</v>
      </c>
      <c r="C152" s="3"/>
      <c r="D152" t="s">
        <v>7</v>
      </c>
      <c r="E152" t="s">
        <v>246</v>
      </c>
      <c r="F152" t="s">
        <v>27</v>
      </c>
      <c r="G152" s="2"/>
    </row>
    <row r="153" spans="1:7" ns3:dyDescent="0.2">
      <c r="A153" t="s">
        <v>221</v>
      </c>
      <c r="B153" s="3">
        <v>7.1176013805004302E-6</v>
      </c>
      <c r="C153" s="3"/>
      <c r="D153" t="s">
        <v>7</v>
      </c>
      <c r="E153" t="s">
        <v>245</v>
      </c>
      <c r="F153" t="s">
        <v>27</v>
      </c>
      <c r="G153" s="2"/>
    </row>
    <row r="154" spans="1:7" ns3:dyDescent="0.2">
      <c r="A154" t="s">
        <v>221</v>
      </c>
      <c r="B154" s="3">
        <v>4.6582398619499563E-9</v>
      </c>
      <c r="C154" s="3"/>
      <c r="D154" t="s">
        <v>7</v>
      </c>
      <c r="E154" t="s">
        <v>246</v>
      </c>
      <c r="F154" t="s">
        <v>27</v>
      </c>
      <c r="G154" s="2"/>
    </row>
    <row r="155" spans="1:7" ns3:dyDescent="0.2">
      <c r="A155" t="s">
        <v>241</v>
      </c>
      <c r="B155" s="3">
        <v>2.9019844693701461E-4</v>
      </c>
      <c r="C155" s="3"/>
      <c r="D155" t="s">
        <v>7</v>
      </c>
      <c r="E155" t="s">
        <v>245</v>
      </c>
      <c r="F155" t="s">
        <v>27</v>
      </c>
      <c r="G155" s="2"/>
    </row>
    <row r="156" spans="1:7" ns3:dyDescent="0.2">
      <c r="A156" t="s">
        <v>241</v>
      </c>
      <c r="B156" s="3">
        <v>4.9598792062122516E-5</v>
      </c>
      <c r="C156" s="3"/>
      <c r="D156" t="s">
        <v>7</v>
      </c>
      <c r="E156" t="s">
        <v>246</v>
      </c>
      <c r="F156" t="s">
        <v>27</v>
      </c>
      <c r="G156" s="2"/>
    </row>
    <row r="157" spans="1:7" ns3:dyDescent="0.2">
      <c r="A157" t="s">
        <v>242</v>
      </c>
      <c r="B157" s="3">
        <v>1.6030198446937013E-4</v>
      </c>
      <c r="C157" s="3"/>
      <c r="D157" t="s">
        <v>7</v>
      </c>
      <c r="E157" t="s">
        <v>245</v>
      </c>
      <c r="F157" t="s">
        <v>27</v>
      </c>
      <c r="G157" s="2"/>
    </row>
    <row r="158" spans="1:7" ns3:dyDescent="0.2">
      <c r="A158" t="s">
        <v>242</v>
      </c>
      <c r="B158" s="3">
        <v>1.8126833477135459E-5</v>
      </c>
      <c r="C158" s="3"/>
      <c r="D158" t="s">
        <v>7</v>
      </c>
      <c r="E158" t="s">
        <v>246</v>
      </c>
      <c r="F158" t="s">
        <v>27</v>
      </c>
      <c r="G158" s="2"/>
    </row>
    <row r="159" spans="1:7" ns3:dyDescent="0.2">
      <c r="A159" t="s">
        <v>223</v>
      </c>
      <c r="B159" s="3">
        <v>2.4691975841242447E-8</v>
      </c>
      <c r="C159" s="3"/>
      <c r="D159" t="s">
        <v>7</v>
      </c>
      <c r="E159" t="s">
        <v>245</v>
      </c>
      <c r="F159" t="s">
        <v>27</v>
      </c>
      <c r="G159" s="2"/>
    </row>
    <row r="160" spans="1:7" ns3:dyDescent="0.2">
      <c r="A160" t="s">
        <v>223</v>
      </c>
      <c r="B160" s="3">
        <v>2.2882657463330455E-11</v>
      </c>
      <c r="C160" s="3"/>
      <c r="D160" t="s">
        <v>7</v>
      </c>
      <c r="E160" t="s">
        <v>246</v>
      </c>
      <c r="F160" t="s">
        <v>27</v>
      </c>
      <c r="G160" s="2"/>
    </row>
    <row r="161" spans="1:10" ns3:dyDescent="0.2">
      <c r="A161" t="s">
        <v>224</v>
      </c>
      <c r="B161" s="3">
        <v>1.4002588438308886E-6</v>
      </c>
      <c r="C161" s="3"/>
      <c r="D161" t="s">
        <v>7</v>
      </c>
      <c r="E161" t="s">
        <v>245</v>
      </c>
      <c r="F161" t="s">
        <v>27</v>
      </c>
      <c r="G161" s="2"/>
    </row>
    <row r="162" spans="1:10" ns3:dyDescent="0.2">
      <c r="A162" t="s">
        <v>224</v>
      </c>
      <c r="B162" s="3">
        <v>1.9071613459879204E-9</v>
      </c>
      <c r="C162" s="3"/>
      <c r="D162" t="s">
        <v>7</v>
      </c>
      <c r="E162" t="s">
        <v>246</v>
      </c>
      <c r="F162" t="s">
        <v>27</v>
      </c>
      <c r="G162" s="2"/>
    </row>
    <row r="163" spans="1:10" ns3:dyDescent="0.2">
      <c r="A163" t="s">
        <v>225</v>
      </c>
      <c r="B163" s="3">
        <v>2.4094046591889557E-5</v>
      </c>
      <c r="C163" s="3"/>
      <c r="D163" t="s">
        <v>7</v>
      </c>
      <c r="E163" t="s">
        <v>245</v>
      </c>
      <c r="F163" t="s">
        <v>27</v>
      </c>
      <c r="G163" s="2"/>
    </row>
    <row r="164" spans="1:10" ns3:dyDescent="0.2">
      <c r="A164" t="s">
        <v>225</v>
      </c>
      <c r="B164" s="3">
        <v>1.639085418464193E-8</v>
      </c>
      <c r="C164" s="3"/>
      <c r="D164" t="s">
        <v>7</v>
      </c>
      <c r="E164" t="s">
        <v>246</v>
      </c>
      <c r="F164" t="s">
        <v>27</v>
      </c>
      <c r="G164" s="2"/>
    </row>
    <row r="165" spans="1:10" ns3:dyDescent="0.2">
      <c r="A165" t="s">
        <v>227</v>
      </c>
      <c r="B165" s="3">
        <v>6.8428817946505594E-6</v>
      </c>
      <c r="C165" s="3"/>
      <c r="D165" t="s">
        <v>7</v>
      </c>
      <c r="E165" t="s">
        <v>245</v>
      </c>
      <c r="F165" t="s">
        <v>27</v>
      </c>
      <c r="G165" s="2"/>
    </row>
    <row r="166" spans="1:10" ns3:dyDescent="0.2">
      <c r="A166" t="s">
        <v>227</v>
      </c>
      <c r="B166" s="3">
        <v>2.6989646246764449E-8</v>
      </c>
      <c r="C166" s="3"/>
      <c r="D166" t="s">
        <v>7</v>
      </c>
      <c r="E166" t="s">
        <v>246</v>
      </c>
      <c r="F166" t="s">
        <v>27</v>
      </c>
      <c r="G166" s="2"/>
    </row>
    <row r="167" spans="1:10" ns3:dyDescent="0.2">
      <c r="A167" t="s">
        <v>228</v>
      </c>
      <c r="B167" s="3">
        <v>1.0867894736842104E-4</v>
      </c>
      <c r="C167" s="3"/>
      <c r="D167" t="s">
        <v>37</v>
      </c>
      <c r="E167" t="s">
        <v>246</v>
      </c>
      <c r="F167" t="s">
        <v>27</v>
      </c>
      <c r="G167" s="2"/>
    </row>
    <row r="168" spans="1:10" ns3:dyDescent="0.2">
      <c r="A168" t="s">
        <v>229</v>
      </c>
      <c r="B168" s="3">
        <v>2.0211389128559101E-5</v>
      </c>
      <c r="C168" s="3"/>
      <c r="D168" t="s">
        <v>7</v>
      </c>
      <c r="E168" t="s">
        <v>245</v>
      </c>
      <c r="F168" t="s">
        <v>27</v>
      </c>
      <c r="G168" s="2"/>
    </row>
    <row r="169" spans="1:10" ns3:dyDescent="0.2">
      <c r="A169" t="s">
        <v>229</v>
      </c>
      <c r="B169" s="3">
        <v>2.7497842968075925E-9</v>
      </c>
      <c r="C169" s="3"/>
      <c r="D169" t="s">
        <v>7</v>
      </c>
      <c r="E169" t="s">
        <v>246</v>
      </c>
      <c r="F169" t="s">
        <v>27</v>
      </c>
      <c r="G169" s="2"/>
    </row>
    <row r="170" spans="1:10" ns3:dyDescent="0.2">
      <c r="A170" t="s">
        <v>243</v>
      </c>
      <c r="B170" s="3">
        <v>0.21389991371872299</v>
      </c>
      <c r="C170" s="3"/>
      <c r="D170" t="s">
        <v>7</v>
      </c>
      <c r="E170" t="s">
        <v>111</v>
      </c>
      <c r="F170" t="s">
        <v>27</v>
      </c>
      <c r="G170" s="2"/>
    </row>
    <row r="171" spans="1:10" s="50" customFormat="1" ns3:dyDescent="0.2">
      <c r="A171" s="50" t="s">
        <v>484</v>
      </c>
      <c r="B171" s="51">
        <f>6.1/43.4</f>
        <v>0.14055299539170507</v>
      </c>
      <c r="D171" s="50" t="s">
        <v>7</v>
      </c>
      <c r="E171" s="50" t="s">
        <v>485</v>
      </c>
      <c r="F171" s="50" t="s">
        <v>27</v>
      </c>
      <c r="G171" s="50" t="s">
        <v>488</v>
      </c>
      <c r="J171" s="51"/>
    </row>
    <row r="173" spans="1:10" ht="16" ns3:dyDescent="0.2">
      <c r="A173" s="1" t="s">
        <v>0</v>
      </c>
      <c r="B173" s="47" t="s">
        <v>125</v>
      </c>
    </row>
    <row r="174" spans="1:10" ns3:dyDescent="0.2">
      <c r="A174" t="s">
        <v>1</v>
      </c>
      <c r="B174" s="3" t="s">
        <v>104</v>
      </c>
    </row>
    <row r="175" spans="1:10" ns3:dyDescent="0.2">
      <c r="A175" t="s">
        <v>2</v>
      </c>
      <c r="B175" s="3">
        <v>1</v>
      </c>
    </row>
    <row r="176" spans="1:10" ns3:dyDescent="0.2">
      <c r="A176" t="s">
        <v>3</v>
      </c>
      <c r="B176" s="3" t="s">
        <v>127</v>
      </c>
    </row>
    <row r="177" spans="1:8" ns3:dyDescent="0.2">
      <c r="A177" t="s">
        <v>4</v>
      </c>
      <c r="B177" s="3" t="s">
        <v>5</v>
      </c>
    </row>
    <row r="178" spans="1:8" ns3:dyDescent="0.2">
      <c r="A178" t="s">
        <v>6</v>
      </c>
      <c r="B178" s="3" t="s">
        <v>126</v>
      </c>
    </row>
    <row r="179" spans="1:8" ns3:dyDescent="0.2">
      <c r="A179" t="s">
        <v>261</v>
      </c>
      <c r="B179" s="23">
        <f>0.37*33%</f>
        <v>0.1221</v>
      </c>
    </row>
    <row r="180" spans="1:8" ns3:dyDescent="0.2">
      <c r="A180" t="s">
        <v>8</v>
      </c>
      <c r="B180" s="3" t="s">
        <v>122</v>
      </c>
    </row>
    <row r="181" spans="1:8" ns3:dyDescent="0.2">
      <c r="A181" t="s">
        <v>9</v>
      </c>
      <c r="B181" s="3" t="s">
        <v>129</v>
      </c>
    </row>
    <row r="182" spans="1:8" ht="16" ns3:dyDescent="0.2">
      <c r="A182" s="1" t="s">
        <v>10</v>
      </c>
    </row>
    <row r="183" spans="1:8" ns3:dyDescent="0.2">
      <c r="A183" t="s">
        <v>11</v>
      </c>
      <c r="B183" s="3" t="s">
        <v>12</v>
      </c>
      <c r="C183" t="s">
        <v>1</v>
      </c>
      <c r="D183" t="s">
        <v>6</v>
      </c>
      <c r="E183" t="s">
        <v>13</v>
      </c>
      <c r="F183" t="s">
        <v>4</v>
      </c>
      <c r="G183" t="s">
        <v>9</v>
      </c>
      <c r="H183" t="s">
        <v>3</v>
      </c>
    </row>
    <row r="184" spans="1:8" ns3:dyDescent="0.2">
      <c r="A184" s="3" t="str">
        <f>B173</f>
        <v>electricity production, from incineration of plastic waste mixture, energy allocation</v>
      </c>
      <c r="B184" s="3">
        <v>1</v>
      </c>
      <c r="C184" s="3" t="str">
        <f>B174</f>
        <v>CH</v>
      </c>
      <c r="D184" s="3" t="str">
        <f>B178</f>
        <v>kilowatt hour</v>
      </c>
      <c r="F184" t="s">
        <v>15</v>
      </c>
      <c r="G184" t="s">
        <v>16</v>
      </c>
      <c r="H184" s="3" t="str">
        <f>B176</f>
        <v>electricity, from incineration of plastic waste mixture, energy allocation</v>
      </c>
    </row>
    <row r="185" spans="1:8" ns3:dyDescent="0.2">
      <c r="A185" t="s">
        <v>149</v>
      </c>
      <c r="B185" s="3">
        <v>4.5719068162208799E-4</v>
      </c>
      <c r="C185" s="3" t="s">
        <v>103</v>
      </c>
      <c r="D185" t="s">
        <v>7</v>
      </c>
      <c r="F185" t="s">
        <v>18</v>
      </c>
      <c r="G185" s="2"/>
      <c r="H185" t="s">
        <v>170</v>
      </c>
    </row>
    <row r="186" spans="1:8" ns3:dyDescent="0.2">
      <c r="A186" t="s">
        <v>150</v>
      </c>
      <c r="B186" s="3">
        <v>1.2473270060396895E-6</v>
      </c>
      <c r="C186" s="3" t="s">
        <v>103</v>
      </c>
      <c r="D186" t="s">
        <v>7</v>
      </c>
      <c r="F186" t="s">
        <v>18</v>
      </c>
      <c r="G186" s="2"/>
      <c r="H186" t="s">
        <v>171</v>
      </c>
    </row>
    <row r="187" spans="1:8" ns3:dyDescent="0.2">
      <c r="A187" t="s">
        <v>168</v>
      </c>
      <c r="B187" s="3">
        <v>1.0432545297670405E-3</v>
      </c>
      <c r="C187" s="3" t="s">
        <v>104</v>
      </c>
      <c r="D187" t="s">
        <v>7</v>
      </c>
      <c r="F187" t="s">
        <v>18</v>
      </c>
      <c r="G187" s="2"/>
      <c r="H187" t="s">
        <v>186</v>
      </c>
    </row>
    <row r="188" spans="1:8" ns3:dyDescent="0.2">
      <c r="A188" t="s">
        <v>151</v>
      </c>
      <c r="B188" s="3">
        <v>9.6317860224331322E-5</v>
      </c>
      <c r="C188" s="3" t="s">
        <v>24</v>
      </c>
      <c r="D188" t="s">
        <v>7</v>
      </c>
      <c r="F188" t="s">
        <v>18</v>
      </c>
      <c r="G188" s="2"/>
      <c r="H188" t="s">
        <v>172</v>
      </c>
    </row>
    <row r="189" spans="1:8" ns3:dyDescent="0.2">
      <c r="A189" t="s">
        <v>152</v>
      </c>
      <c r="B189" s="3">
        <v>5.5236238136324412E-6</v>
      </c>
      <c r="C189" s="3" t="s">
        <v>24</v>
      </c>
      <c r="D189" t="s">
        <v>7</v>
      </c>
      <c r="F189" t="s">
        <v>18</v>
      </c>
      <c r="G189" s="2"/>
      <c r="H189" t="s">
        <v>173</v>
      </c>
    </row>
    <row r="190" spans="1:8" ns3:dyDescent="0.2">
      <c r="A190" t="s">
        <v>493</v>
      </c>
      <c r="B190" s="3">
        <v>5.8454184641932699E-7</v>
      </c>
      <c r="C190" s="3" t="s">
        <v>24</v>
      </c>
      <c r="D190" t="s">
        <v>7</v>
      </c>
      <c r="F190" t="s">
        <v>18</v>
      </c>
      <c r="G190" s="2"/>
      <c r="H190" t="s">
        <v>494</v>
      </c>
    </row>
    <row r="191" spans="1:8" ns3:dyDescent="0.2">
      <c r="A191" t="s">
        <v>169</v>
      </c>
      <c r="B191" s="3">
        <v>8.5493011216565995E-2</v>
      </c>
      <c r="C191" s="3" t="s">
        <v>104</v>
      </c>
      <c r="D191" t="s">
        <v>17</v>
      </c>
      <c r="F191" t="s">
        <v>18</v>
      </c>
      <c r="G191" s="2"/>
      <c r="H191" t="s">
        <v>187</v>
      </c>
    </row>
    <row r="192" spans="1:8" ns3:dyDescent="0.2">
      <c r="A192" t="s">
        <v>153</v>
      </c>
      <c r="B192" s="3">
        <v>9.3708714408973254E-5</v>
      </c>
      <c r="C192" s="3" t="s">
        <v>103</v>
      </c>
      <c r="D192" t="s">
        <v>7</v>
      </c>
      <c r="F192" t="s">
        <v>18</v>
      </c>
      <c r="G192" s="2"/>
      <c r="H192" t="s">
        <v>174</v>
      </c>
    </row>
    <row r="193" spans="1:8" ns3:dyDescent="0.2">
      <c r="A193" t="s">
        <v>154</v>
      </c>
      <c r="B193" s="3">
        <v>1.7407351164797237E-4</v>
      </c>
      <c r="C193" s="3" t="s">
        <v>103</v>
      </c>
      <c r="D193" t="s">
        <v>7</v>
      </c>
      <c r="F193" t="s">
        <v>18</v>
      </c>
      <c r="G193" s="2"/>
      <c r="H193" t="s">
        <v>175</v>
      </c>
    </row>
    <row r="194" spans="1:8" ns3:dyDescent="0.2">
      <c r="A194" t="s">
        <v>155</v>
      </c>
      <c r="B194" s="3">
        <v>1.5111613459879205E-5</v>
      </c>
      <c r="C194" s="3" t="s">
        <v>24</v>
      </c>
      <c r="D194" t="s">
        <v>7</v>
      </c>
      <c r="F194" t="s">
        <v>18</v>
      </c>
      <c r="G194" s="2"/>
      <c r="H194" t="s">
        <v>474</v>
      </c>
    </row>
    <row r="195" spans="1:8" ns3:dyDescent="0.2">
      <c r="A195" t="s">
        <v>156</v>
      </c>
      <c r="B195" s="3">
        <v>-1.3972907679033648E-3</v>
      </c>
      <c r="C195" s="3" t="s">
        <v>24</v>
      </c>
      <c r="D195" t="s">
        <v>7</v>
      </c>
      <c r="F195" t="s">
        <v>18</v>
      </c>
      <c r="G195" s="2"/>
      <c r="H195" t="s">
        <v>176</v>
      </c>
    </row>
    <row r="196" spans="1:8" ns3:dyDescent="0.2">
      <c r="A196" t="s">
        <v>157</v>
      </c>
      <c r="B196" s="3">
        <v>7.7653149266609152E-11</v>
      </c>
      <c r="C196" s="3" t="s">
        <v>104</v>
      </c>
      <c r="D196" t="s">
        <v>6</v>
      </c>
      <c r="F196" t="s">
        <v>18</v>
      </c>
      <c r="G196" s="2"/>
      <c r="H196" t="s">
        <v>177</v>
      </c>
    </row>
    <row r="197" spans="1:8" ns3:dyDescent="0.2">
      <c r="A197" t="s">
        <v>158</v>
      </c>
      <c r="B197" s="3">
        <v>5.1999654874892139E-3</v>
      </c>
      <c r="C197" s="3" t="s">
        <v>104</v>
      </c>
      <c r="D197" t="s">
        <v>7</v>
      </c>
      <c r="F197" t="s">
        <v>18</v>
      </c>
      <c r="G197" s="2"/>
      <c r="H197" t="s">
        <v>158</v>
      </c>
    </row>
    <row r="198" spans="1:8" ns3:dyDescent="0.2">
      <c r="A198" t="s">
        <v>159</v>
      </c>
      <c r="B198" s="3">
        <v>8.2532873166522858E-3</v>
      </c>
      <c r="C198" s="3" t="s">
        <v>104</v>
      </c>
      <c r="D198" t="s">
        <v>7</v>
      </c>
      <c r="F198" t="s">
        <v>18</v>
      </c>
      <c r="G198" s="2"/>
      <c r="H198" t="s">
        <v>159</v>
      </c>
    </row>
    <row r="199" spans="1:8" ns3:dyDescent="0.2">
      <c r="A199" t="s">
        <v>160</v>
      </c>
      <c r="B199" s="3">
        <v>2.9056255392579809E-3</v>
      </c>
      <c r="C199" s="3" t="s">
        <v>103</v>
      </c>
      <c r="D199" t="s">
        <v>7</v>
      </c>
      <c r="F199" t="s">
        <v>18</v>
      </c>
      <c r="G199" s="2"/>
      <c r="H199" t="s">
        <v>178</v>
      </c>
    </row>
    <row r="200" spans="1:8" ns3:dyDescent="0.2">
      <c r="A200" t="s">
        <v>161</v>
      </c>
      <c r="B200" s="3">
        <v>1.0833235547886107E-11</v>
      </c>
      <c r="C200" s="3" t="s">
        <v>104</v>
      </c>
      <c r="D200" t="s">
        <v>6</v>
      </c>
      <c r="F200" t="s">
        <v>18</v>
      </c>
      <c r="G200" s="2"/>
      <c r="H200" t="s">
        <v>179</v>
      </c>
    </row>
    <row r="201" spans="1:8" ns3:dyDescent="0.2">
      <c r="A201" t="s">
        <v>162</v>
      </c>
      <c r="B201" s="3">
        <v>1.4672407247627266E-11</v>
      </c>
      <c r="C201" s="3" t="s">
        <v>104</v>
      </c>
      <c r="D201" t="s">
        <v>6</v>
      </c>
      <c r="F201" t="s">
        <v>18</v>
      </c>
      <c r="G201" s="2"/>
      <c r="H201" t="s">
        <v>180</v>
      </c>
    </row>
    <row r="202" spans="1:8" ns3:dyDescent="0.2">
      <c r="A202" t="s">
        <v>163</v>
      </c>
      <c r="B202" s="3">
        <v>7.7463675582398607E-4</v>
      </c>
      <c r="C202" s="3" t="s">
        <v>267</v>
      </c>
      <c r="D202" t="s">
        <v>7</v>
      </c>
      <c r="F202" t="s">
        <v>18</v>
      </c>
      <c r="G202" s="2"/>
      <c r="H202" t="s">
        <v>181</v>
      </c>
    </row>
    <row r="203" spans="1:8" ns3:dyDescent="0.2">
      <c r="A203" t="s">
        <v>164</v>
      </c>
      <c r="B203" s="3">
        <v>-1.3129905090595339E-6</v>
      </c>
      <c r="C203" s="3" t="s">
        <v>24</v>
      </c>
      <c r="D203" t="s">
        <v>7</v>
      </c>
      <c r="F203" t="s">
        <v>18</v>
      </c>
      <c r="G203" s="2"/>
      <c r="H203" t="s">
        <v>182</v>
      </c>
    </row>
    <row r="204" spans="1:8" ns3:dyDescent="0.2">
      <c r="A204" t="s">
        <v>165</v>
      </c>
      <c r="B204" s="3">
        <v>2.8643140638481448E-5</v>
      </c>
      <c r="C204" s="3" t="s">
        <v>103</v>
      </c>
      <c r="D204" t="s">
        <v>7</v>
      </c>
      <c r="F204" t="s">
        <v>18</v>
      </c>
      <c r="G204" s="2"/>
      <c r="H204" t="s">
        <v>183</v>
      </c>
    </row>
    <row r="205" spans="1:8" ns3:dyDescent="0.2">
      <c r="A205" t="s">
        <v>81</v>
      </c>
      <c r="B205" s="3">
        <v>4.8946333045729075E-4</v>
      </c>
      <c r="C205" s="3" t="s">
        <v>103</v>
      </c>
      <c r="D205" t="s">
        <v>28</v>
      </c>
      <c r="F205" t="s">
        <v>18</v>
      </c>
      <c r="G205" s="2"/>
      <c r="H205" t="s">
        <v>82</v>
      </c>
    </row>
    <row r="206" spans="1:8" ns3:dyDescent="0.2">
      <c r="A206" t="s">
        <v>166</v>
      </c>
      <c r="B206" s="3">
        <v>-2.6081518550474542E-3</v>
      </c>
      <c r="C206" s="3" t="s">
        <v>104</v>
      </c>
      <c r="D206" t="s">
        <v>7</v>
      </c>
      <c r="F206" t="s">
        <v>18</v>
      </c>
      <c r="G206" s="2"/>
      <c r="H206" t="s">
        <v>184</v>
      </c>
    </row>
    <row r="207" spans="1:8" ns3:dyDescent="0.2">
      <c r="A207" t="s">
        <v>167</v>
      </c>
      <c r="B207" s="3">
        <v>1.1418429680759274</v>
      </c>
      <c r="C207" s="3" t="s">
        <v>104</v>
      </c>
      <c r="D207" t="s">
        <v>7</v>
      </c>
      <c r="F207" t="s">
        <v>18</v>
      </c>
      <c r="G207" s="2"/>
      <c r="H207" t="s">
        <v>185</v>
      </c>
    </row>
    <row r="208" spans="1:8" ns3:dyDescent="0.2">
      <c r="A208" t="s">
        <v>188</v>
      </c>
      <c r="B208" s="3">
        <v>4.7262812769628986E-11</v>
      </c>
      <c r="C208" s="3"/>
      <c r="D208" t="s">
        <v>7</v>
      </c>
      <c r="E208" t="s">
        <v>244</v>
      </c>
      <c r="F208" t="s">
        <v>27</v>
      </c>
      <c r="G208" s="2"/>
    </row>
    <row r="209" spans="1:7" ns3:dyDescent="0.2">
      <c r="A209" t="s">
        <v>189</v>
      </c>
      <c r="B209" s="3">
        <v>5.3751509922346844E-7</v>
      </c>
      <c r="C209" s="3"/>
      <c r="D209" t="s">
        <v>7</v>
      </c>
      <c r="E209" t="s">
        <v>244</v>
      </c>
      <c r="F209" t="s">
        <v>27</v>
      </c>
      <c r="G209" s="2"/>
    </row>
    <row r="210" spans="1:7" ns3:dyDescent="0.2">
      <c r="A210" t="s">
        <v>190</v>
      </c>
      <c r="B210" s="3">
        <v>9.9759447799827437E-12</v>
      </c>
      <c r="C210" s="3"/>
      <c r="D210" t="s">
        <v>7</v>
      </c>
      <c r="E210" t="s">
        <v>244</v>
      </c>
      <c r="F210" t="s">
        <v>27</v>
      </c>
      <c r="G210" s="2"/>
    </row>
    <row r="211" spans="1:7" ns3:dyDescent="0.2">
      <c r="A211" t="s">
        <v>191</v>
      </c>
      <c r="B211" s="3">
        <v>4.3137877480586708E-9</v>
      </c>
      <c r="C211" s="3"/>
      <c r="D211" t="s">
        <v>7</v>
      </c>
      <c r="E211" t="s">
        <v>244</v>
      </c>
      <c r="F211" t="s">
        <v>27</v>
      </c>
      <c r="G211" s="2"/>
    </row>
    <row r="212" spans="1:7" ns3:dyDescent="0.2">
      <c r="A212" t="s">
        <v>192</v>
      </c>
      <c r="B212" s="3">
        <v>2.1217014667817081E-7</v>
      </c>
      <c r="C212" s="3"/>
      <c r="D212" t="s">
        <v>7</v>
      </c>
      <c r="E212" t="s">
        <v>244</v>
      </c>
      <c r="F212" t="s">
        <v>27</v>
      </c>
      <c r="G212" s="2"/>
    </row>
    <row r="213" spans="1:7" ns3:dyDescent="0.2">
      <c r="A213" t="s">
        <v>193</v>
      </c>
      <c r="B213" s="3">
        <v>4.6644693701466782E-9</v>
      </c>
      <c r="C213" s="3"/>
      <c r="D213" t="s">
        <v>7</v>
      </c>
      <c r="E213" t="s">
        <v>244</v>
      </c>
      <c r="F213" t="s">
        <v>27</v>
      </c>
      <c r="G213" s="2"/>
    </row>
    <row r="214" spans="1:7" ns3:dyDescent="0.2">
      <c r="A214" t="s">
        <v>194</v>
      </c>
      <c r="B214" s="3">
        <v>9.7535461604831737E-12</v>
      </c>
      <c r="C214" s="3"/>
      <c r="D214" t="s">
        <v>7</v>
      </c>
      <c r="E214" t="s">
        <v>244</v>
      </c>
      <c r="F214" t="s">
        <v>27</v>
      </c>
      <c r="G214" s="2"/>
    </row>
    <row r="215" spans="1:7" ns3:dyDescent="0.2">
      <c r="A215" t="s">
        <v>477</v>
      </c>
      <c r="B215" s="3">
        <v>2.464462467644521E-11</v>
      </c>
      <c r="C215" s="3"/>
      <c r="D215" t="s">
        <v>7</v>
      </c>
      <c r="E215" t="s">
        <v>244</v>
      </c>
      <c r="F215" t="s">
        <v>27</v>
      </c>
      <c r="G215" s="2"/>
    </row>
    <row r="216" spans="1:7" ns3:dyDescent="0.2">
      <c r="A216" t="s">
        <v>195</v>
      </c>
      <c r="B216" s="3">
        <v>1.0380362381363244E-13</v>
      </c>
      <c r="C216" s="3"/>
      <c r="D216" t="s">
        <v>7</v>
      </c>
      <c r="E216" t="s">
        <v>244</v>
      </c>
      <c r="F216" t="s">
        <v>27</v>
      </c>
      <c r="G216" s="2"/>
    </row>
    <row r="217" spans="1:7" ns3:dyDescent="0.2">
      <c r="A217" t="s">
        <v>196</v>
      </c>
      <c r="B217" s="3">
        <v>1.0134357204486626E-8</v>
      </c>
      <c r="C217" s="3"/>
      <c r="D217" t="s">
        <v>7</v>
      </c>
      <c r="E217" t="s">
        <v>244</v>
      </c>
      <c r="F217" t="s">
        <v>27</v>
      </c>
      <c r="G217" s="2"/>
    </row>
    <row r="218" spans="1:7" ns3:dyDescent="0.2">
      <c r="A218" t="s">
        <v>197</v>
      </c>
      <c r="B218" s="3">
        <v>1.1998654012079379E-8</v>
      </c>
      <c r="C218" s="3"/>
      <c r="D218" t="s">
        <v>7</v>
      </c>
      <c r="E218" t="s">
        <v>244</v>
      </c>
      <c r="F218" t="s">
        <v>27</v>
      </c>
      <c r="G218" s="2"/>
    </row>
    <row r="219" spans="1:7" ns3:dyDescent="0.2">
      <c r="A219" t="s">
        <v>144</v>
      </c>
      <c r="B219" s="3">
        <v>0.71726660914581541</v>
      </c>
      <c r="C219" s="3"/>
      <c r="D219" t="s">
        <v>7</v>
      </c>
      <c r="E219" t="s">
        <v>244</v>
      </c>
      <c r="F219" t="s">
        <v>27</v>
      </c>
      <c r="G219" s="2"/>
    </row>
    <row r="220" spans="1:7" ns3:dyDescent="0.2">
      <c r="A220" t="s">
        <v>198</v>
      </c>
      <c r="B220" s="3">
        <v>7.9293183779119924E-6</v>
      </c>
      <c r="C220" s="3"/>
      <c r="D220" t="s">
        <v>7</v>
      </c>
      <c r="E220" t="s">
        <v>244</v>
      </c>
      <c r="F220" t="s">
        <v>27</v>
      </c>
      <c r="G220" s="2"/>
    </row>
    <row r="221" spans="1:7" ns3:dyDescent="0.2">
      <c r="A221" t="s">
        <v>199</v>
      </c>
      <c r="B221" s="3">
        <v>1.0342778257118203E-8</v>
      </c>
      <c r="C221" s="3"/>
      <c r="D221" t="s">
        <v>7</v>
      </c>
      <c r="E221" t="s">
        <v>244</v>
      </c>
      <c r="F221" t="s">
        <v>27</v>
      </c>
      <c r="G221" s="2"/>
    </row>
    <row r="222" spans="1:7" ns3:dyDescent="0.2">
      <c r="A222" t="s">
        <v>200</v>
      </c>
      <c r="B222" s="3">
        <v>1.6651941328731664E-8</v>
      </c>
      <c r="C222" s="3"/>
      <c r="D222" t="s">
        <v>7</v>
      </c>
      <c r="E222" t="s">
        <v>244</v>
      </c>
      <c r="F222" t="s">
        <v>27</v>
      </c>
      <c r="G222" s="2"/>
    </row>
    <row r="223" spans="1:7" ns3:dyDescent="0.2">
      <c r="A223" t="s">
        <v>201</v>
      </c>
      <c r="B223" s="3">
        <v>8.4325107851596202E-9</v>
      </c>
      <c r="C223" s="3"/>
      <c r="D223" t="s">
        <v>7</v>
      </c>
      <c r="E223" t="s">
        <v>244</v>
      </c>
      <c r="F223" t="s">
        <v>27</v>
      </c>
      <c r="G223" s="2"/>
    </row>
    <row r="224" spans="1:7" ns3:dyDescent="0.2">
      <c r="A224" t="s">
        <v>202</v>
      </c>
      <c r="B224" s="3">
        <v>6.0833477135461605E-6</v>
      </c>
      <c r="C224" s="3"/>
      <c r="D224" t="s">
        <v>7</v>
      </c>
      <c r="E224" t="s">
        <v>244</v>
      </c>
      <c r="F224" t="s">
        <v>27</v>
      </c>
      <c r="G224" s="2"/>
    </row>
    <row r="225" spans="1:7" ns3:dyDescent="0.2">
      <c r="A225" t="s">
        <v>203</v>
      </c>
      <c r="B225" s="3">
        <v>2.8314823123382222E-5</v>
      </c>
      <c r="C225" s="3"/>
      <c r="D225" t="s">
        <v>7</v>
      </c>
      <c r="E225" t="s">
        <v>244</v>
      </c>
      <c r="F225" t="s">
        <v>27</v>
      </c>
      <c r="G225" s="2"/>
    </row>
    <row r="226" spans="1:7" ns3:dyDescent="0.2">
      <c r="A226" t="s">
        <v>204</v>
      </c>
      <c r="B226" s="3">
        <v>9.3286281276962901E-15</v>
      </c>
      <c r="C226" s="3"/>
      <c r="D226" t="s">
        <v>7</v>
      </c>
      <c r="E226" t="s">
        <v>244</v>
      </c>
      <c r="F226" t="s">
        <v>27</v>
      </c>
      <c r="G226" s="2"/>
    </row>
    <row r="227" spans="1:7" ns3:dyDescent="0.2">
      <c r="A227" t="s">
        <v>205</v>
      </c>
      <c r="B227" s="3">
        <v>7.6951164797239002</v>
      </c>
      <c r="C227" s="3"/>
      <c r="D227" t="s">
        <v>17</v>
      </c>
      <c r="E227" t="s">
        <v>244</v>
      </c>
      <c r="F227" t="s">
        <v>27</v>
      </c>
      <c r="G227" s="2"/>
    </row>
    <row r="228" spans="1:7" ns3:dyDescent="0.2">
      <c r="A228" t="s">
        <v>206</v>
      </c>
      <c r="B228" s="3">
        <v>3.213597929249353E-6</v>
      </c>
      <c r="C228" s="3"/>
      <c r="D228" t="s">
        <v>7</v>
      </c>
      <c r="E228" t="s">
        <v>244</v>
      </c>
      <c r="F228" t="s">
        <v>27</v>
      </c>
      <c r="G228" s="2"/>
    </row>
    <row r="229" spans="1:7" ns3:dyDescent="0.2">
      <c r="A229" t="s">
        <v>207</v>
      </c>
      <c r="B229" s="3">
        <v>2.8745332182916305E-8</v>
      </c>
      <c r="C229" s="3"/>
      <c r="D229" t="s">
        <v>7</v>
      </c>
      <c r="E229" t="s">
        <v>244</v>
      </c>
      <c r="F229" t="s">
        <v>27</v>
      </c>
      <c r="G229" s="2"/>
    </row>
    <row r="230" spans="1:7" ns3:dyDescent="0.2">
      <c r="A230" t="s">
        <v>208</v>
      </c>
      <c r="B230" s="3">
        <v>1.9352717860224329E-9</v>
      </c>
      <c r="C230" s="3"/>
      <c r="D230" t="s">
        <v>7</v>
      </c>
      <c r="E230" t="s">
        <v>244</v>
      </c>
      <c r="F230" t="s">
        <v>27</v>
      </c>
      <c r="G230" s="2"/>
    </row>
    <row r="231" spans="1:7" ns3:dyDescent="0.2">
      <c r="A231" t="s">
        <v>209</v>
      </c>
      <c r="B231" s="3">
        <v>1.1152234685073339E-8</v>
      </c>
      <c r="C231" s="3"/>
      <c r="D231" t="s">
        <v>7</v>
      </c>
      <c r="E231" t="s">
        <v>244</v>
      </c>
      <c r="F231" t="s">
        <v>27</v>
      </c>
      <c r="G231" s="2"/>
    </row>
    <row r="232" spans="1:7" ns3:dyDescent="0.2">
      <c r="A232" t="s">
        <v>210</v>
      </c>
      <c r="B232" s="3">
        <v>4.423744607420189E-9</v>
      </c>
      <c r="C232" s="3"/>
      <c r="D232" t="s">
        <v>7</v>
      </c>
      <c r="E232" t="s">
        <v>244</v>
      </c>
      <c r="F232" t="s">
        <v>27</v>
      </c>
      <c r="G232" s="2"/>
    </row>
    <row r="233" spans="1:7" ns3:dyDescent="0.2">
      <c r="A233" t="s">
        <v>211</v>
      </c>
      <c r="B233" s="3">
        <v>6.978222605694564E-9</v>
      </c>
      <c r="C233" s="3"/>
      <c r="D233" t="s">
        <v>7</v>
      </c>
      <c r="E233" t="s">
        <v>244</v>
      </c>
      <c r="F233" t="s">
        <v>27</v>
      </c>
      <c r="G233" s="2"/>
    </row>
    <row r="234" spans="1:7" ns3:dyDescent="0.2">
      <c r="A234" t="s">
        <v>212</v>
      </c>
      <c r="B234" s="3">
        <v>6.99685936151855E-8</v>
      </c>
      <c r="C234" s="3"/>
      <c r="D234" t="s">
        <v>7</v>
      </c>
      <c r="E234" t="s">
        <v>244</v>
      </c>
      <c r="F234" t="s">
        <v>27</v>
      </c>
      <c r="G234" s="2"/>
    </row>
    <row r="235" spans="1:7" ns3:dyDescent="0.2">
      <c r="A235" t="s">
        <v>213</v>
      </c>
      <c r="B235" s="3">
        <v>2.1228507333908542E-7</v>
      </c>
      <c r="C235" s="3"/>
      <c r="D235" t="s">
        <v>7</v>
      </c>
      <c r="E235" t="s">
        <v>244</v>
      </c>
      <c r="F235" t="s">
        <v>27</v>
      </c>
      <c r="G235" s="2"/>
    </row>
    <row r="236" spans="1:7" ns3:dyDescent="0.2">
      <c r="A236" t="s">
        <v>214</v>
      </c>
      <c r="B236" s="3">
        <v>7.5003623813632443E-9</v>
      </c>
      <c r="C236" s="3"/>
      <c r="D236" t="s">
        <v>7</v>
      </c>
      <c r="E236" t="s">
        <v>244</v>
      </c>
      <c r="F236" t="s">
        <v>27</v>
      </c>
      <c r="G236" s="2"/>
    </row>
    <row r="237" spans="1:7" ns3:dyDescent="0.2">
      <c r="A237" t="s">
        <v>215</v>
      </c>
      <c r="B237" s="3">
        <v>1.7021570319240723E-4</v>
      </c>
      <c r="C237" s="3"/>
      <c r="D237" t="s">
        <v>7</v>
      </c>
      <c r="E237" t="s">
        <v>244</v>
      </c>
      <c r="F237" t="s">
        <v>27</v>
      </c>
      <c r="G237" s="2"/>
    </row>
    <row r="238" spans="1:7" ns3:dyDescent="0.2">
      <c r="A238" t="s">
        <v>216</v>
      </c>
      <c r="B238" s="3">
        <v>5.569283865401208E-7</v>
      </c>
      <c r="C238" s="3"/>
      <c r="D238" t="s">
        <v>7</v>
      </c>
      <c r="E238" t="s">
        <v>244</v>
      </c>
      <c r="F238" t="s">
        <v>27</v>
      </c>
      <c r="G238" s="2"/>
    </row>
    <row r="239" spans="1:7" ns3:dyDescent="0.2">
      <c r="A239" t="s">
        <v>217</v>
      </c>
      <c r="B239" s="3">
        <v>2.7985573770491802E-9</v>
      </c>
      <c r="C239" s="3"/>
      <c r="D239" t="s">
        <v>7</v>
      </c>
      <c r="E239" t="s">
        <v>244</v>
      </c>
      <c r="F239" t="s">
        <v>27</v>
      </c>
      <c r="G239" s="2"/>
    </row>
    <row r="240" spans="1:7" ns3:dyDescent="0.2">
      <c r="A240" t="s">
        <v>218</v>
      </c>
      <c r="B240" s="3">
        <v>2.0313753235547885E-12</v>
      </c>
      <c r="C240" s="3"/>
      <c r="D240" t="s">
        <v>7</v>
      </c>
      <c r="E240" t="s">
        <v>244</v>
      </c>
      <c r="F240" t="s">
        <v>27</v>
      </c>
      <c r="G240" s="2"/>
    </row>
    <row r="241" spans="1:7" ns3:dyDescent="0.2">
      <c r="A241" t="s">
        <v>219</v>
      </c>
      <c r="B241" s="3">
        <v>7.2611906816220883E-9</v>
      </c>
      <c r="C241" s="3"/>
      <c r="D241" t="s">
        <v>7</v>
      </c>
      <c r="E241" t="s">
        <v>244</v>
      </c>
      <c r="F241" t="s">
        <v>27</v>
      </c>
      <c r="G241" s="2"/>
    </row>
    <row r="242" spans="1:7" ns3:dyDescent="0.2">
      <c r="A242" t="s">
        <v>220</v>
      </c>
      <c r="B242" s="3">
        <v>3.4872476272648832E-6</v>
      </c>
      <c r="C242" s="3"/>
      <c r="D242" t="s">
        <v>7</v>
      </c>
      <c r="E242" t="s">
        <v>244</v>
      </c>
      <c r="F242" t="s">
        <v>27</v>
      </c>
      <c r="G242" s="2"/>
    </row>
    <row r="243" spans="1:7" ns3:dyDescent="0.2">
      <c r="A243" t="s">
        <v>221</v>
      </c>
      <c r="B243" s="3">
        <v>2.5651009490940462E-9</v>
      </c>
      <c r="C243" s="3"/>
      <c r="D243" t="s">
        <v>7</v>
      </c>
      <c r="E243" t="s">
        <v>244</v>
      </c>
      <c r="F243" t="s">
        <v>27</v>
      </c>
      <c r="G243" s="2"/>
    </row>
    <row r="244" spans="1:7" ns3:dyDescent="0.2">
      <c r="A244" t="s">
        <v>222</v>
      </c>
      <c r="B244" s="3">
        <v>4.6467644521138916E-6</v>
      </c>
      <c r="C244" s="3"/>
      <c r="D244" t="s">
        <v>7</v>
      </c>
      <c r="E244" t="s">
        <v>244</v>
      </c>
      <c r="F244" t="s">
        <v>27</v>
      </c>
      <c r="G244" s="2"/>
    </row>
    <row r="245" spans="1:7" ns3:dyDescent="0.2">
      <c r="A245" t="s">
        <v>223</v>
      </c>
      <c r="B245" s="3">
        <v>1.1593615185504745E-10</v>
      </c>
      <c r="C245" s="3"/>
      <c r="D245" t="s">
        <v>7</v>
      </c>
      <c r="E245" t="s">
        <v>244</v>
      </c>
      <c r="F245" t="s">
        <v>27</v>
      </c>
      <c r="G245" s="2"/>
    </row>
    <row r="246" spans="1:7" ns3:dyDescent="0.2">
      <c r="A246" t="s">
        <v>224</v>
      </c>
      <c r="B246" s="3">
        <v>4.9614150129421915E-12</v>
      </c>
      <c r="C246" s="3"/>
      <c r="D246" t="s">
        <v>7</v>
      </c>
      <c r="E246" t="s">
        <v>244</v>
      </c>
      <c r="F246" t="s">
        <v>27</v>
      </c>
      <c r="G246" s="2"/>
    </row>
    <row r="247" spans="1:7" ns3:dyDescent="0.2">
      <c r="A247" t="s">
        <v>225</v>
      </c>
      <c r="B247" s="3">
        <v>2.4046695427092317E-7</v>
      </c>
      <c r="C247" s="3"/>
      <c r="D247" t="s">
        <v>7</v>
      </c>
      <c r="E247" t="s">
        <v>244</v>
      </c>
      <c r="F247" t="s">
        <v>27</v>
      </c>
      <c r="G247" s="2"/>
    </row>
    <row r="248" spans="1:7" ns3:dyDescent="0.2">
      <c r="A248" t="s">
        <v>226</v>
      </c>
      <c r="B248" s="3">
        <v>9.3292493528904218E-9</v>
      </c>
      <c r="C248" s="3"/>
      <c r="D248" t="s">
        <v>7</v>
      </c>
      <c r="E248" t="s">
        <v>244</v>
      </c>
      <c r="F248" t="s">
        <v>27</v>
      </c>
      <c r="G248" s="2"/>
    </row>
    <row r="249" spans="1:7" ns3:dyDescent="0.2">
      <c r="A249" t="s">
        <v>227</v>
      </c>
      <c r="B249" s="3">
        <v>1.7713304572907677E-6</v>
      </c>
      <c r="C249" s="3"/>
      <c r="D249" t="s">
        <v>7</v>
      </c>
      <c r="E249" t="s">
        <v>244</v>
      </c>
      <c r="F249" t="s">
        <v>27</v>
      </c>
      <c r="G249" s="2"/>
    </row>
    <row r="250" spans="1:7" ns3:dyDescent="0.2">
      <c r="A250" t="s">
        <v>228</v>
      </c>
      <c r="B250" s="3">
        <v>1.0605845383951683E-3</v>
      </c>
      <c r="C250" s="3"/>
      <c r="D250" t="s">
        <v>37</v>
      </c>
      <c r="E250" t="s">
        <v>244</v>
      </c>
      <c r="F250" t="s">
        <v>27</v>
      </c>
      <c r="G250" s="2"/>
    </row>
    <row r="251" spans="1:7" ns3:dyDescent="0.2">
      <c r="A251" t="s">
        <v>229</v>
      </c>
      <c r="B251" s="3">
        <v>1.0861190681622086E-7</v>
      </c>
      <c r="C251" s="3"/>
      <c r="D251" t="s">
        <v>7</v>
      </c>
      <c r="E251" t="s">
        <v>244</v>
      </c>
      <c r="F251" t="s">
        <v>27</v>
      </c>
      <c r="G251" s="2"/>
    </row>
    <row r="252" spans="1:7" ns3:dyDescent="0.2">
      <c r="A252" t="s">
        <v>188</v>
      </c>
      <c r="B252" s="3">
        <v>5.4027955133735981E-5</v>
      </c>
      <c r="C252" s="3"/>
      <c r="D252" t="s">
        <v>7</v>
      </c>
      <c r="E252" t="s">
        <v>245</v>
      </c>
      <c r="F252" t="s">
        <v>27</v>
      </c>
      <c r="G252" s="2"/>
    </row>
    <row r="253" spans="1:7" ns3:dyDescent="0.2">
      <c r="A253" t="s">
        <v>188</v>
      </c>
      <c r="B253" s="3">
        <v>1.9793787748058669E-8</v>
      </c>
      <c r="C253" s="3"/>
      <c r="D253" t="s">
        <v>7</v>
      </c>
      <c r="E253" t="s">
        <v>246</v>
      </c>
      <c r="F253" t="s">
        <v>27</v>
      </c>
      <c r="G253" s="2"/>
    </row>
    <row r="254" spans="1:7" ns3:dyDescent="0.2">
      <c r="A254" t="s">
        <v>190</v>
      </c>
      <c r="B254" s="3">
        <v>5.0533563416738567E-6</v>
      </c>
      <c r="C254" s="3"/>
      <c r="D254" t="s">
        <v>7</v>
      </c>
      <c r="E254" t="s">
        <v>245</v>
      </c>
      <c r="F254" t="s">
        <v>27</v>
      </c>
      <c r="G254" s="2"/>
    </row>
    <row r="255" spans="1:7" ns3:dyDescent="0.2">
      <c r="A255" t="s">
        <v>190</v>
      </c>
      <c r="B255" s="3">
        <v>2.4475340811044003E-6</v>
      </c>
      <c r="C255" s="3"/>
      <c r="D255" t="s">
        <v>7</v>
      </c>
      <c r="E255" t="s">
        <v>246</v>
      </c>
      <c r="F255" t="s">
        <v>27</v>
      </c>
      <c r="G255" s="2"/>
    </row>
    <row r="256" spans="1:7" ns3:dyDescent="0.2">
      <c r="A256" t="s">
        <v>191</v>
      </c>
      <c r="B256" s="3">
        <v>3.3574115616911132E-7</v>
      </c>
      <c r="C256" s="3"/>
      <c r="D256" t="s">
        <v>7</v>
      </c>
      <c r="E256" t="s">
        <v>245</v>
      </c>
      <c r="F256" t="s">
        <v>27</v>
      </c>
      <c r="G256" s="2"/>
    </row>
    <row r="257" spans="1:7" ns3:dyDescent="0.2">
      <c r="A257" t="s">
        <v>191</v>
      </c>
      <c r="B257" s="3">
        <v>2.1533218291630715E-7</v>
      </c>
      <c r="C257" s="3"/>
      <c r="D257" t="s">
        <v>7</v>
      </c>
      <c r="E257" t="s">
        <v>246</v>
      </c>
      <c r="F257" t="s">
        <v>27</v>
      </c>
      <c r="G257" s="2"/>
    </row>
    <row r="258" spans="1:7" ns3:dyDescent="0.2">
      <c r="A258" t="s">
        <v>230</v>
      </c>
      <c r="B258" s="3">
        <v>4.7703882657463328E-4</v>
      </c>
      <c r="C258" s="3"/>
      <c r="D258" t="s">
        <v>7</v>
      </c>
      <c r="E258" t="s">
        <v>245</v>
      </c>
      <c r="F258" t="s">
        <v>27</v>
      </c>
      <c r="G258" s="2"/>
    </row>
    <row r="259" spans="1:7" ns3:dyDescent="0.2">
      <c r="A259" t="s">
        <v>230</v>
      </c>
      <c r="B259" s="3">
        <v>1.4641035375323553E-4</v>
      </c>
      <c r="C259" s="3"/>
      <c r="D259" t="s">
        <v>7</v>
      </c>
      <c r="E259" t="s">
        <v>246</v>
      </c>
      <c r="F259" t="s">
        <v>27</v>
      </c>
      <c r="G259" s="2"/>
    </row>
    <row r="260" spans="1:7" ns3:dyDescent="0.2">
      <c r="A260" t="s">
        <v>192</v>
      </c>
      <c r="B260" s="3">
        <v>3.9491285591026744E-5</v>
      </c>
      <c r="C260" s="3"/>
      <c r="D260" t="s">
        <v>7</v>
      </c>
      <c r="E260" t="s">
        <v>245</v>
      </c>
      <c r="F260" t="s">
        <v>27</v>
      </c>
      <c r="G260" s="2"/>
    </row>
    <row r="261" spans="1:7" ns3:dyDescent="0.2">
      <c r="A261" t="s">
        <v>192</v>
      </c>
      <c r="B261" s="3">
        <v>2.2935634167385678E-8</v>
      </c>
      <c r="C261" s="3"/>
      <c r="D261" t="s">
        <v>7</v>
      </c>
      <c r="E261" t="s">
        <v>246</v>
      </c>
      <c r="F261" t="s">
        <v>27</v>
      </c>
      <c r="G261" s="2"/>
    </row>
    <row r="262" spans="1:7" ns3:dyDescent="0.2">
      <c r="A262" t="s">
        <v>231</v>
      </c>
      <c r="B262" s="3">
        <v>1.3600483175150992E-7</v>
      </c>
      <c r="C262" s="3"/>
      <c r="D262" t="s">
        <v>7</v>
      </c>
      <c r="E262" t="s">
        <v>245</v>
      </c>
      <c r="F262" t="s">
        <v>27</v>
      </c>
      <c r="G262" s="2"/>
    </row>
    <row r="263" spans="1:7" ns3:dyDescent="0.2">
      <c r="A263" t="s">
        <v>231</v>
      </c>
      <c r="B263" s="3">
        <v>9.0189473684210522E-11</v>
      </c>
      <c r="C263" s="3"/>
      <c r="D263" t="s">
        <v>7</v>
      </c>
      <c r="E263" t="s">
        <v>246</v>
      </c>
      <c r="F263" t="s">
        <v>27</v>
      </c>
      <c r="G263" s="2"/>
    </row>
    <row r="264" spans="1:7" ns3:dyDescent="0.2">
      <c r="A264" t="s">
        <v>196</v>
      </c>
      <c r="B264" s="3">
        <v>1.0517653149266608E-6</v>
      </c>
      <c r="C264" s="3"/>
      <c r="D264" t="s">
        <v>7</v>
      </c>
      <c r="E264" t="s">
        <v>245</v>
      </c>
      <c r="F264" t="s">
        <v>27</v>
      </c>
      <c r="G264" s="2"/>
    </row>
    <row r="265" spans="1:7" ns3:dyDescent="0.2">
      <c r="A265" t="s">
        <v>196</v>
      </c>
      <c r="B265" s="3">
        <v>1.8826229508196721E-5</v>
      </c>
      <c r="C265" s="3"/>
      <c r="D265" t="s">
        <v>7</v>
      </c>
      <c r="E265" t="s">
        <v>246</v>
      </c>
      <c r="F265" t="s">
        <v>27</v>
      </c>
      <c r="G265" s="2"/>
    </row>
    <row r="266" spans="1:7" ns3:dyDescent="0.2">
      <c r="A266" t="s">
        <v>232</v>
      </c>
      <c r="B266" s="3">
        <v>1.4583882657463331E-3</v>
      </c>
      <c r="C266" s="3"/>
      <c r="D266" t="s">
        <v>7</v>
      </c>
      <c r="E266" t="s">
        <v>245</v>
      </c>
      <c r="F266" t="s">
        <v>27</v>
      </c>
      <c r="G266" s="2"/>
    </row>
    <row r="267" spans="1:7" ns3:dyDescent="0.2">
      <c r="A267" t="s">
        <v>232</v>
      </c>
      <c r="B267" s="3">
        <v>1.4961276962899051E-4</v>
      </c>
      <c r="C267" s="3"/>
      <c r="D267" t="s">
        <v>7</v>
      </c>
      <c r="E267" t="s">
        <v>246</v>
      </c>
      <c r="F267" t="s">
        <v>27</v>
      </c>
      <c r="G267" s="2"/>
    </row>
    <row r="268" spans="1:7" ns3:dyDescent="0.2">
      <c r="A268" t="s">
        <v>197</v>
      </c>
      <c r="B268" s="3">
        <v>3.7742536669542706E-6</v>
      </c>
      <c r="C268" s="3"/>
      <c r="D268" t="s">
        <v>7</v>
      </c>
      <c r="E268" t="s">
        <v>245</v>
      </c>
      <c r="F268" t="s">
        <v>27</v>
      </c>
      <c r="G268" s="2"/>
    </row>
    <row r="269" spans="1:7" ns3:dyDescent="0.2">
      <c r="A269" t="s">
        <v>197</v>
      </c>
      <c r="B269" s="3">
        <v>4.1839516824849004E-9</v>
      </c>
      <c r="C269" s="3"/>
      <c r="D269" t="s">
        <v>7</v>
      </c>
      <c r="E269" t="s">
        <v>246</v>
      </c>
      <c r="F269" t="s">
        <v>27</v>
      </c>
      <c r="G269" s="2"/>
    </row>
    <row r="270" spans="1:7" ns3:dyDescent="0.2">
      <c r="A270" t="s">
        <v>233</v>
      </c>
      <c r="B270" s="3">
        <v>4.4495254529767041E-5</v>
      </c>
      <c r="C270" s="3"/>
      <c r="D270" t="s">
        <v>7</v>
      </c>
      <c r="E270" t="s">
        <v>245</v>
      </c>
      <c r="F270" t="s">
        <v>27</v>
      </c>
      <c r="G270" s="2"/>
    </row>
    <row r="271" spans="1:7" ns3:dyDescent="0.2">
      <c r="A271" t="s">
        <v>233</v>
      </c>
      <c r="B271" s="3">
        <v>7.4279896462467648E-8</v>
      </c>
      <c r="C271" s="3"/>
      <c r="D271" t="s">
        <v>7</v>
      </c>
      <c r="E271" t="s">
        <v>246</v>
      </c>
      <c r="F271" t="s">
        <v>27</v>
      </c>
      <c r="G271" s="2"/>
    </row>
    <row r="272" spans="1:7" ns3:dyDescent="0.2">
      <c r="A272" t="s">
        <v>234</v>
      </c>
      <c r="B272" s="3">
        <v>7.0937704918032786E-4</v>
      </c>
      <c r="C272" s="3"/>
      <c r="D272" t="s">
        <v>7</v>
      </c>
      <c r="E272" t="s">
        <v>245</v>
      </c>
      <c r="F272" t="s">
        <v>27</v>
      </c>
      <c r="G272" s="2"/>
    </row>
    <row r="273" spans="1:7" ns3:dyDescent="0.2">
      <c r="A273" t="s">
        <v>234</v>
      </c>
      <c r="B273" s="3">
        <v>4.7834339948231233E-3</v>
      </c>
      <c r="C273" s="3"/>
      <c r="D273" t="s">
        <v>7</v>
      </c>
      <c r="E273" t="s">
        <v>246</v>
      </c>
      <c r="F273" t="s">
        <v>27</v>
      </c>
      <c r="G273" s="2"/>
    </row>
    <row r="274" spans="1:7" ns3:dyDescent="0.2">
      <c r="A274" t="s">
        <v>199</v>
      </c>
      <c r="B274" s="3">
        <v>1.5376876617773942E-9</v>
      </c>
      <c r="C274" s="3"/>
      <c r="D274" t="s">
        <v>7</v>
      </c>
      <c r="E274" t="s">
        <v>246</v>
      </c>
      <c r="F274" t="s">
        <v>27</v>
      </c>
      <c r="G274" s="2"/>
    </row>
    <row r="275" spans="1:7" ns3:dyDescent="0.2">
      <c r="A275" t="s">
        <v>235</v>
      </c>
      <c r="B275" s="3">
        <v>6.2622605694564283E-7</v>
      </c>
      <c r="C275" s="3"/>
      <c r="D275" t="s">
        <v>7</v>
      </c>
      <c r="E275" t="s">
        <v>245</v>
      </c>
      <c r="F275" t="s">
        <v>27</v>
      </c>
      <c r="G275" s="2"/>
    </row>
    <row r="276" spans="1:7" ns3:dyDescent="0.2">
      <c r="A276" t="s">
        <v>235</v>
      </c>
      <c r="B276" s="3">
        <v>1.802329594477998E-7</v>
      </c>
      <c r="C276" s="3"/>
      <c r="D276" t="s">
        <v>7</v>
      </c>
      <c r="E276" t="s">
        <v>246</v>
      </c>
      <c r="F276" t="s">
        <v>27</v>
      </c>
      <c r="G276" s="2"/>
    </row>
    <row r="277" spans="1:7" ns3:dyDescent="0.2">
      <c r="A277" t="s">
        <v>200</v>
      </c>
      <c r="B277" s="3">
        <v>8.0097670405521992E-6</v>
      </c>
      <c r="C277" s="3"/>
      <c r="D277" t="s">
        <v>7</v>
      </c>
      <c r="E277" t="s">
        <v>245</v>
      </c>
      <c r="F277" t="s">
        <v>27</v>
      </c>
      <c r="G277" s="2"/>
    </row>
    <row r="278" spans="1:7" ns3:dyDescent="0.2">
      <c r="A278" t="s">
        <v>200</v>
      </c>
      <c r="B278" s="3">
        <v>1.5080862812769628E-9</v>
      </c>
      <c r="C278" s="3"/>
      <c r="D278" t="s">
        <v>7</v>
      </c>
      <c r="E278" t="s">
        <v>246</v>
      </c>
      <c r="F278" t="s">
        <v>27</v>
      </c>
      <c r="G278" s="2"/>
    </row>
    <row r="279" spans="1:7" ns3:dyDescent="0.2">
      <c r="A279" t="s">
        <v>201</v>
      </c>
      <c r="B279" s="3">
        <v>8.6738567730802401E-5</v>
      </c>
      <c r="C279" s="3"/>
      <c r="D279" t="s">
        <v>7</v>
      </c>
      <c r="E279" t="s">
        <v>245</v>
      </c>
      <c r="F279" t="s">
        <v>27</v>
      </c>
      <c r="G279" s="2"/>
    </row>
    <row r="280" spans="1:7" ns3:dyDescent="0.2">
      <c r="A280" t="s">
        <v>201</v>
      </c>
      <c r="B280" s="3">
        <v>7.9656600517687653E-9</v>
      </c>
      <c r="C280" s="3"/>
      <c r="D280" t="s">
        <v>7</v>
      </c>
      <c r="E280" t="s">
        <v>246</v>
      </c>
      <c r="F280" t="s">
        <v>27</v>
      </c>
      <c r="G280" s="2"/>
    </row>
    <row r="281" spans="1:7" ns3:dyDescent="0.2">
      <c r="A281" t="s">
        <v>236</v>
      </c>
      <c r="B281" s="3">
        <v>5.7708714408973255E-4</v>
      </c>
      <c r="C281" s="3"/>
      <c r="D281" t="s">
        <v>7</v>
      </c>
      <c r="E281" t="s">
        <v>245</v>
      </c>
      <c r="F281" t="s">
        <v>27</v>
      </c>
      <c r="G281" s="2"/>
    </row>
    <row r="282" spans="1:7" ns3:dyDescent="0.2">
      <c r="A282" t="s">
        <v>236</v>
      </c>
      <c r="B282" s="3">
        <v>6.525660051768766E-5</v>
      </c>
      <c r="C282" s="3"/>
      <c r="D282" t="s">
        <v>7</v>
      </c>
      <c r="E282" t="s">
        <v>246</v>
      </c>
      <c r="F282" t="s">
        <v>27</v>
      </c>
      <c r="G282" s="2"/>
    </row>
    <row r="283" spans="1:7" ns3:dyDescent="0.2">
      <c r="A283" t="s">
        <v>237</v>
      </c>
      <c r="B283" s="3">
        <v>2.8425711820534943E-6</v>
      </c>
      <c r="C283" s="3"/>
      <c r="D283" t="s">
        <v>7</v>
      </c>
      <c r="E283" t="s">
        <v>245</v>
      </c>
      <c r="F283" t="s">
        <v>27</v>
      </c>
      <c r="G283" s="2"/>
    </row>
    <row r="284" spans="1:7" ns3:dyDescent="0.2">
      <c r="A284" t="s">
        <v>237</v>
      </c>
      <c r="B284" s="3">
        <v>1.2400586712683346E-6</v>
      </c>
      <c r="C284" s="3"/>
      <c r="D284" t="s">
        <v>7</v>
      </c>
      <c r="E284" t="s">
        <v>246</v>
      </c>
      <c r="F284" t="s">
        <v>27</v>
      </c>
      <c r="G284" s="2"/>
    </row>
    <row r="285" spans="1:7" ns3:dyDescent="0.2">
      <c r="A285" t="s">
        <v>205</v>
      </c>
      <c r="B285" s="3">
        <v>1.9530698878343398</v>
      </c>
      <c r="C285" s="3"/>
      <c r="D285" t="s">
        <v>17</v>
      </c>
      <c r="E285" t="s">
        <v>246</v>
      </c>
      <c r="F285" t="s">
        <v>27</v>
      </c>
      <c r="G285" s="2"/>
    </row>
    <row r="286" spans="1:7" ns3:dyDescent="0.2">
      <c r="A286" t="s">
        <v>208</v>
      </c>
      <c r="B286" s="3">
        <v>5.5267299396031058E-4</v>
      </c>
      <c r="C286" s="3"/>
      <c r="D286" t="s">
        <v>7</v>
      </c>
      <c r="E286" t="s">
        <v>245</v>
      </c>
      <c r="F286" t="s">
        <v>27</v>
      </c>
      <c r="G286" s="2"/>
    </row>
    <row r="287" spans="1:7" ns3:dyDescent="0.2">
      <c r="A287" t="s">
        <v>208</v>
      </c>
      <c r="B287" s="3">
        <v>2.0835271786022433E-8</v>
      </c>
      <c r="C287" s="3"/>
      <c r="D287" t="s">
        <v>7</v>
      </c>
      <c r="E287" t="s">
        <v>246</v>
      </c>
      <c r="F287" t="s">
        <v>27</v>
      </c>
      <c r="G287" s="2"/>
    </row>
    <row r="288" spans="1:7" ns3:dyDescent="0.2">
      <c r="A288" t="s">
        <v>209</v>
      </c>
      <c r="B288" s="3">
        <v>9.531147540983606E-5</v>
      </c>
      <c r="C288" s="3"/>
      <c r="D288" t="s">
        <v>7</v>
      </c>
      <c r="E288" t="s">
        <v>245</v>
      </c>
      <c r="F288" t="s">
        <v>27</v>
      </c>
      <c r="G288" s="2"/>
    </row>
    <row r="289" spans="1:7" ns3:dyDescent="0.2">
      <c r="A289" t="s">
        <v>209</v>
      </c>
      <c r="B289" s="3">
        <v>9.2180500431406383E-9</v>
      </c>
      <c r="C289" s="3"/>
      <c r="D289" t="s">
        <v>7</v>
      </c>
      <c r="E289" t="s">
        <v>246</v>
      </c>
      <c r="F289" t="s">
        <v>27</v>
      </c>
      <c r="G289" s="2"/>
    </row>
    <row r="290" spans="1:7" ns3:dyDescent="0.2">
      <c r="A290" t="s">
        <v>210</v>
      </c>
      <c r="B290" s="3">
        <v>1.8365591026747194E-5</v>
      </c>
      <c r="C290" s="3"/>
      <c r="D290" t="s">
        <v>7</v>
      </c>
      <c r="E290" t="s">
        <v>245</v>
      </c>
      <c r="F290" t="s">
        <v>27</v>
      </c>
      <c r="G290" s="2"/>
    </row>
    <row r="291" spans="1:7" ns3:dyDescent="0.2">
      <c r="A291" t="s">
        <v>210</v>
      </c>
      <c r="B291" s="3">
        <v>2.8314201898188093E-9</v>
      </c>
      <c r="C291" s="3"/>
      <c r="D291" t="s">
        <v>7</v>
      </c>
      <c r="E291" t="s">
        <v>246</v>
      </c>
      <c r="F291" t="s">
        <v>27</v>
      </c>
      <c r="G291" s="2"/>
    </row>
    <row r="292" spans="1:7" ns3:dyDescent="0.2">
      <c r="A292" t="s">
        <v>211</v>
      </c>
      <c r="B292" s="3">
        <v>5.1685936151855044E-8</v>
      </c>
      <c r="C292" s="3"/>
      <c r="D292" t="s">
        <v>7</v>
      </c>
      <c r="E292" t="s">
        <v>245</v>
      </c>
      <c r="F292" t="s">
        <v>27</v>
      </c>
      <c r="G292" s="2"/>
    </row>
    <row r="293" spans="1:7" ns3:dyDescent="0.2">
      <c r="A293" t="s">
        <v>211</v>
      </c>
      <c r="B293" s="3">
        <v>1.3095737704918032E-9</v>
      </c>
      <c r="C293" s="3"/>
      <c r="D293" t="s">
        <v>7</v>
      </c>
      <c r="E293" t="s">
        <v>246</v>
      </c>
      <c r="F293" t="s">
        <v>27</v>
      </c>
      <c r="G293" s="2"/>
    </row>
    <row r="294" spans="1:7" ns3:dyDescent="0.2">
      <c r="A294" t="s">
        <v>214</v>
      </c>
      <c r="B294" s="3">
        <v>5.8404486626402067E-6</v>
      </c>
      <c r="C294" s="3"/>
      <c r="D294" t="s">
        <v>7</v>
      </c>
      <c r="E294" t="s">
        <v>245</v>
      </c>
      <c r="F294" t="s">
        <v>27</v>
      </c>
      <c r="G294" s="2"/>
    </row>
    <row r="295" spans="1:7" ns3:dyDescent="0.2">
      <c r="A295" t="s">
        <v>214</v>
      </c>
      <c r="B295" s="3">
        <v>3.9572044866264021E-9</v>
      </c>
      <c r="C295" s="3"/>
      <c r="D295" t="s">
        <v>7</v>
      </c>
      <c r="E295" t="s">
        <v>246</v>
      </c>
      <c r="F295" t="s">
        <v>27</v>
      </c>
      <c r="G295" s="2"/>
    </row>
    <row r="296" spans="1:7" ns3:dyDescent="0.2">
      <c r="A296" t="s">
        <v>238</v>
      </c>
      <c r="B296" s="3">
        <v>6.8092493528904225E-5</v>
      </c>
      <c r="C296" s="3"/>
      <c r="D296" t="s">
        <v>7</v>
      </c>
      <c r="E296" t="s">
        <v>245</v>
      </c>
      <c r="F296" t="s">
        <v>27</v>
      </c>
      <c r="G296" s="2"/>
    </row>
    <row r="297" spans="1:7" ns3:dyDescent="0.2">
      <c r="A297" t="s">
        <v>238</v>
      </c>
      <c r="B297" s="3">
        <v>2.4390854184641932E-5</v>
      </c>
      <c r="C297" s="3"/>
      <c r="D297" t="s">
        <v>7</v>
      </c>
      <c r="E297" t="s">
        <v>246</v>
      </c>
      <c r="F297" t="s">
        <v>27</v>
      </c>
      <c r="G297" s="2"/>
    </row>
    <row r="298" spans="1:7" ns3:dyDescent="0.2">
      <c r="A298" t="s">
        <v>219</v>
      </c>
      <c r="B298" s="3">
        <v>4.670992234685073E-7</v>
      </c>
      <c r="C298" s="3"/>
      <c r="D298" t="s">
        <v>7</v>
      </c>
      <c r="E298" t="s">
        <v>245</v>
      </c>
      <c r="F298" t="s">
        <v>27</v>
      </c>
      <c r="G298" s="2"/>
    </row>
    <row r="299" spans="1:7" ns3:dyDescent="0.2">
      <c r="A299" t="s">
        <v>219</v>
      </c>
      <c r="B299" s="3">
        <v>1.2126937014667817E-7</v>
      </c>
      <c r="C299" s="3"/>
      <c r="D299" t="s">
        <v>7</v>
      </c>
      <c r="E299" t="s">
        <v>246</v>
      </c>
      <c r="F299" t="s">
        <v>27</v>
      </c>
      <c r="G299" s="2"/>
    </row>
    <row r="300" spans="1:7" ns3:dyDescent="0.2">
      <c r="A300" t="s">
        <v>239</v>
      </c>
      <c r="B300" s="3">
        <v>1.0721415012942191E-4</v>
      </c>
      <c r="C300" s="3"/>
      <c r="D300" t="s">
        <v>7</v>
      </c>
      <c r="E300" t="s">
        <v>245</v>
      </c>
      <c r="F300" t="s">
        <v>27</v>
      </c>
      <c r="G300" s="2"/>
    </row>
    <row r="301" spans="1:7" ns3:dyDescent="0.2">
      <c r="A301" t="s">
        <v>239</v>
      </c>
      <c r="B301" s="3">
        <v>2.41662812769629E-7</v>
      </c>
      <c r="C301" s="3"/>
      <c r="D301" t="s">
        <v>7</v>
      </c>
      <c r="E301" t="s">
        <v>246</v>
      </c>
      <c r="F301" t="s">
        <v>27</v>
      </c>
      <c r="G301" s="2"/>
    </row>
    <row r="302" spans="1:7" ns3:dyDescent="0.2">
      <c r="A302" t="s">
        <v>240</v>
      </c>
      <c r="B302" s="3">
        <v>2.7799827437446071E-4</v>
      </c>
      <c r="C302" s="3"/>
      <c r="D302" t="s">
        <v>7</v>
      </c>
      <c r="E302" t="s">
        <v>245</v>
      </c>
      <c r="F302" t="s">
        <v>27</v>
      </c>
      <c r="G302" s="2"/>
    </row>
    <row r="303" spans="1:7" ns3:dyDescent="0.2">
      <c r="A303" t="s">
        <v>240</v>
      </c>
      <c r="B303" s="3">
        <v>1.3978809318377912E-4</v>
      </c>
      <c r="C303" s="3"/>
      <c r="D303" t="s">
        <v>7</v>
      </c>
      <c r="E303" t="s">
        <v>246</v>
      </c>
      <c r="F303" t="s">
        <v>27</v>
      </c>
      <c r="G303" s="2"/>
    </row>
    <row r="304" spans="1:7" ns3:dyDescent="0.2">
      <c r="A304" t="s">
        <v>221</v>
      </c>
      <c r="B304" s="3">
        <v>2.5623364969801551E-5</v>
      </c>
      <c r="C304" s="3"/>
      <c r="D304" t="s">
        <v>7</v>
      </c>
      <c r="E304" t="s">
        <v>245</v>
      </c>
      <c r="F304" t="s">
        <v>27</v>
      </c>
      <c r="G304" s="2"/>
    </row>
    <row r="305" spans="1:7" ns3:dyDescent="0.2">
      <c r="A305" t="s">
        <v>221</v>
      </c>
      <c r="B305" s="3">
        <v>1.6769663503019845E-8</v>
      </c>
      <c r="C305" s="3"/>
      <c r="D305" t="s">
        <v>7</v>
      </c>
      <c r="E305" t="s">
        <v>246</v>
      </c>
      <c r="F305" t="s">
        <v>27</v>
      </c>
      <c r="G305" s="2"/>
    </row>
    <row r="306" spans="1:7" ns3:dyDescent="0.2">
      <c r="A306" t="s">
        <v>241</v>
      </c>
      <c r="B306" s="3">
        <v>1.0447144089732528E-3</v>
      </c>
      <c r="C306" s="3"/>
      <c r="D306" t="s">
        <v>7</v>
      </c>
      <c r="E306" t="s">
        <v>245</v>
      </c>
      <c r="F306" t="s">
        <v>27</v>
      </c>
      <c r="G306" s="2"/>
    </row>
    <row r="307" spans="1:7" ns3:dyDescent="0.2">
      <c r="A307" t="s">
        <v>241</v>
      </c>
      <c r="B307" s="3">
        <v>1.7855565142364108E-4</v>
      </c>
      <c r="C307" s="3"/>
      <c r="D307" t="s">
        <v>7</v>
      </c>
      <c r="E307" t="s">
        <v>246</v>
      </c>
      <c r="F307" t="s">
        <v>27</v>
      </c>
      <c r="G307" s="2"/>
    </row>
    <row r="308" spans="1:7" ns3:dyDescent="0.2">
      <c r="A308" t="s">
        <v>242</v>
      </c>
      <c r="B308" s="3">
        <v>5.7708714408973255E-4</v>
      </c>
      <c r="C308" s="3"/>
      <c r="D308" t="s">
        <v>7</v>
      </c>
      <c r="E308" t="s">
        <v>245</v>
      </c>
      <c r="F308" t="s">
        <v>27</v>
      </c>
      <c r="G308" s="2"/>
    </row>
    <row r="309" spans="1:7" ns3:dyDescent="0.2">
      <c r="A309" t="s">
        <v>242</v>
      </c>
      <c r="B309" s="3">
        <v>6.525660051768766E-5</v>
      </c>
      <c r="C309" s="3"/>
      <c r="D309" t="s">
        <v>7</v>
      </c>
      <c r="E309" t="s">
        <v>246</v>
      </c>
      <c r="F309" t="s">
        <v>27</v>
      </c>
      <c r="G309" s="2"/>
    </row>
    <row r="310" spans="1:7" ns3:dyDescent="0.2">
      <c r="A310" t="s">
        <v>223</v>
      </c>
      <c r="B310" s="3">
        <v>8.8891113028472812E-8</v>
      </c>
      <c r="C310" s="3"/>
      <c r="D310" t="s">
        <v>7</v>
      </c>
      <c r="E310" t="s">
        <v>245</v>
      </c>
      <c r="F310" t="s">
        <v>27</v>
      </c>
      <c r="G310" s="2"/>
    </row>
    <row r="311" spans="1:7" ns3:dyDescent="0.2">
      <c r="A311" t="s">
        <v>223</v>
      </c>
      <c r="B311" s="3">
        <v>8.237756686798964E-11</v>
      </c>
      <c r="C311" s="3"/>
      <c r="D311" t="s">
        <v>7</v>
      </c>
      <c r="E311" t="s">
        <v>246</v>
      </c>
      <c r="F311" t="s">
        <v>27</v>
      </c>
      <c r="G311" s="2"/>
    </row>
    <row r="312" spans="1:7" ns3:dyDescent="0.2">
      <c r="A312" t="s">
        <v>224</v>
      </c>
      <c r="B312" s="3">
        <v>5.0409318377911987E-6</v>
      </c>
      <c r="C312" s="3"/>
      <c r="D312" t="s">
        <v>7</v>
      </c>
      <c r="E312" t="s">
        <v>245</v>
      </c>
      <c r="F312" t="s">
        <v>27</v>
      </c>
      <c r="G312" s="2"/>
    </row>
    <row r="313" spans="1:7" ns3:dyDescent="0.2">
      <c r="A313" t="s">
        <v>224</v>
      </c>
      <c r="B313" s="3">
        <v>6.8657808455565145E-9</v>
      </c>
      <c r="C313" s="3"/>
      <c r="D313" t="s">
        <v>7</v>
      </c>
      <c r="E313" t="s">
        <v>246</v>
      </c>
      <c r="F313" t="s">
        <v>27</v>
      </c>
      <c r="G313" s="2"/>
    </row>
    <row r="314" spans="1:7" ns3:dyDescent="0.2">
      <c r="A314" t="s">
        <v>225</v>
      </c>
      <c r="B314" s="3">
        <v>8.6738567730802401E-5</v>
      </c>
      <c r="C314" s="3"/>
      <c r="D314" t="s">
        <v>7</v>
      </c>
      <c r="E314" t="s">
        <v>245</v>
      </c>
      <c r="F314" t="s">
        <v>27</v>
      </c>
      <c r="G314" s="2"/>
    </row>
    <row r="315" spans="1:7" ns3:dyDescent="0.2">
      <c r="A315" t="s">
        <v>225</v>
      </c>
      <c r="B315" s="3">
        <v>5.9007075064710956E-8</v>
      </c>
      <c r="C315" s="3"/>
      <c r="D315" t="s">
        <v>7</v>
      </c>
      <c r="E315" t="s">
        <v>246</v>
      </c>
      <c r="F315" t="s">
        <v>27</v>
      </c>
      <c r="G315" s="2"/>
    </row>
    <row r="316" spans="1:7" ns3:dyDescent="0.2">
      <c r="A316" t="s">
        <v>227</v>
      </c>
      <c r="B316" s="3">
        <v>2.4634374460742018E-5</v>
      </c>
      <c r="C316" s="3"/>
      <c r="D316" t="s">
        <v>7</v>
      </c>
      <c r="E316" t="s">
        <v>245</v>
      </c>
      <c r="F316" t="s">
        <v>27</v>
      </c>
      <c r="G316" s="2"/>
    </row>
    <row r="317" spans="1:7" ns3:dyDescent="0.2">
      <c r="A317" t="s">
        <v>227</v>
      </c>
      <c r="B317" s="3">
        <v>9.7162726488352022E-8</v>
      </c>
      <c r="C317" s="3"/>
      <c r="D317" t="s">
        <v>7</v>
      </c>
      <c r="E317" t="s">
        <v>246</v>
      </c>
      <c r="F317" t="s">
        <v>27</v>
      </c>
      <c r="G317" s="2"/>
    </row>
    <row r="318" spans="1:7" ns3:dyDescent="0.2">
      <c r="A318" t="s">
        <v>228</v>
      </c>
      <c r="B318" s="3">
        <v>3.9124421052631574E-4</v>
      </c>
      <c r="C318" s="3"/>
      <c r="D318" t="s">
        <v>37</v>
      </c>
      <c r="E318" t="s">
        <v>246</v>
      </c>
      <c r="F318" t="s">
        <v>27</v>
      </c>
      <c r="G318" s="2"/>
    </row>
    <row r="319" spans="1:7" ns3:dyDescent="0.2">
      <c r="A319" t="s">
        <v>229</v>
      </c>
      <c r="B319" s="3">
        <v>7.2761000862812768E-5</v>
      </c>
      <c r="C319" s="3"/>
      <c r="D319" t="s">
        <v>7</v>
      </c>
      <c r="E319" t="s">
        <v>245</v>
      </c>
      <c r="F319" t="s">
        <v>27</v>
      </c>
      <c r="G319" s="2"/>
    </row>
    <row r="320" spans="1:7" ns3:dyDescent="0.2">
      <c r="A320" t="s">
        <v>229</v>
      </c>
      <c r="B320" s="3">
        <v>9.8992234685073332E-9</v>
      </c>
      <c r="C320" s="3"/>
      <c r="D320" t="s">
        <v>7</v>
      </c>
      <c r="E320" t="s">
        <v>246</v>
      </c>
      <c r="F320" t="s">
        <v>27</v>
      </c>
      <c r="G320" s="2"/>
    </row>
    <row r="321" spans="1:8" ns3:dyDescent="0.2">
      <c r="A321" t="s">
        <v>243</v>
      </c>
      <c r="B321" s="3">
        <v>0.77003968938740286</v>
      </c>
      <c r="C321" s="3"/>
      <c r="D321" t="s">
        <v>7</v>
      </c>
      <c r="E321" t="s">
        <v>111</v>
      </c>
      <c r="F321" t="s">
        <v>27</v>
      </c>
      <c r="G321" s="2"/>
    </row>
    <row r="322" spans="1:8" s="50" customFormat="1" ns3:dyDescent="0.2">
      <c r="A322" s="50" t="s">
        <v>484</v>
      </c>
      <c r="B322" s="51">
        <f>9.3/43.4</f>
        <v>0.2142857142857143</v>
      </c>
      <c r="D322" s="50" t="s">
        <v>7</v>
      </c>
      <c r="E322" s="50" t="s">
        <v>485</v>
      </c>
      <c r="F322" s="50" t="s">
        <v>27</v>
      </c>
      <c r="G322" s="50" t="s">
        <v>489</v>
      </c>
    </row>
    <row r="324" spans="1:8" s="50" customFormat="1" ht="16" ns3:dyDescent="0.2">
      <c r="A324" s="49" t="s">
        <v>0</v>
      </c>
      <c r="B324" s="49" t="s">
        <v>140</v>
      </c>
    </row>
    <row r="325" spans="1:8" s="50" customFormat="1" ns3:dyDescent="0.2">
      <c r="A325" s="50" t="s">
        <v>1</v>
      </c>
      <c r="B325" s="50" t="s">
        <v>104</v>
      </c>
    </row>
    <row r="326" spans="1:8" s="50" customFormat="1" ns3:dyDescent="0.2">
      <c r="A326" s="50" t="s">
        <v>2</v>
      </c>
      <c r="B326" s="50">
        <v>1</v>
      </c>
    </row>
    <row r="327" spans="1:8" s="50" customFormat="1" ns3:dyDescent="0.2">
      <c r="A327" s="50" t="s">
        <v>9</v>
      </c>
      <c r="B327" s="50" t="s">
        <v>133</v>
      </c>
    </row>
    <row r="328" spans="1:8" s="50" customFormat="1" ns3:dyDescent="0.2">
      <c r="A328" s="50" t="s">
        <v>3</v>
      </c>
      <c r="B328" s="3" t="s">
        <v>142</v>
      </c>
    </row>
    <row r="329" spans="1:8" s="50" customFormat="1" ns3:dyDescent="0.2">
      <c r="A329" s="50" t="s">
        <v>4</v>
      </c>
      <c r="B329" s="50" t="s">
        <v>5</v>
      </c>
    </row>
    <row r="330" spans="1:8" ns3:dyDescent="0.2">
      <c r="A330" t="s">
        <v>261</v>
      </c>
      <c r="B330" s="23">
        <f>0.37*33%*90%</f>
        <v>0.10989</v>
      </c>
    </row>
    <row r="331" spans="1:8" s="50" customFormat="1" ns3:dyDescent="0.2">
      <c r="A331" s="50" t="s">
        <v>6</v>
      </c>
      <c r="B331" s="50" t="s">
        <v>126</v>
      </c>
    </row>
    <row r="332" spans="1:8" s="50" customFormat="1" ht="16" ns3:dyDescent="0.2">
      <c r="A332" s="49" t="s">
        <v>10</v>
      </c>
    </row>
    <row r="333" spans="1:8" s="50" customFormat="1" ns3:dyDescent="0.2">
      <c r="A333" s="50" t="s">
        <v>11</v>
      </c>
      <c r="B333" s="50" t="s">
        <v>12</v>
      </c>
      <c r="C333" s="50" t="s">
        <v>1</v>
      </c>
      <c r="D333" s="50" t="s">
        <v>6</v>
      </c>
      <c r="E333" s="50" t="s">
        <v>13</v>
      </c>
      <c r="F333" s="50" t="s">
        <v>4</v>
      </c>
      <c r="G333" s="50" t="s">
        <v>9</v>
      </c>
      <c r="H333" s="50" t="s">
        <v>3</v>
      </c>
    </row>
    <row r="334" spans="1:8" s="50" customFormat="1" ns3:dyDescent="0.2">
      <c r="A334" s="50" t="str">
        <f>B324</f>
        <v>electricity production, at co-generation plastic waste-fired power plant, post, pipeline 200km, storage 1000m</v>
      </c>
      <c r="B334" s="50">
        <v>1</v>
      </c>
      <c r="C334" s="50" t="str">
        <f>B325</f>
        <v>CH</v>
      </c>
      <c r="D334" s="50" t="s">
        <v>126</v>
      </c>
      <c r="F334" s="50" t="s">
        <v>15</v>
      </c>
      <c r="G334" s="50" t="s">
        <v>16</v>
      </c>
      <c r="H334" s="51" t="str">
        <f>B328</f>
        <v>electricity, from plastic waste mixture, municipal incineration, energy allocation</v>
      </c>
    </row>
    <row r="335" spans="1:8" ns3:dyDescent="0.2">
      <c r="A335" t="s">
        <v>149</v>
      </c>
      <c r="B335" s="3">
        <v>5.0290974978429678E-4</v>
      </c>
      <c r="C335" s="3" t="s">
        <v>103</v>
      </c>
      <c r="D335" t="s">
        <v>7</v>
      </c>
      <c r="F335" t="s">
        <v>18</v>
      </c>
      <c r="G335" s="2"/>
      <c r="H335" t="s">
        <v>170</v>
      </c>
    </row>
    <row r="336" spans="1:8" ns3:dyDescent="0.2">
      <c r="A336" t="s">
        <v>150</v>
      </c>
      <c r="B336" s="3">
        <v>1.3720597066436585E-6</v>
      </c>
      <c r="C336" s="3" t="s">
        <v>103</v>
      </c>
      <c r="D336" t="s">
        <v>7</v>
      </c>
      <c r="F336" t="s">
        <v>18</v>
      </c>
      <c r="G336" s="2"/>
      <c r="H336" t="s">
        <v>171</v>
      </c>
    </row>
    <row r="337" spans="1:8" ns3:dyDescent="0.2">
      <c r="A337" t="s">
        <v>168</v>
      </c>
      <c r="B337" s="3">
        <v>1.1475799827437446E-3</v>
      </c>
      <c r="C337" s="3" t="s">
        <v>104</v>
      </c>
      <c r="D337" t="s">
        <v>7</v>
      </c>
      <c r="F337" t="s">
        <v>18</v>
      </c>
      <c r="G337" s="2"/>
      <c r="H337" t="s">
        <v>186</v>
      </c>
    </row>
    <row r="338" spans="1:8" ns3:dyDescent="0.2">
      <c r="A338" t="s">
        <v>151</v>
      </c>
      <c r="B338" s="3">
        <v>1.0594964624676446E-4</v>
      </c>
      <c r="C338" s="3" t="s">
        <v>24</v>
      </c>
      <c r="D338" t="s">
        <v>7</v>
      </c>
      <c r="F338" t="s">
        <v>18</v>
      </c>
      <c r="G338" s="2"/>
      <c r="H338" t="s">
        <v>172</v>
      </c>
    </row>
    <row r="339" spans="1:8" ns3:dyDescent="0.2">
      <c r="A339" t="s">
        <v>152</v>
      </c>
      <c r="B339" s="3">
        <v>6.075986194995686E-6</v>
      </c>
      <c r="C339" s="3" t="s">
        <v>24</v>
      </c>
      <c r="D339" t="s">
        <v>7</v>
      </c>
      <c r="F339" t="s">
        <v>18</v>
      </c>
      <c r="G339" s="2"/>
      <c r="H339" t="s">
        <v>173</v>
      </c>
    </row>
    <row r="340" spans="1:8" ns3:dyDescent="0.2">
      <c r="A340" t="s">
        <v>493</v>
      </c>
      <c r="B340" s="3">
        <v>6.4299603106125978E-7</v>
      </c>
      <c r="C340" s="3" t="s">
        <v>24</v>
      </c>
      <c r="D340" t="s">
        <v>7</v>
      </c>
      <c r="F340" t="s">
        <v>18</v>
      </c>
      <c r="G340" s="2"/>
      <c r="H340" t="s">
        <v>494</v>
      </c>
    </row>
    <row r="341" spans="1:8" ns3:dyDescent="0.2">
      <c r="A341" t="s">
        <v>169</v>
      </c>
      <c r="B341" s="3">
        <v>9.4042312338222606E-2</v>
      </c>
      <c r="C341" s="3" t="s">
        <v>104</v>
      </c>
      <c r="D341" t="s">
        <v>17</v>
      </c>
      <c r="F341" t="s">
        <v>18</v>
      </c>
      <c r="G341" s="2"/>
      <c r="H341" t="s">
        <v>187</v>
      </c>
    </row>
    <row r="342" spans="1:8" ns3:dyDescent="0.2">
      <c r="A342" t="s">
        <v>153</v>
      </c>
      <c r="B342" s="3">
        <v>1.0307958584987059E-4</v>
      </c>
      <c r="C342" s="3" t="s">
        <v>103</v>
      </c>
      <c r="D342" t="s">
        <v>7</v>
      </c>
      <c r="F342" t="s">
        <v>18</v>
      </c>
      <c r="G342" s="2"/>
      <c r="H342" t="s">
        <v>174</v>
      </c>
    </row>
    <row r="343" spans="1:8" ns3:dyDescent="0.2">
      <c r="A343" t="s">
        <v>154</v>
      </c>
      <c r="B343" s="3">
        <v>1.9148086281276964E-4</v>
      </c>
      <c r="C343" s="3" t="s">
        <v>103</v>
      </c>
      <c r="D343" t="s">
        <v>7</v>
      </c>
      <c r="F343" t="s">
        <v>18</v>
      </c>
      <c r="G343" s="2"/>
      <c r="H343" t="s">
        <v>175</v>
      </c>
    </row>
    <row r="344" spans="1:8" ns3:dyDescent="0.2">
      <c r="A344" t="s">
        <v>155</v>
      </c>
      <c r="B344" s="3">
        <v>1.6622774805867127E-5</v>
      </c>
      <c r="C344" s="3" t="s">
        <v>24</v>
      </c>
      <c r="D344" t="s">
        <v>7</v>
      </c>
      <c r="F344" t="s">
        <v>18</v>
      </c>
      <c r="G344" s="2"/>
      <c r="H344" t="s">
        <v>474</v>
      </c>
    </row>
    <row r="345" spans="1:8" ns3:dyDescent="0.2">
      <c r="A345" t="s">
        <v>156</v>
      </c>
      <c r="B345" s="3">
        <v>-1.5370198446937014E-3</v>
      </c>
      <c r="C345" s="3" t="s">
        <v>24</v>
      </c>
      <c r="D345" t="s">
        <v>7</v>
      </c>
      <c r="F345" t="s">
        <v>18</v>
      </c>
      <c r="G345" s="2"/>
      <c r="H345" t="s">
        <v>176</v>
      </c>
    </row>
    <row r="346" spans="1:8" ns3:dyDescent="0.2">
      <c r="A346" t="s">
        <v>157</v>
      </c>
      <c r="B346" s="3">
        <v>8.5418464193270071E-11</v>
      </c>
      <c r="C346" s="3" t="s">
        <v>104</v>
      </c>
      <c r="D346" t="s">
        <v>6</v>
      </c>
      <c r="F346" t="s">
        <v>18</v>
      </c>
      <c r="G346" s="2"/>
      <c r="H346" t="s">
        <v>177</v>
      </c>
    </row>
    <row r="347" spans="1:8" ns3:dyDescent="0.2">
      <c r="A347" t="s">
        <v>158</v>
      </c>
      <c r="B347" s="3">
        <v>5.7199620362381361E-3</v>
      </c>
      <c r="C347" s="3" t="s">
        <v>104</v>
      </c>
      <c r="D347" t="s">
        <v>7</v>
      </c>
      <c r="F347" t="s">
        <v>18</v>
      </c>
      <c r="G347" s="2"/>
      <c r="H347" t="s">
        <v>158</v>
      </c>
    </row>
    <row r="348" spans="1:8" ns3:dyDescent="0.2">
      <c r="A348" t="s">
        <v>159</v>
      </c>
      <c r="B348" s="3">
        <v>9.0786160483175143E-3</v>
      </c>
      <c r="C348" s="3" t="s">
        <v>104</v>
      </c>
      <c r="D348" t="s">
        <v>7</v>
      </c>
      <c r="F348" t="s">
        <v>18</v>
      </c>
      <c r="G348" s="2"/>
      <c r="H348" t="s">
        <v>159</v>
      </c>
    </row>
    <row r="349" spans="1:8" ns3:dyDescent="0.2">
      <c r="A349" t="s">
        <v>160</v>
      </c>
      <c r="B349" s="3">
        <v>3.1961880931837792E-3</v>
      </c>
      <c r="C349" s="3" t="s">
        <v>103</v>
      </c>
      <c r="D349" t="s">
        <v>7</v>
      </c>
      <c r="F349" t="s">
        <v>18</v>
      </c>
      <c r="G349" s="2"/>
      <c r="H349" t="s">
        <v>178</v>
      </c>
    </row>
    <row r="350" spans="1:8" ns3:dyDescent="0.2">
      <c r="A350" t="s">
        <v>161</v>
      </c>
      <c r="B350" s="3">
        <v>1.1916559102674719E-11</v>
      </c>
      <c r="C350" s="3" t="s">
        <v>104</v>
      </c>
      <c r="D350" t="s">
        <v>6</v>
      </c>
      <c r="F350" t="s">
        <v>18</v>
      </c>
      <c r="G350" s="2"/>
      <c r="H350" t="s">
        <v>179</v>
      </c>
    </row>
    <row r="351" spans="1:8" ns3:dyDescent="0.2">
      <c r="A351" t="s">
        <v>162</v>
      </c>
      <c r="B351" s="3">
        <v>1.6139647972389993E-11</v>
      </c>
      <c r="C351" s="3" t="s">
        <v>104</v>
      </c>
      <c r="D351" t="s">
        <v>6</v>
      </c>
      <c r="F351" t="s">
        <v>18</v>
      </c>
      <c r="G351" s="2"/>
      <c r="H351" t="s">
        <v>180</v>
      </c>
    </row>
    <row r="352" spans="1:8" ns3:dyDescent="0.2">
      <c r="A352" t="s">
        <v>163</v>
      </c>
      <c r="B352" s="3">
        <v>8.5210043140638474E-4</v>
      </c>
      <c r="C352" s="3" t="s">
        <v>267</v>
      </c>
      <c r="D352" t="s">
        <v>7</v>
      </c>
      <c r="F352" t="s">
        <v>18</v>
      </c>
      <c r="G352" s="2"/>
      <c r="H352" t="s">
        <v>181</v>
      </c>
    </row>
    <row r="353" spans="1:8" ns3:dyDescent="0.2">
      <c r="A353" t="s">
        <v>164</v>
      </c>
      <c r="B353" s="3">
        <v>-1.4442895599654873E-6</v>
      </c>
      <c r="C353" s="3" t="s">
        <v>24</v>
      </c>
      <c r="D353" t="s">
        <v>7</v>
      </c>
      <c r="F353" t="s">
        <v>18</v>
      </c>
      <c r="G353" s="2"/>
      <c r="H353" t="s">
        <v>182</v>
      </c>
    </row>
    <row r="354" spans="1:8" ns3:dyDescent="0.2">
      <c r="A354" t="s">
        <v>165</v>
      </c>
      <c r="B354" s="3">
        <v>3.1507454702329596E-5</v>
      </c>
      <c r="C354" s="3" t="s">
        <v>103</v>
      </c>
      <c r="D354" t="s">
        <v>7</v>
      </c>
      <c r="F354" t="s">
        <v>18</v>
      </c>
      <c r="G354" s="2"/>
      <c r="H354" t="s">
        <v>183</v>
      </c>
    </row>
    <row r="355" spans="1:8" ns3:dyDescent="0.2">
      <c r="A355" t="s">
        <v>81</v>
      </c>
      <c r="B355" s="3">
        <v>5.3840966350301989E-4</v>
      </c>
      <c r="C355" s="3" t="s">
        <v>103</v>
      </c>
      <c r="D355" t="s">
        <v>28</v>
      </c>
      <c r="F355" t="s">
        <v>18</v>
      </c>
      <c r="G355" s="2"/>
      <c r="H355" t="s">
        <v>82</v>
      </c>
    </row>
    <row r="356" spans="1:8" ns3:dyDescent="0.2">
      <c r="A356" t="s">
        <v>166</v>
      </c>
      <c r="B356" s="3">
        <v>-2.8689670405522001E-3</v>
      </c>
      <c r="C356" s="3" t="s">
        <v>104</v>
      </c>
      <c r="D356" t="s">
        <v>7</v>
      </c>
      <c r="F356" t="s">
        <v>18</v>
      </c>
      <c r="G356" s="2"/>
      <c r="H356" t="s">
        <v>184</v>
      </c>
    </row>
    <row r="357" spans="1:8" ns3:dyDescent="0.2">
      <c r="A357" t="s">
        <v>167</v>
      </c>
      <c r="B357" s="3">
        <v>1.2560272648835202</v>
      </c>
      <c r="C357" s="3" t="s">
        <v>104</v>
      </c>
      <c r="D357" t="s">
        <v>7</v>
      </c>
      <c r="F357" t="s">
        <v>18</v>
      </c>
      <c r="G357" s="2"/>
      <c r="H357" t="s">
        <v>185</v>
      </c>
    </row>
    <row r="358" spans="1:8" ns3:dyDescent="0.2">
      <c r="A358" t="s">
        <v>188</v>
      </c>
      <c r="B358" s="3">
        <v>5.1989094046591892E-11</v>
      </c>
      <c r="C358" s="3"/>
      <c r="D358" t="s">
        <v>7</v>
      </c>
      <c r="E358" t="s">
        <v>244</v>
      </c>
      <c r="F358" t="s">
        <v>27</v>
      </c>
      <c r="G358" s="2"/>
    </row>
    <row r="359" spans="1:8" ns3:dyDescent="0.2">
      <c r="A359" t="s">
        <v>189</v>
      </c>
      <c r="B359" s="3">
        <v>5.912666091458153E-7</v>
      </c>
      <c r="C359" s="3"/>
      <c r="D359" t="s">
        <v>7</v>
      </c>
      <c r="E359" t="s">
        <v>244</v>
      </c>
      <c r="F359" t="s">
        <v>27</v>
      </c>
      <c r="G359" s="2"/>
    </row>
    <row r="360" spans="1:8" ns3:dyDescent="0.2">
      <c r="A360" t="s">
        <v>190</v>
      </c>
      <c r="B360" s="3">
        <v>1.097353925798102E-11</v>
      </c>
      <c r="C360" s="3"/>
      <c r="D360" t="s">
        <v>7</v>
      </c>
      <c r="E360" t="s">
        <v>244</v>
      </c>
      <c r="F360" t="s">
        <v>27</v>
      </c>
      <c r="G360" s="2"/>
    </row>
    <row r="361" spans="1:8" ns3:dyDescent="0.2">
      <c r="A361" t="s">
        <v>191</v>
      </c>
      <c r="B361" s="3">
        <v>4.7451665228645383E-9</v>
      </c>
      <c r="C361" s="3"/>
      <c r="D361" t="s">
        <v>7</v>
      </c>
      <c r="E361" t="s">
        <v>244</v>
      </c>
      <c r="F361" t="s">
        <v>27</v>
      </c>
      <c r="G361" s="2"/>
    </row>
    <row r="362" spans="1:8" ns3:dyDescent="0.2">
      <c r="A362" t="s">
        <v>192</v>
      </c>
      <c r="B362" s="3">
        <v>2.3338716134598792E-7</v>
      </c>
      <c r="C362" s="3"/>
      <c r="D362" t="s">
        <v>7</v>
      </c>
      <c r="E362" t="s">
        <v>244</v>
      </c>
      <c r="F362" t="s">
        <v>27</v>
      </c>
      <c r="G362" s="2"/>
    </row>
    <row r="363" spans="1:8" ns3:dyDescent="0.2">
      <c r="A363" t="s">
        <v>193</v>
      </c>
      <c r="B363" s="3">
        <v>5.1309163071613463E-9</v>
      </c>
      <c r="C363" s="3"/>
      <c r="D363" t="s">
        <v>7</v>
      </c>
      <c r="E363" t="s">
        <v>244</v>
      </c>
      <c r="F363" t="s">
        <v>27</v>
      </c>
      <c r="G363" s="2"/>
    </row>
    <row r="364" spans="1:8" ns3:dyDescent="0.2">
      <c r="A364" t="s">
        <v>194</v>
      </c>
      <c r="B364" s="3">
        <v>1.0728900776531492E-11</v>
      </c>
      <c r="C364" s="3"/>
      <c r="D364" t="s">
        <v>7</v>
      </c>
      <c r="E364" t="s">
        <v>244</v>
      </c>
      <c r="F364" t="s">
        <v>27</v>
      </c>
      <c r="G364" s="2"/>
    </row>
    <row r="365" spans="1:8" ns3:dyDescent="0.2">
      <c r="A365" t="s">
        <v>477</v>
      </c>
      <c r="B365" s="3">
        <v>2.7109087144089735E-11</v>
      </c>
      <c r="C365" s="3"/>
      <c r="D365" t="s">
        <v>7</v>
      </c>
      <c r="E365" t="s">
        <v>244</v>
      </c>
      <c r="F365" t="s">
        <v>27</v>
      </c>
      <c r="G365" s="2"/>
    </row>
    <row r="366" spans="1:8" ns3:dyDescent="0.2">
      <c r="A366" t="s">
        <v>195</v>
      </c>
      <c r="B366" s="3">
        <v>1.1418398619499569E-13</v>
      </c>
      <c r="C366" s="3"/>
      <c r="D366" t="s">
        <v>7</v>
      </c>
      <c r="E366" t="s">
        <v>244</v>
      </c>
      <c r="F366" t="s">
        <v>27</v>
      </c>
      <c r="G366" s="2"/>
    </row>
    <row r="367" spans="1:8" ns3:dyDescent="0.2">
      <c r="A367" t="s">
        <v>196</v>
      </c>
      <c r="B367" s="3">
        <v>1.1147792924935289E-8</v>
      </c>
      <c r="C367" s="3"/>
      <c r="D367" t="s">
        <v>7</v>
      </c>
      <c r="E367" t="s">
        <v>244</v>
      </c>
      <c r="F367" t="s">
        <v>27</v>
      </c>
      <c r="G367" s="2"/>
    </row>
    <row r="368" spans="1:8" ns3:dyDescent="0.2">
      <c r="A368" t="s">
        <v>197</v>
      </c>
      <c r="B368" s="3">
        <v>1.3198519413287318E-8</v>
      </c>
      <c r="C368" s="3"/>
      <c r="D368" t="s">
        <v>7</v>
      </c>
      <c r="E368" t="s">
        <v>244</v>
      </c>
      <c r="F368" t="s">
        <v>27</v>
      </c>
      <c r="G368" s="2"/>
    </row>
    <row r="369" spans="1:7" ns3:dyDescent="0.2">
      <c r="A369" t="s">
        <v>198</v>
      </c>
      <c r="B369" s="3">
        <v>8.7222502157031922E-6</v>
      </c>
      <c r="C369" s="3"/>
      <c r="D369" t="s">
        <v>7</v>
      </c>
      <c r="E369" t="s">
        <v>244</v>
      </c>
      <c r="F369" t="s">
        <v>27</v>
      </c>
      <c r="G369" s="2"/>
    </row>
    <row r="370" spans="1:7" ns3:dyDescent="0.2">
      <c r="A370" t="s">
        <v>199</v>
      </c>
      <c r="B370" s="3">
        <v>1.1377056082830025E-8</v>
      </c>
      <c r="C370" s="3"/>
      <c r="D370" t="s">
        <v>7</v>
      </c>
      <c r="E370" t="s">
        <v>244</v>
      </c>
      <c r="F370" t="s">
        <v>27</v>
      </c>
      <c r="G370" s="2"/>
    </row>
    <row r="371" spans="1:7" ns3:dyDescent="0.2">
      <c r="A371" t="s">
        <v>200</v>
      </c>
      <c r="B371" s="3">
        <v>1.8317135461604833E-8</v>
      </c>
      <c r="C371" s="3"/>
      <c r="D371" t="s">
        <v>7</v>
      </c>
      <c r="E371" t="s">
        <v>244</v>
      </c>
      <c r="F371" t="s">
        <v>27</v>
      </c>
      <c r="G371" s="2"/>
    </row>
    <row r="372" spans="1:7" ns3:dyDescent="0.2">
      <c r="A372" t="s">
        <v>201</v>
      </c>
      <c r="B372" s="3">
        <v>9.2757618636755827E-9</v>
      </c>
      <c r="C372" s="3"/>
      <c r="D372" t="s">
        <v>7</v>
      </c>
      <c r="E372" t="s">
        <v>244</v>
      </c>
      <c r="F372" t="s">
        <v>27</v>
      </c>
      <c r="G372" s="2"/>
    </row>
    <row r="373" spans="1:7" ns3:dyDescent="0.2">
      <c r="A373" t="s">
        <v>202</v>
      </c>
      <c r="B373" s="3">
        <v>6.6916824849007774E-6</v>
      </c>
      <c r="C373" s="3"/>
      <c r="D373" t="s">
        <v>7</v>
      </c>
      <c r="E373" t="s">
        <v>244</v>
      </c>
      <c r="F373" t="s">
        <v>27</v>
      </c>
      <c r="G373" s="2"/>
    </row>
    <row r="374" spans="1:7" ns3:dyDescent="0.2">
      <c r="A374" t="s">
        <v>203</v>
      </c>
      <c r="B374" s="3">
        <v>3.1146305435720447E-5</v>
      </c>
      <c r="C374" s="3"/>
      <c r="D374" t="s">
        <v>7</v>
      </c>
      <c r="E374" t="s">
        <v>244</v>
      </c>
      <c r="F374" t="s">
        <v>27</v>
      </c>
      <c r="G374" s="2"/>
    </row>
    <row r="375" spans="1:7" ns3:dyDescent="0.2">
      <c r="A375" t="s">
        <v>204</v>
      </c>
      <c r="B375" s="3">
        <v>1.026149094046592E-14</v>
      </c>
      <c r="C375" s="3"/>
      <c r="D375" t="s">
        <v>7</v>
      </c>
      <c r="E375" t="s">
        <v>244</v>
      </c>
      <c r="F375" t="s">
        <v>27</v>
      </c>
      <c r="G375" s="2"/>
    </row>
    <row r="376" spans="1:7" ns3:dyDescent="0.2">
      <c r="A376" t="s">
        <v>205</v>
      </c>
      <c r="B376" s="3">
        <v>8.4646281276962902</v>
      </c>
      <c r="C376" s="3"/>
      <c r="D376" t="s">
        <v>17</v>
      </c>
      <c r="E376" t="s">
        <v>244</v>
      </c>
      <c r="F376" t="s">
        <v>27</v>
      </c>
      <c r="G376" s="2"/>
    </row>
    <row r="377" spans="1:7" ns3:dyDescent="0.2">
      <c r="A377" t="s">
        <v>206</v>
      </c>
      <c r="B377" s="3">
        <v>3.5349577221742887E-6</v>
      </c>
      <c r="C377" s="3"/>
      <c r="D377" t="s">
        <v>7</v>
      </c>
      <c r="E377" t="s">
        <v>244</v>
      </c>
      <c r="F377" t="s">
        <v>27</v>
      </c>
      <c r="G377" s="2"/>
    </row>
    <row r="378" spans="1:7" ns3:dyDescent="0.2">
      <c r="A378" t="s">
        <v>207</v>
      </c>
      <c r="B378" s="3">
        <v>3.1619865401207937E-8</v>
      </c>
      <c r="C378" s="3"/>
      <c r="D378" t="s">
        <v>7</v>
      </c>
      <c r="E378" t="s">
        <v>244</v>
      </c>
      <c r="F378" t="s">
        <v>27</v>
      </c>
      <c r="G378" s="2"/>
    </row>
    <row r="379" spans="1:7" ns3:dyDescent="0.2">
      <c r="A379" t="s">
        <v>208</v>
      </c>
      <c r="B379" s="3">
        <v>2.1287989646246765E-9</v>
      </c>
      <c r="C379" s="3"/>
      <c r="D379" t="s">
        <v>7</v>
      </c>
      <c r="E379" t="s">
        <v>244</v>
      </c>
      <c r="F379" t="s">
        <v>27</v>
      </c>
      <c r="G379" s="2"/>
    </row>
    <row r="380" spans="1:7" ns3:dyDescent="0.2">
      <c r="A380" t="s">
        <v>209</v>
      </c>
      <c r="B380" s="3">
        <v>1.2267458153580674E-8</v>
      </c>
      <c r="C380" s="3"/>
      <c r="D380" t="s">
        <v>7</v>
      </c>
      <c r="E380" t="s">
        <v>244</v>
      </c>
      <c r="F380" t="s">
        <v>27</v>
      </c>
      <c r="G380" s="2"/>
    </row>
    <row r="381" spans="1:7" ns3:dyDescent="0.2">
      <c r="A381" t="s">
        <v>210</v>
      </c>
      <c r="B381" s="3">
        <v>4.8661190681622081E-9</v>
      </c>
      <c r="C381" s="3"/>
      <c r="D381" t="s">
        <v>7</v>
      </c>
      <c r="E381" t="s">
        <v>244</v>
      </c>
      <c r="F381" t="s">
        <v>27</v>
      </c>
      <c r="G381" s="2"/>
    </row>
    <row r="382" spans="1:7" ns3:dyDescent="0.2">
      <c r="A382" t="s">
        <v>211</v>
      </c>
      <c r="B382" s="3">
        <v>7.6760448662640209E-9</v>
      </c>
      <c r="C382" s="3"/>
      <c r="D382" t="s">
        <v>7</v>
      </c>
      <c r="E382" t="s">
        <v>244</v>
      </c>
      <c r="F382" t="s">
        <v>27</v>
      </c>
      <c r="G382" s="2"/>
    </row>
    <row r="383" spans="1:7" ns3:dyDescent="0.2">
      <c r="A383" t="s">
        <v>212</v>
      </c>
      <c r="B383" s="3">
        <v>7.6965452976704056E-8</v>
      </c>
      <c r="C383" s="3"/>
      <c r="D383" t="s">
        <v>7</v>
      </c>
      <c r="E383" t="s">
        <v>244</v>
      </c>
      <c r="F383" t="s">
        <v>27</v>
      </c>
      <c r="G383" s="2"/>
    </row>
    <row r="384" spans="1:7" ns3:dyDescent="0.2">
      <c r="A384" t="s">
        <v>213</v>
      </c>
      <c r="B384" s="3">
        <v>2.3351358067299398E-7</v>
      </c>
      <c r="C384" s="3"/>
      <c r="D384" t="s">
        <v>7</v>
      </c>
      <c r="E384" t="s">
        <v>244</v>
      </c>
      <c r="F384" t="s">
        <v>27</v>
      </c>
      <c r="G384" s="2"/>
    </row>
    <row r="385" spans="1:7" ns3:dyDescent="0.2">
      <c r="A385" t="s">
        <v>214</v>
      </c>
      <c r="B385" s="3">
        <v>8.2503986194995694E-9</v>
      </c>
      <c r="C385" s="3"/>
      <c r="D385" t="s">
        <v>7</v>
      </c>
      <c r="E385" t="s">
        <v>244</v>
      </c>
      <c r="F385" t="s">
        <v>27</v>
      </c>
      <c r="G385" s="2"/>
    </row>
    <row r="386" spans="1:7" ns3:dyDescent="0.2">
      <c r="A386" t="s">
        <v>215</v>
      </c>
      <c r="B386" s="3">
        <v>1.8723727351164796E-4</v>
      </c>
      <c r="C386" s="3"/>
      <c r="D386" t="s">
        <v>7</v>
      </c>
      <c r="E386" t="s">
        <v>244</v>
      </c>
      <c r="F386" t="s">
        <v>27</v>
      </c>
      <c r="G386" s="2"/>
    </row>
    <row r="387" spans="1:7" ns3:dyDescent="0.2">
      <c r="A387" t="s">
        <v>216</v>
      </c>
      <c r="B387" s="3">
        <v>6.1262122519413295E-7</v>
      </c>
      <c r="C387" s="3"/>
      <c r="D387" t="s">
        <v>7</v>
      </c>
      <c r="E387" t="s">
        <v>244</v>
      </c>
      <c r="F387" t="s">
        <v>27</v>
      </c>
      <c r="G387" s="2"/>
    </row>
    <row r="388" spans="1:7" ns3:dyDescent="0.2">
      <c r="A388" t="s">
        <v>217</v>
      </c>
      <c r="B388" s="3">
        <v>3.0784131147540985E-9</v>
      </c>
      <c r="C388" s="3"/>
      <c r="D388" t="s">
        <v>7</v>
      </c>
      <c r="E388" t="s">
        <v>244</v>
      </c>
      <c r="F388" t="s">
        <v>27</v>
      </c>
      <c r="G388" s="2"/>
    </row>
    <row r="389" spans="1:7" ns3:dyDescent="0.2">
      <c r="A389" t="s">
        <v>218</v>
      </c>
      <c r="B389" s="3">
        <v>2.2345128559102676E-12</v>
      </c>
      <c r="C389" s="3"/>
      <c r="D389" t="s">
        <v>7</v>
      </c>
      <c r="E389" t="s">
        <v>244</v>
      </c>
      <c r="F389" t="s">
        <v>27</v>
      </c>
      <c r="G389" s="2"/>
    </row>
    <row r="390" spans="1:7" ns3:dyDescent="0.2">
      <c r="A390" t="s">
        <v>219</v>
      </c>
      <c r="B390" s="3">
        <v>7.9873097497842971E-9</v>
      </c>
      <c r="C390" s="3"/>
      <c r="D390" t="s">
        <v>7</v>
      </c>
      <c r="E390" t="s">
        <v>244</v>
      </c>
      <c r="F390" t="s">
        <v>27</v>
      </c>
      <c r="G390" s="2"/>
    </row>
    <row r="391" spans="1:7" ns3:dyDescent="0.2">
      <c r="A391" t="s">
        <v>220</v>
      </c>
      <c r="B391" s="3">
        <v>3.8359723899913715E-6</v>
      </c>
      <c r="C391" s="3"/>
      <c r="D391" t="s">
        <v>7</v>
      </c>
      <c r="E391" t="s">
        <v>244</v>
      </c>
      <c r="F391" t="s">
        <v>27</v>
      </c>
      <c r="G391" s="2"/>
    </row>
    <row r="392" spans="1:7" ns3:dyDescent="0.2">
      <c r="A392" t="s">
        <v>221</v>
      </c>
      <c r="B392" s="3">
        <v>2.821611044003451E-9</v>
      </c>
      <c r="C392" s="3"/>
      <c r="D392" t="s">
        <v>7</v>
      </c>
      <c r="E392" t="s">
        <v>244</v>
      </c>
      <c r="F392" t="s">
        <v>27</v>
      </c>
      <c r="G392" s="2"/>
    </row>
    <row r="393" spans="1:7" ns3:dyDescent="0.2">
      <c r="A393" t="s">
        <v>222</v>
      </c>
      <c r="B393" s="3">
        <v>5.1114408973252813E-6</v>
      </c>
      <c r="C393" s="3"/>
      <c r="D393" t="s">
        <v>7</v>
      </c>
      <c r="E393" t="s">
        <v>244</v>
      </c>
      <c r="F393" t="s">
        <v>27</v>
      </c>
      <c r="G393" s="2"/>
    </row>
    <row r="394" spans="1:7" ns3:dyDescent="0.2">
      <c r="A394" t="s">
        <v>223</v>
      </c>
      <c r="B394" s="3">
        <v>1.2752976704055219E-10</v>
      </c>
      <c r="C394" s="3"/>
      <c r="D394" t="s">
        <v>7</v>
      </c>
      <c r="E394" t="s">
        <v>244</v>
      </c>
      <c r="F394" t="s">
        <v>27</v>
      </c>
      <c r="G394" s="2"/>
    </row>
    <row r="395" spans="1:7" ns3:dyDescent="0.2">
      <c r="A395" t="s">
        <v>224</v>
      </c>
      <c r="B395" s="3">
        <v>5.4575565142364113E-12</v>
      </c>
      <c r="C395" s="3"/>
      <c r="D395" t="s">
        <v>7</v>
      </c>
      <c r="E395" t="s">
        <v>244</v>
      </c>
      <c r="F395" t="s">
        <v>27</v>
      </c>
      <c r="G395" s="2"/>
    </row>
    <row r="396" spans="1:7" ns3:dyDescent="0.2">
      <c r="A396" t="s">
        <v>225</v>
      </c>
      <c r="B396" s="3">
        <v>2.6451364969801553E-7</v>
      </c>
      <c r="C396" s="3"/>
      <c r="D396" t="s">
        <v>7</v>
      </c>
      <c r="E396" t="s">
        <v>244</v>
      </c>
      <c r="F396" t="s">
        <v>27</v>
      </c>
      <c r="G396" s="2"/>
    </row>
    <row r="397" spans="1:7" ns3:dyDescent="0.2">
      <c r="A397" t="s">
        <v>226</v>
      </c>
      <c r="B397" s="3">
        <v>1.0262174288179465E-8</v>
      </c>
      <c r="C397" s="3"/>
      <c r="D397" t="s">
        <v>7</v>
      </c>
      <c r="E397" t="s">
        <v>244</v>
      </c>
      <c r="F397" t="s">
        <v>27</v>
      </c>
      <c r="G397" s="2"/>
    </row>
    <row r="398" spans="1:7" ns3:dyDescent="0.2">
      <c r="A398" t="s">
        <v>227</v>
      </c>
      <c r="B398" s="3">
        <v>1.9484635030198446E-6</v>
      </c>
      <c r="C398" s="3"/>
      <c r="D398" t="s">
        <v>7</v>
      </c>
      <c r="E398" t="s">
        <v>244</v>
      </c>
      <c r="F398" t="s">
        <v>27</v>
      </c>
      <c r="G398" s="2"/>
    </row>
    <row r="399" spans="1:7" ns3:dyDescent="0.2">
      <c r="A399" t="s">
        <v>228</v>
      </c>
      <c r="B399" s="3">
        <v>1.1666429922346853E-3</v>
      </c>
      <c r="C399" s="3"/>
      <c r="D399" t="s">
        <v>37</v>
      </c>
      <c r="E399" t="s">
        <v>244</v>
      </c>
      <c r="F399" t="s">
        <v>27</v>
      </c>
      <c r="G399" s="2"/>
    </row>
    <row r="400" spans="1:7" ns3:dyDescent="0.2">
      <c r="A400" t="s">
        <v>229</v>
      </c>
      <c r="B400" s="3">
        <v>1.1947309749784296E-7</v>
      </c>
      <c r="C400" s="3"/>
      <c r="D400" t="s">
        <v>7</v>
      </c>
      <c r="E400" t="s">
        <v>244</v>
      </c>
      <c r="F400" t="s">
        <v>27</v>
      </c>
      <c r="G400" s="2"/>
    </row>
    <row r="401" spans="1:7" ns3:dyDescent="0.2">
      <c r="A401" t="s">
        <v>188</v>
      </c>
      <c r="B401" s="3">
        <v>5.9430750647109587E-5</v>
      </c>
      <c r="C401" s="3"/>
      <c r="D401" t="s">
        <v>7</v>
      </c>
      <c r="E401" t="s">
        <v>245</v>
      </c>
      <c r="F401" t="s">
        <v>27</v>
      </c>
      <c r="G401" s="2"/>
    </row>
    <row r="402" spans="1:7" ns3:dyDescent="0.2">
      <c r="A402" t="s">
        <v>188</v>
      </c>
      <c r="B402" s="3">
        <v>2.1773166522864537E-8</v>
      </c>
      <c r="C402" s="3"/>
      <c r="D402" t="s">
        <v>7</v>
      </c>
      <c r="E402" t="s">
        <v>246</v>
      </c>
      <c r="F402" t="s">
        <v>27</v>
      </c>
      <c r="G402" s="2"/>
    </row>
    <row r="403" spans="1:7" ns3:dyDescent="0.2">
      <c r="A403" t="s">
        <v>190</v>
      </c>
      <c r="B403" s="3">
        <v>5.5586919758412427E-6</v>
      </c>
      <c r="C403" s="3"/>
      <c r="D403" t="s">
        <v>7</v>
      </c>
      <c r="E403" t="s">
        <v>245</v>
      </c>
      <c r="F403" t="s">
        <v>27</v>
      </c>
      <c r="G403" s="2"/>
    </row>
    <row r="404" spans="1:7" ns3:dyDescent="0.2">
      <c r="A404" t="s">
        <v>190</v>
      </c>
      <c r="B404" s="3">
        <v>2.6922874892148405E-6</v>
      </c>
      <c r="C404" s="3"/>
      <c r="D404" t="s">
        <v>7</v>
      </c>
      <c r="E404" t="s">
        <v>246</v>
      </c>
      <c r="F404" t="s">
        <v>27</v>
      </c>
      <c r="G404" s="2"/>
    </row>
    <row r="405" spans="1:7" ns3:dyDescent="0.2">
      <c r="A405" t="s">
        <v>191</v>
      </c>
      <c r="B405" s="3">
        <v>3.6931527178602246E-7</v>
      </c>
      <c r="C405" s="3"/>
      <c r="D405" t="s">
        <v>7</v>
      </c>
      <c r="E405" t="s">
        <v>245</v>
      </c>
      <c r="F405" t="s">
        <v>27</v>
      </c>
      <c r="G405" s="2"/>
    </row>
    <row r="406" spans="1:7" ns3:dyDescent="0.2">
      <c r="A406" t="s">
        <v>191</v>
      </c>
      <c r="B406" s="3">
        <v>2.3686540120793788E-7</v>
      </c>
      <c r="C406" s="3"/>
      <c r="D406" t="s">
        <v>7</v>
      </c>
      <c r="E406" t="s">
        <v>246</v>
      </c>
      <c r="F406" t="s">
        <v>27</v>
      </c>
      <c r="G406" s="2"/>
    </row>
    <row r="407" spans="1:7" ns3:dyDescent="0.2">
      <c r="A407" t="s">
        <v>230</v>
      </c>
      <c r="B407" s="3">
        <v>5.2474270923209669E-4</v>
      </c>
      <c r="C407" s="3"/>
      <c r="D407" t="s">
        <v>7</v>
      </c>
      <c r="E407" t="s">
        <v>245</v>
      </c>
      <c r="F407" t="s">
        <v>27</v>
      </c>
      <c r="G407" s="2"/>
    </row>
    <row r="408" spans="1:7" ns3:dyDescent="0.2">
      <c r="A408" t="s">
        <v>230</v>
      </c>
      <c r="B408" s="3">
        <v>1.610513891285591E-4</v>
      </c>
      <c r="C408" s="3"/>
      <c r="D408" t="s">
        <v>7</v>
      </c>
      <c r="E408" t="s">
        <v>246</v>
      </c>
      <c r="F408" t="s">
        <v>27</v>
      </c>
      <c r="G408" s="2"/>
    </row>
    <row r="409" spans="1:7" ns3:dyDescent="0.2">
      <c r="A409" t="s">
        <v>192</v>
      </c>
      <c r="B409" s="3">
        <v>4.3440414150129424E-5</v>
      </c>
      <c r="C409" s="3"/>
      <c r="D409" t="s">
        <v>7</v>
      </c>
      <c r="E409" t="s">
        <v>245</v>
      </c>
      <c r="F409" t="s">
        <v>27</v>
      </c>
      <c r="G409" s="2"/>
    </row>
    <row r="410" spans="1:7" ns3:dyDescent="0.2">
      <c r="A410" t="s">
        <v>192</v>
      </c>
      <c r="B410" s="3">
        <v>2.5229197584124247E-8</v>
      </c>
      <c r="C410" s="3"/>
      <c r="D410" t="s">
        <v>7</v>
      </c>
      <c r="E410" t="s">
        <v>246</v>
      </c>
      <c r="F410" t="s">
        <v>27</v>
      </c>
      <c r="G410" s="2"/>
    </row>
    <row r="411" spans="1:7" ns3:dyDescent="0.2">
      <c r="A411" t="s">
        <v>231</v>
      </c>
      <c r="B411" s="3">
        <v>1.4960531492666092E-7</v>
      </c>
      <c r="C411" s="3"/>
      <c r="D411" t="s">
        <v>7</v>
      </c>
      <c r="E411" t="s">
        <v>245</v>
      </c>
      <c r="F411" t="s">
        <v>27</v>
      </c>
      <c r="G411" s="2"/>
    </row>
    <row r="412" spans="1:7" ns3:dyDescent="0.2">
      <c r="A412" t="s">
        <v>231</v>
      </c>
      <c r="B412" s="3">
        <v>9.9208421052631588E-11</v>
      </c>
      <c r="C412" s="3"/>
      <c r="D412" t="s">
        <v>7</v>
      </c>
      <c r="E412" t="s">
        <v>246</v>
      </c>
      <c r="F412" t="s">
        <v>27</v>
      </c>
      <c r="G412" s="2"/>
    </row>
    <row r="413" spans="1:7" ns3:dyDescent="0.2">
      <c r="A413" t="s">
        <v>196</v>
      </c>
      <c r="B413" s="3">
        <v>1.1569418464193269E-6</v>
      </c>
      <c r="C413" s="3"/>
      <c r="D413" t="s">
        <v>7</v>
      </c>
      <c r="E413" t="s">
        <v>245</v>
      </c>
      <c r="F413" t="s">
        <v>27</v>
      </c>
      <c r="G413" s="2"/>
    </row>
    <row r="414" spans="1:7" ns3:dyDescent="0.2">
      <c r="A414" t="s">
        <v>196</v>
      </c>
      <c r="B414" s="3">
        <v>2.0708852459016393E-5</v>
      </c>
      <c r="C414" s="3"/>
      <c r="D414" t="s">
        <v>7</v>
      </c>
      <c r="E414" t="s">
        <v>246</v>
      </c>
      <c r="F414" t="s">
        <v>27</v>
      </c>
      <c r="G414" s="2"/>
    </row>
    <row r="415" spans="1:7" ns3:dyDescent="0.2">
      <c r="A415" t="s">
        <v>232</v>
      </c>
      <c r="B415" s="3">
        <v>1.6042270923209666E-3</v>
      </c>
      <c r="C415" s="3"/>
      <c r="D415" t="s">
        <v>7</v>
      </c>
      <c r="E415" t="s">
        <v>245</v>
      </c>
      <c r="F415" t="s">
        <v>27</v>
      </c>
      <c r="G415" s="2"/>
    </row>
    <row r="416" spans="1:7" ns3:dyDescent="0.2">
      <c r="A416" t="s">
        <v>232</v>
      </c>
      <c r="B416" s="3">
        <v>1.6457404659188957E-4</v>
      </c>
      <c r="C416" s="3"/>
      <c r="D416" t="s">
        <v>7</v>
      </c>
      <c r="E416" t="s">
        <v>246</v>
      </c>
      <c r="F416" t="s">
        <v>27</v>
      </c>
      <c r="G416" s="2"/>
    </row>
    <row r="417" spans="1:7" ns3:dyDescent="0.2">
      <c r="A417" t="s">
        <v>197</v>
      </c>
      <c r="B417" s="3">
        <v>4.151679033649698E-6</v>
      </c>
      <c r="C417" s="3"/>
      <c r="D417" t="s">
        <v>7</v>
      </c>
      <c r="E417" t="s">
        <v>245</v>
      </c>
      <c r="F417" t="s">
        <v>27</v>
      </c>
      <c r="G417" s="2"/>
    </row>
    <row r="418" spans="1:7" ns3:dyDescent="0.2">
      <c r="A418" t="s">
        <v>197</v>
      </c>
      <c r="B418" s="3">
        <v>4.6023468507333909E-9</v>
      </c>
      <c r="C418" s="3"/>
      <c r="D418" t="s">
        <v>7</v>
      </c>
      <c r="E418" t="s">
        <v>246</v>
      </c>
      <c r="F418" t="s">
        <v>27</v>
      </c>
      <c r="G418" s="2"/>
    </row>
    <row r="419" spans="1:7" ns3:dyDescent="0.2">
      <c r="A419" t="s">
        <v>233</v>
      </c>
      <c r="B419" s="3">
        <v>4.8944779982743748E-5</v>
      </c>
      <c r="C419" s="3"/>
      <c r="D419" t="s">
        <v>7</v>
      </c>
      <c r="E419" t="s">
        <v>245</v>
      </c>
      <c r="F419" t="s">
        <v>27</v>
      </c>
      <c r="G419" s="2"/>
    </row>
    <row r="420" spans="1:7" ns3:dyDescent="0.2">
      <c r="A420" t="s">
        <v>233</v>
      </c>
      <c r="B420" s="3">
        <v>8.1707886108714418E-8</v>
      </c>
      <c r="C420" s="3"/>
      <c r="D420" t="s">
        <v>7</v>
      </c>
      <c r="E420" t="s">
        <v>246</v>
      </c>
      <c r="F420" t="s">
        <v>27</v>
      </c>
      <c r="G420" s="2"/>
    </row>
    <row r="421" spans="1:7" ns3:dyDescent="0.2">
      <c r="A421" t="s">
        <v>234</v>
      </c>
      <c r="B421" s="3">
        <v>7.8031475409836074E-4</v>
      </c>
      <c r="C421" s="3"/>
      <c r="D421" t="s">
        <v>7</v>
      </c>
      <c r="E421" t="s">
        <v>245</v>
      </c>
      <c r="F421" t="s">
        <v>27</v>
      </c>
      <c r="G421" s="2"/>
    </row>
    <row r="422" spans="1:7" ns3:dyDescent="0.2">
      <c r="A422" t="s">
        <v>234</v>
      </c>
      <c r="B422" s="3">
        <v>5.261777394305436E-3</v>
      </c>
      <c r="C422" s="3"/>
      <c r="D422" t="s">
        <v>7</v>
      </c>
      <c r="E422" t="s">
        <v>246</v>
      </c>
      <c r="F422" t="s">
        <v>27</v>
      </c>
      <c r="G422" s="2"/>
    </row>
    <row r="423" spans="1:7" ns3:dyDescent="0.2">
      <c r="A423" t="s">
        <v>199</v>
      </c>
      <c r="B423" s="3">
        <v>1.6914564279551337E-9</v>
      </c>
      <c r="C423" s="3"/>
      <c r="D423" t="s">
        <v>7</v>
      </c>
      <c r="E423" t="s">
        <v>246</v>
      </c>
      <c r="F423" t="s">
        <v>27</v>
      </c>
      <c r="G423" s="2"/>
    </row>
    <row r="424" spans="1:7" ns3:dyDescent="0.2">
      <c r="A424" t="s">
        <v>235</v>
      </c>
      <c r="B424" s="3">
        <v>6.8884866264020719E-7</v>
      </c>
      <c r="C424" s="3"/>
      <c r="D424" t="s">
        <v>7</v>
      </c>
      <c r="E424" t="s">
        <v>245</v>
      </c>
      <c r="F424" t="s">
        <v>27</v>
      </c>
      <c r="G424" s="2"/>
    </row>
    <row r="425" spans="1:7" ns3:dyDescent="0.2">
      <c r="A425" t="s">
        <v>235</v>
      </c>
      <c r="B425" s="3">
        <v>1.9825625539257981E-7</v>
      </c>
      <c r="C425" s="3"/>
      <c r="D425" t="s">
        <v>7</v>
      </c>
      <c r="E425" t="s">
        <v>246</v>
      </c>
      <c r="F425" t="s">
        <v>27</v>
      </c>
      <c r="G425" s="2"/>
    </row>
    <row r="426" spans="1:7" ns3:dyDescent="0.2">
      <c r="A426" t="s">
        <v>200</v>
      </c>
      <c r="B426" s="3">
        <v>8.8107437446074205E-6</v>
      </c>
      <c r="C426" s="3"/>
      <c r="D426" t="s">
        <v>7</v>
      </c>
      <c r="E426" t="s">
        <v>245</v>
      </c>
      <c r="F426" t="s">
        <v>27</v>
      </c>
      <c r="G426" s="2"/>
    </row>
    <row r="427" spans="1:7" ns3:dyDescent="0.2">
      <c r="A427" t="s">
        <v>200</v>
      </c>
      <c r="B427" s="3">
        <v>1.6588949094046593E-9</v>
      </c>
      <c r="C427" s="3"/>
      <c r="D427" t="s">
        <v>7</v>
      </c>
      <c r="E427" t="s">
        <v>246</v>
      </c>
      <c r="F427" t="s">
        <v>27</v>
      </c>
      <c r="G427" s="2"/>
    </row>
    <row r="428" spans="1:7" ns3:dyDescent="0.2">
      <c r="A428" t="s">
        <v>201</v>
      </c>
      <c r="B428" s="3">
        <v>9.5412424503882648E-5</v>
      </c>
      <c r="C428" s="3"/>
      <c r="D428" t="s">
        <v>7</v>
      </c>
      <c r="E428" t="s">
        <v>245</v>
      </c>
      <c r="F428" t="s">
        <v>27</v>
      </c>
      <c r="G428" s="2"/>
    </row>
    <row r="429" spans="1:7" ns3:dyDescent="0.2">
      <c r="A429" t="s">
        <v>201</v>
      </c>
      <c r="B429" s="3">
        <v>8.7622260569456431E-9</v>
      </c>
      <c r="C429" s="3"/>
      <c r="D429" t="s">
        <v>7</v>
      </c>
      <c r="E429" t="s">
        <v>246</v>
      </c>
      <c r="F429" t="s">
        <v>27</v>
      </c>
      <c r="G429" s="2"/>
    </row>
    <row r="430" spans="1:7" ns3:dyDescent="0.2">
      <c r="A430" t="s">
        <v>236</v>
      </c>
      <c r="B430" s="3">
        <v>6.3479585849870589E-4</v>
      </c>
      <c r="C430" s="3"/>
      <c r="D430" t="s">
        <v>7</v>
      </c>
      <c r="E430" t="s">
        <v>245</v>
      </c>
      <c r="F430" t="s">
        <v>27</v>
      </c>
      <c r="G430" s="2"/>
    </row>
    <row r="431" spans="1:7" ns3:dyDescent="0.2">
      <c r="A431" t="s">
        <v>236</v>
      </c>
      <c r="B431" s="3">
        <v>7.1782260569456431E-5</v>
      </c>
      <c r="C431" s="3"/>
      <c r="D431" t="s">
        <v>7</v>
      </c>
      <c r="E431" t="s">
        <v>246</v>
      </c>
      <c r="F431" t="s">
        <v>27</v>
      </c>
      <c r="G431" s="2"/>
    </row>
    <row r="432" spans="1:7" ns3:dyDescent="0.2">
      <c r="A432" t="s">
        <v>237</v>
      </c>
      <c r="B432" s="3">
        <v>3.126828300258844E-6</v>
      </c>
      <c r="C432" s="3"/>
      <c r="D432" t="s">
        <v>7</v>
      </c>
      <c r="E432" t="s">
        <v>245</v>
      </c>
      <c r="F432" t="s">
        <v>27</v>
      </c>
      <c r="G432" s="2"/>
    </row>
    <row r="433" spans="1:7" ns3:dyDescent="0.2">
      <c r="A433" t="s">
        <v>237</v>
      </c>
      <c r="B433" s="3">
        <v>1.3640645383951683E-6</v>
      </c>
      <c r="C433" s="3"/>
      <c r="D433" t="s">
        <v>7</v>
      </c>
      <c r="E433" t="s">
        <v>246</v>
      </c>
      <c r="F433" t="s">
        <v>27</v>
      </c>
      <c r="G433" s="2"/>
    </row>
    <row r="434" spans="1:7" ns3:dyDescent="0.2">
      <c r="A434" t="s">
        <v>205</v>
      </c>
      <c r="B434" s="3">
        <v>2.1483768766177738</v>
      </c>
      <c r="C434" s="3"/>
      <c r="D434" t="s">
        <v>17</v>
      </c>
      <c r="E434" t="s">
        <v>246</v>
      </c>
      <c r="F434" t="s">
        <v>27</v>
      </c>
      <c r="G434" s="2"/>
    </row>
    <row r="435" spans="1:7" ns3:dyDescent="0.2">
      <c r="A435" t="s">
        <v>208</v>
      </c>
      <c r="B435" s="3">
        <v>6.0794029335634167E-4</v>
      </c>
      <c r="C435" s="3"/>
      <c r="D435" t="s">
        <v>7</v>
      </c>
      <c r="E435" t="s">
        <v>245</v>
      </c>
      <c r="F435" t="s">
        <v>27</v>
      </c>
      <c r="G435" s="2"/>
    </row>
    <row r="436" spans="1:7" ns3:dyDescent="0.2">
      <c r="A436" t="s">
        <v>208</v>
      </c>
      <c r="B436" s="3">
        <v>2.2918798964624679E-8</v>
      </c>
      <c r="C436" s="3"/>
      <c r="D436" t="s">
        <v>7</v>
      </c>
      <c r="E436" t="s">
        <v>246</v>
      </c>
      <c r="F436" t="s">
        <v>27</v>
      </c>
      <c r="G436" s="2"/>
    </row>
    <row r="437" spans="1:7" ns3:dyDescent="0.2">
      <c r="A437" t="s">
        <v>209</v>
      </c>
      <c r="B437" s="3">
        <v>1.0484262295081967E-4</v>
      </c>
      <c r="C437" s="3"/>
      <c r="D437" t="s">
        <v>7</v>
      </c>
      <c r="E437" t="s">
        <v>245</v>
      </c>
      <c r="F437" t="s">
        <v>27</v>
      </c>
      <c r="G437" s="2"/>
    </row>
    <row r="438" spans="1:7" ns3:dyDescent="0.2">
      <c r="A438" t="s">
        <v>209</v>
      </c>
      <c r="B438" s="3">
        <v>1.0139855047454703E-8</v>
      </c>
      <c r="C438" s="3"/>
      <c r="D438" t="s">
        <v>7</v>
      </c>
      <c r="E438" t="s">
        <v>246</v>
      </c>
      <c r="F438" t="s">
        <v>27</v>
      </c>
      <c r="G438" s="2"/>
    </row>
    <row r="439" spans="1:7" ns3:dyDescent="0.2">
      <c r="A439" t="s">
        <v>210</v>
      </c>
      <c r="B439" s="3">
        <v>2.0202150129421916E-5</v>
      </c>
      <c r="C439" s="3"/>
      <c r="D439" t="s">
        <v>7</v>
      </c>
      <c r="E439" t="s">
        <v>245</v>
      </c>
      <c r="F439" t="s">
        <v>27</v>
      </c>
      <c r="G439" s="2"/>
    </row>
    <row r="440" spans="1:7" ns3:dyDescent="0.2">
      <c r="A440" t="s">
        <v>210</v>
      </c>
      <c r="B440" s="3">
        <v>3.1145622088006904E-9</v>
      </c>
      <c r="C440" s="3"/>
      <c r="D440" t="s">
        <v>7</v>
      </c>
      <c r="E440" t="s">
        <v>246</v>
      </c>
      <c r="F440" t="s">
        <v>27</v>
      </c>
      <c r="G440" s="2"/>
    </row>
    <row r="441" spans="1:7" ns3:dyDescent="0.2">
      <c r="A441" t="s">
        <v>211</v>
      </c>
      <c r="B441" s="3">
        <v>5.6854529767040553E-8</v>
      </c>
      <c r="C441" s="3"/>
      <c r="D441" t="s">
        <v>7</v>
      </c>
      <c r="E441" t="s">
        <v>245</v>
      </c>
      <c r="F441" t="s">
        <v>27</v>
      </c>
      <c r="G441" s="2"/>
    </row>
    <row r="442" spans="1:7" ns3:dyDescent="0.2">
      <c r="A442" t="s">
        <v>211</v>
      </c>
      <c r="B442" s="3">
        <v>1.4405311475409837E-9</v>
      </c>
      <c r="C442" s="3"/>
      <c r="D442" t="s">
        <v>7</v>
      </c>
      <c r="E442" t="s">
        <v>246</v>
      </c>
      <c r="F442" t="s">
        <v>27</v>
      </c>
      <c r="G442" s="2"/>
    </row>
    <row r="443" spans="1:7" ns3:dyDescent="0.2">
      <c r="A443" t="s">
        <v>214</v>
      </c>
      <c r="B443" s="3">
        <v>6.4244935289042283E-6</v>
      </c>
      <c r="C443" s="3"/>
      <c r="D443" t="s">
        <v>7</v>
      </c>
      <c r="E443" t="s">
        <v>245</v>
      </c>
      <c r="F443" t="s">
        <v>27</v>
      </c>
      <c r="G443" s="2"/>
    </row>
    <row r="444" spans="1:7" ns3:dyDescent="0.2">
      <c r="A444" t="s">
        <v>214</v>
      </c>
      <c r="B444" s="3">
        <v>4.352924935289043E-9</v>
      </c>
      <c r="C444" s="3"/>
      <c r="D444" t="s">
        <v>7</v>
      </c>
      <c r="E444" t="s">
        <v>246</v>
      </c>
      <c r="F444" t="s">
        <v>27</v>
      </c>
      <c r="G444" s="2"/>
    </row>
    <row r="445" spans="1:7" ns3:dyDescent="0.2">
      <c r="A445" t="s">
        <v>238</v>
      </c>
      <c r="B445" s="3">
        <v>7.4901742881794647E-5</v>
      </c>
      <c r="C445" s="3"/>
      <c r="D445" t="s">
        <v>7</v>
      </c>
      <c r="E445" t="s">
        <v>245</v>
      </c>
      <c r="F445" t="s">
        <v>27</v>
      </c>
      <c r="G445" s="2"/>
    </row>
    <row r="446" spans="1:7" ns3:dyDescent="0.2">
      <c r="A446" t="s">
        <v>238</v>
      </c>
      <c r="B446" s="3">
        <v>2.6829939603106126E-5</v>
      </c>
      <c r="C446" s="3"/>
      <c r="D446" t="s">
        <v>7</v>
      </c>
      <c r="E446" t="s">
        <v>246</v>
      </c>
      <c r="F446" t="s">
        <v>27</v>
      </c>
      <c r="G446" s="2"/>
    </row>
    <row r="447" spans="1:7" ns3:dyDescent="0.2">
      <c r="A447" t="s">
        <v>219</v>
      </c>
      <c r="B447" s="3">
        <v>5.1380914581535803E-7</v>
      </c>
      <c r="C447" s="3"/>
      <c r="D447" t="s">
        <v>7</v>
      </c>
      <c r="E447" t="s">
        <v>245</v>
      </c>
      <c r="F447" t="s">
        <v>27</v>
      </c>
      <c r="G447" s="2"/>
    </row>
    <row r="448" spans="1:7" ns3:dyDescent="0.2">
      <c r="A448" t="s">
        <v>219</v>
      </c>
      <c r="B448" s="3">
        <v>1.33396307161346E-7</v>
      </c>
      <c r="C448" s="3"/>
      <c r="D448" t="s">
        <v>7</v>
      </c>
      <c r="E448" t="s">
        <v>246</v>
      </c>
      <c r="F448" t="s">
        <v>27</v>
      </c>
      <c r="G448" s="2"/>
    </row>
    <row r="449" spans="1:7" ns3:dyDescent="0.2">
      <c r="A449" t="s">
        <v>239</v>
      </c>
      <c r="B449" s="3">
        <v>1.1793556514236411E-4</v>
      </c>
      <c r="C449" s="3"/>
      <c r="D449" t="s">
        <v>7</v>
      </c>
      <c r="E449" t="s">
        <v>245</v>
      </c>
      <c r="F449" t="s">
        <v>27</v>
      </c>
      <c r="G449" s="2"/>
    </row>
    <row r="450" spans="1:7" ns3:dyDescent="0.2">
      <c r="A450" t="s">
        <v>239</v>
      </c>
      <c r="B450" s="3">
        <v>2.6582909404659194E-7</v>
      </c>
      <c r="C450" s="3"/>
      <c r="D450" t="s">
        <v>7</v>
      </c>
      <c r="E450" t="s">
        <v>246</v>
      </c>
      <c r="F450" t="s">
        <v>27</v>
      </c>
      <c r="G450" s="2"/>
    </row>
    <row r="451" spans="1:7" ns3:dyDescent="0.2">
      <c r="A451" t="s">
        <v>240</v>
      </c>
      <c r="B451" s="3">
        <v>3.0579810181190681E-4</v>
      </c>
      <c r="C451" s="3"/>
      <c r="D451" t="s">
        <v>7</v>
      </c>
      <c r="E451" t="s">
        <v>245</v>
      </c>
      <c r="F451" t="s">
        <v>27</v>
      </c>
      <c r="G451" s="2"/>
    </row>
    <row r="452" spans="1:7" ns3:dyDescent="0.2">
      <c r="A452" t="s">
        <v>240</v>
      </c>
      <c r="B452" s="3">
        <v>1.5376690250215705E-4</v>
      </c>
      <c r="C452" s="3"/>
      <c r="D452" t="s">
        <v>7</v>
      </c>
      <c r="E452" t="s">
        <v>246</v>
      </c>
      <c r="F452" t="s">
        <v>27</v>
      </c>
      <c r="G452" s="2"/>
    </row>
    <row r="453" spans="1:7" ns3:dyDescent="0.2">
      <c r="A453" t="s">
        <v>221</v>
      </c>
      <c r="B453" s="3">
        <v>2.818570146678171E-5</v>
      </c>
      <c r="C453" s="3"/>
      <c r="D453" t="s">
        <v>7</v>
      </c>
      <c r="E453" t="s">
        <v>245</v>
      </c>
      <c r="F453" t="s">
        <v>27</v>
      </c>
      <c r="G453" s="2"/>
    </row>
    <row r="454" spans="1:7" ns3:dyDescent="0.2">
      <c r="A454" t="s">
        <v>221</v>
      </c>
      <c r="B454" s="3">
        <v>1.844662985332183E-8</v>
      </c>
      <c r="C454" s="3"/>
      <c r="D454" t="s">
        <v>7</v>
      </c>
      <c r="E454" t="s">
        <v>246</v>
      </c>
      <c r="F454" t="s">
        <v>27</v>
      </c>
      <c r="G454" s="2"/>
    </row>
    <row r="455" spans="1:7" ns3:dyDescent="0.2">
      <c r="A455" t="s">
        <v>241</v>
      </c>
      <c r="B455" s="3">
        <v>1.1491858498705783E-3</v>
      </c>
      <c r="C455" s="3"/>
      <c r="D455" t="s">
        <v>7</v>
      </c>
      <c r="E455" t="s">
        <v>245</v>
      </c>
      <c r="F455" t="s">
        <v>27</v>
      </c>
      <c r="G455" s="2"/>
    </row>
    <row r="456" spans="1:7" ns3:dyDescent="0.2">
      <c r="A456" t="s">
        <v>241</v>
      </c>
      <c r="B456" s="3">
        <v>1.9641121656600519E-4</v>
      </c>
      <c r="C456" s="3"/>
      <c r="D456" t="s">
        <v>7</v>
      </c>
      <c r="E456" t="s">
        <v>246</v>
      </c>
      <c r="F456" t="s">
        <v>27</v>
      </c>
      <c r="G456" s="2"/>
    </row>
    <row r="457" spans="1:7" ns3:dyDescent="0.2">
      <c r="A457" t="s">
        <v>242</v>
      </c>
      <c r="B457" s="3">
        <v>6.3479585849870589E-4</v>
      </c>
      <c r="C457" s="3"/>
      <c r="D457" t="s">
        <v>7</v>
      </c>
      <c r="E457" t="s">
        <v>245</v>
      </c>
      <c r="F457" t="s">
        <v>27</v>
      </c>
      <c r="G457" s="2"/>
    </row>
    <row r="458" spans="1:7" ns3:dyDescent="0.2">
      <c r="A458" t="s">
        <v>242</v>
      </c>
      <c r="B458" s="3">
        <v>7.1782260569456431E-5</v>
      </c>
      <c r="C458" s="3"/>
      <c r="D458" t="s">
        <v>7</v>
      </c>
      <c r="E458" t="s">
        <v>246</v>
      </c>
      <c r="F458" t="s">
        <v>27</v>
      </c>
      <c r="G458" s="2"/>
    </row>
    <row r="459" spans="1:7" ns3:dyDescent="0.2">
      <c r="A459" t="s">
        <v>223</v>
      </c>
      <c r="B459" s="3">
        <v>9.7780224331320098E-8</v>
      </c>
      <c r="C459" s="3"/>
      <c r="D459" t="s">
        <v>7</v>
      </c>
      <c r="E459" t="s">
        <v>245</v>
      </c>
      <c r="F459" t="s">
        <v>27</v>
      </c>
      <c r="G459" s="2"/>
    </row>
    <row r="460" spans="1:7" ns3:dyDescent="0.2">
      <c r="A460" t="s">
        <v>223</v>
      </c>
      <c r="B460" s="3">
        <v>9.0615323554788616E-11</v>
      </c>
      <c r="C460" s="3"/>
      <c r="D460" t="s">
        <v>7</v>
      </c>
      <c r="E460" t="s">
        <v>246</v>
      </c>
      <c r="F460" t="s">
        <v>27</v>
      </c>
      <c r="G460" s="2"/>
    </row>
    <row r="461" spans="1:7" ns3:dyDescent="0.2">
      <c r="A461" t="s">
        <v>224</v>
      </c>
      <c r="B461" s="3">
        <v>5.5450250215703194E-6</v>
      </c>
      <c r="C461" s="3"/>
      <c r="D461" t="s">
        <v>7</v>
      </c>
      <c r="E461" t="s">
        <v>245</v>
      </c>
      <c r="F461" t="s">
        <v>27</v>
      </c>
      <c r="G461" s="2"/>
    </row>
    <row r="462" spans="1:7" ns3:dyDescent="0.2">
      <c r="A462" t="s">
        <v>224</v>
      </c>
      <c r="B462" s="3">
        <v>7.5523589301121659E-9</v>
      </c>
      <c r="C462" s="3"/>
      <c r="D462" t="s">
        <v>7</v>
      </c>
      <c r="E462" t="s">
        <v>246</v>
      </c>
      <c r="F462" t="s">
        <v>27</v>
      </c>
      <c r="G462" s="2"/>
    </row>
    <row r="463" spans="1:7" ns3:dyDescent="0.2">
      <c r="A463" t="s">
        <v>225</v>
      </c>
      <c r="B463" s="3">
        <v>9.5412424503882648E-5</v>
      </c>
      <c r="C463" s="3"/>
      <c r="D463" t="s">
        <v>7</v>
      </c>
      <c r="E463" t="s">
        <v>245</v>
      </c>
      <c r="F463" t="s">
        <v>27</v>
      </c>
      <c r="G463" s="2"/>
    </row>
    <row r="464" spans="1:7" ns3:dyDescent="0.2">
      <c r="A464" t="s">
        <v>225</v>
      </c>
      <c r="B464" s="3">
        <v>6.4907782571182061E-8</v>
      </c>
      <c r="C464" s="3"/>
      <c r="D464" t="s">
        <v>7</v>
      </c>
      <c r="E464" t="s">
        <v>246</v>
      </c>
      <c r="F464" t="s">
        <v>27</v>
      </c>
      <c r="G464" s="2"/>
    </row>
    <row r="465" spans="1:8" ns3:dyDescent="0.2">
      <c r="A465" t="s">
        <v>227</v>
      </c>
      <c r="B465" s="3">
        <v>2.7097811906816221E-5</v>
      </c>
      <c r="C465" s="3"/>
      <c r="D465" t="s">
        <v>7</v>
      </c>
      <c r="E465" t="s">
        <v>245</v>
      </c>
      <c r="F465" t="s">
        <v>27</v>
      </c>
      <c r="G465" s="2"/>
    </row>
    <row r="466" spans="1:8" ns3:dyDescent="0.2">
      <c r="A466" t="s">
        <v>227</v>
      </c>
      <c r="B466" s="3">
        <v>1.0687899913718723E-7</v>
      </c>
      <c r="C466" s="3"/>
      <c r="D466" t="s">
        <v>7</v>
      </c>
      <c r="E466" t="s">
        <v>246</v>
      </c>
      <c r="F466" t="s">
        <v>27</v>
      </c>
      <c r="G466" s="2"/>
    </row>
    <row r="467" spans="1:8" ns3:dyDescent="0.2">
      <c r="A467" t="s">
        <v>228</v>
      </c>
      <c r="B467" s="3">
        <v>4.3036863157894733E-4</v>
      </c>
      <c r="C467" s="3"/>
      <c r="D467" t="s">
        <v>37</v>
      </c>
      <c r="E467" t="s">
        <v>246</v>
      </c>
      <c r="F467" t="s">
        <v>27</v>
      </c>
      <c r="G467" s="2"/>
    </row>
    <row r="468" spans="1:8" ns3:dyDescent="0.2">
      <c r="A468" t="s">
        <v>229</v>
      </c>
      <c r="B468" s="3">
        <v>8.0037100949094048E-5</v>
      </c>
      <c r="C468" s="3"/>
      <c r="D468" t="s">
        <v>7</v>
      </c>
      <c r="E468" t="s">
        <v>245</v>
      </c>
      <c r="F468" t="s">
        <v>27</v>
      </c>
      <c r="G468" s="2"/>
    </row>
    <row r="469" spans="1:8" ns3:dyDescent="0.2">
      <c r="A469" t="s">
        <v>229</v>
      </c>
      <c r="B469" s="3">
        <v>1.0889145815358068E-8</v>
      </c>
      <c r="C469" s="3"/>
      <c r="D469" t="s">
        <v>7</v>
      </c>
      <c r="E469" t="s">
        <v>246</v>
      </c>
      <c r="F469" t="s">
        <v>27</v>
      </c>
      <c r="G469" s="2"/>
    </row>
    <row r="470" spans="1:8" ns3:dyDescent="0.2">
      <c r="A470" t="s">
        <v>243</v>
      </c>
      <c r="B470" s="3">
        <v>0.84704365832614326</v>
      </c>
      <c r="C470" s="3"/>
      <c r="D470" t="s">
        <v>7</v>
      </c>
      <c r="E470" t="s">
        <v>111</v>
      </c>
      <c r="F470" t="s">
        <v>27</v>
      </c>
      <c r="G470" s="2"/>
    </row>
    <row r="471" spans="1:8" s="50" customFormat="1" ns3:dyDescent="0.2">
      <c r="A471" s="50" t="s">
        <v>134</v>
      </c>
      <c r="B471" s="51">
        <f>0.9*0.788993270060397</f>
        <v>0.71009394305435736</v>
      </c>
      <c r="C471" s="50" t="s">
        <v>103</v>
      </c>
      <c r="D471" s="50" t="s">
        <v>7</v>
      </c>
      <c r="F471" s="50" t="s">
        <v>18</v>
      </c>
      <c r="H471" s="50" t="s">
        <v>134</v>
      </c>
    </row>
    <row r="472" spans="1:8" s="50" customFormat="1" ns3:dyDescent="0.2">
      <c r="A472" s="50" t="s">
        <v>144</v>
      </c>
      <c r="B472" s="51">
        <f>0.788993270060397-B471</f>
        <v>7.8899327006039632E-2</v>
      </c>
      <c r="D472" s="50" t="s">
        <v>7</v>
      </c>
      <c r="E472" s="50" t="s">
        <v>136</v>
      </c>
      <c r="F472" s="50" t="s">
        <v>27</v>
      </c>
      <c r="G472" s="50" t="s">
        <v>247</v>
      </c>
    </row>
    <row r="473" spans="1:8" s="50" customFormat="1" ns3:dyDescent="0.2">
      <c r="A473" s="50" t="s">
        <v>484</v>
      </c>
      <c r="B473" s="51">
        <f>(9.3/43.4)*1.1</f>
        <v>0.23571428571428574</v>
      </c>
      <c r="D473" s="50" t="s">
        <v>7</v>
      </c>
      <c r="E473" s="50" t="s">
        <v>485</v>
      </c>
      <c r="F473" s="50" t="s">
        <v>27</v>
      </c>
      <c r="G473" s="50" t="s">
        <v>486</v>
      </c>
    </row>
    <row r="474" spans="1:8" s="50" customFormat="1" ns3:dyDescent="0.2"/>
    <row r="475" spans="1:8" s="50" customFormat="1" ht="16" ns3:dyDescent="0.2">
      <c r="A475" s="49" t="s">
        <v>0</v>
      </c>
      <c r="B475" s="49" t="s">
        <v>141</v>
      </c>
    </row>
    <row r="476" spans="1:8" s="50" customFormat="1" ns3:dyDescent="0.2">
      <c r="A476" s="50" t="s">
        <v>1</v>
      </c>
      <c r="B476" s="50" t="s">
        <v>104</v>
      </c>
    </row>
    <row r="477" spans="1:8" s="50" customFormat="1" ns3:dyDescent="0.2">
      <c r="A477" s="50" t="s">
        <v>2</v>
      </c>
      <c r="B477" s="50">
        <v>1</v>
      </c>
    </row>
    <row r="478" spans="1:8" s="50" customFormat="1" ns3:dyDescent="0.2">
      <c r="A478" s="50" t="s">
        <v>3</v>
      </c>
      <c r="B478" s="3" t="s">
        <v>143</v>
      </c>
    </row>
    <row r="479" spans="1:8" s="50" customFormat="1" ns3:dyDescent="0.2">
      <c r="A479" s="50" t="s">
        <v>4</v>
      </c>
      <c r="B479" s="50" t="s">
        <v>5</v>
      </c>
    </row>
    <row r="480" spans="1:8" s="50" customFormat="1" ns3:dyDescent="0.2">
      <c r="A480" s="50" t="s">
        <v>6</v>
      </c>
      <c r="B480" s="50" t="s">
        <v>17</v>
      </c>
    </row>
    <row r="481" spans="1:8" ns3:dyDescent="0.2">
      <c r="A481" t="s">
        <v>261</v>
      </c>
      <c r="B481" s="23">
        <f>0.37*66%*90%</f>
        <v>0.21978</v>
      </c>
    </row>
    <row r="482" spans="1:8" s="50" customFormat="1" ns3:dyDescent="0.2">
      <c r="A482" s="50" t="s">
        <v>9</v>
      </c>
      <c r="B482" s="50" t="s">
        <v>133</v>
      </c>
    </row>
    <row r="483" spans="1:8" s="50" customFormat="1" ht="16" ns3:dyDescent="0.2">
      <c r="A483" s="49" t="s">
        <v>10</v>
      </c>
    </row>
    <row r="484" spans="1:8" s="50" customFormat="1" ns3:dyDescent="0.2">
      <c r="A484" s="50" t="s">
        <v>11</v>
      </c>
      <c r="B484" s="50" t="s">
        <v>12</v>
      </c>
      <c r="C484" s="50" t="s">
        <v>1</v>
      </c>
      <c r="D484" s="50" t="s">
        <v>6</v>
      </c>
      <c r="E484" s="50" t="s">
        <v>13</v>
      </c>
      <c r="F484" s="50" t="s">
        <v>4</v>
      </c>
      <c r="G484" s="50" t="s">
        <v>9</v>
      </c>
      <c r="H484" s="50" t="s">
        <v>3</v>
      </c>
    </row>
    <row r="485" spans="1:8" s="50" customFormat="1" ns3:dyDescent="0.2">
      <c r="A485" s="50" t="str">
        <f>B475</f>
        <v>heat production, at co-generation plastic waste-fired power plant, post, pipeline 200km, storage 1000m</v>
      </c>
      <c r="B485" s="50">
        <v>1</v>
      </c>
      <c r="C485" s="50" t="str">
        <f>B476</f>
        <v>CH</v>
      </c>
      <c r="D485" s="50" t="s">
        <v>17</v>
      </c>
      <c r="F485" s="50" t="s">
        <v>15</v>
      </c>
      <c r="G485" s="50" t="s">
        <v>16</v>
      </c>
      <c r="H485" s="51" t="str">
        <f>B478</f>
        <v>heat, from plastic waste mixture, municipal incineration, energy allocation</v>
      </c>
    </row>
    <row r="486" spans="1:8" ns3:dyDescent="0.2">
      <c r="A486" t="s">
        <v>149</v>
      </c>
      <c r="B486" s="3">
        <v>1.3969715271786021E-4</v>
      </c>
      <c r="C486" s="3" t="s">
        <v>103</v>
      </c>
      <c r="D486" t="s">
        <v>7</v>
      </c>
      <c r="F486" t="s">
        <v>18</v>
      </c>
      <c r="G486" s="3"/>
      <c r="H486" t="s">
        <v>170</v>
      </c>
    </row>
    <row r="487" spans="1:8" ns3:dyDescent="0.2">
      <c r="A487" t="s">
        <v>150</v>
      </c>
      <c r="B487" s="3">
        <v>3.8112769628990511E-7</v>
      </c>
      <c r="C487" s="3" t="s">
        <v>103</v>
      </c>
      <c r="D487" t="s">
        <v>7</v>
      </c>
      <c r="F487" t="s">
        <v>18</v>
      </c>
      <c r="G487" s="3"/>
      <c r="H487" t="s">
        <v>171</v>
      </c>
    </row>
    <row r="488" spans="1:8" ns3:dyDescent="0.2">
      <c r="A488" t="s">
        <v>168</v>
      </c>
      <c r="B488" s="3">
        <v>3.1877221742881794E-4</v>
      </c>
      <c r="C488" s="3" t="s">
        <v>104</v>
      </c>
      <c r="D488" t="s">
        <v>7</v>
      </c>
      <c r="F488" t="s">
        <v>18</v>
      </c>
      <c r="G488" s="3"/>
      <c r="H488" t="s">
        <v>186</v>
      </c>
    </row>
    <row r="489" spans="1:8" ns3:dyDescent="0.2">
      <c r="A489" t="s">
        <v>151</v>
      </c>
      <c r="B489" s="3">
        <v>2.9430457290767903E-5</v>
      </c>
      <c r="C489" s="3" t="s">
        <v>24</v>
      </c>
      <c r="D489" t="s">
        <v>7</v>
      </c>
      <c r="F489" t="s">
        <v>18</v>
      </c>
      <c r="G489" s="3"/>
      <c r="H489" t="s">
        <v>172</v>
      </c>
    </row>
    <row r="490" spans="1:8" ns3:dyDescent="0.2">
      <c r="A490" t="s">
        <v>152</v>
      </c>
      <c r="B490" s="3">
        <v>1.6877739430543571E-6</v>
      </c>
      <c r="C490" s="3" t="s">
        <v>24</v>
      </c>
      <c r="D490" t="s">
        <v>7</v>
      </c>
      <c r="F490" t="s">
        <v>18</v>
      </c>
      <c r="G490" s="3"/>
      <c r="H490" t="s">
        <v>173</v>
      </c>
    </row>
    <row r="491" spans="1:8" ns3:dyDescent="0.2">
      <c r="A491" t="s">
        <v>493</v>
      </c>
      <c r="B491" s="3">
        <v>1.7861000862812767E-7</v>
      </c>
      <c r="C491" s="3" t="s">
        <v>24</v>
      </c>
      <c r="D491" t="s">
        <v>7</v>
      </c>
      <c r="F491" t="s">
        <v>18</v>
      </c>
      <c r="G491" s="3"/>
      <c r="H491" t="s">
        <v>494</v>
      </c>
    </row>
    <row r="492" spans="1:8" ns3:dyDescent="0.2">
      <c r="A492" t="s">
        <v>169</v>
      </c>
      <c r="B492" s="3">
        <v>2.6122864538395168E-2</v>
      </c>
      <c r="C492" s="3" t="s">
        <v>104</v>
      </c>
      <c r="D492" t="s">
        <v>17</v>
      </c>
      <c r="F492" t="s">
        <v>18</v>
      </c>
      <c r="G492" s="3"/>
      <c r="H492" t="s">
        <v>187</v>
      </c>
    </row>
    <row r="493" spans="1:8" ns3:dyDescent="0.2">
      <c r="A493" t="s">
        <v>153</v>
      </c>
      <c r="B493" s="3">
        <v>2.8633218291630718E-5</v>
      </c>
      <c r="C493" s="3" t="s">
        <v>103</v>
      </c>
      <c r="D493" t="s">
        <v>7</v>
      </c>
      <c r="F493" t="s">
        <v>18</v>
      </c>
      <c r="G493" s="3"/>
      <c r="H493" t="s">
        <v>174</v>
      </c>
    </row>
    <row r="494" spans="1:8" ns3:dyDescent="0.2">
      <c r="A494" t="s">
        <v>154</v>
      </c>
      <c r="B494" s="3">
        <v>5.3189128559102669E-5</v>
      </c>
      <c r="C494" s="3" t="s">
        <v>103</v>
      </c>
      <c r="D494" t="s">
        <v>7</v>
      </c>
      <c r="F494" t="s">
        <v>18</v>
      </c>
      <c r="G494" s="3"/>
      <c r="H494" t="s">
        <v>175</v>
      </c>
    </row>
    <row r="495" spans="1:8" ns3:dyDescent="0.2">
      <c r="A495" t="s">
        <v>155</v>
      </c>
      <c r="B495" s="3">
        <v>4.6174374460742023E-6</v>
      </c>
      <c r="C495" s="3" t="s">
        <v>24</v>
      </c>
      <c r="D495" t="s">
        <v>7</v>
      </c>
      <c r="F495" t="s">
        <v>18</v>
      </c>
      <c r="G495" s="3"/>
      <c r="H495" t="s">
        <v>474</v>
      </c>
    </row>
    <row r="496" spans="1:8" ns3:dyDescent="0.2">
      <c r="A496" t="s">
        <v>156</v>
      </c>
      <c r="B496" s="3">
        <v>-4.2694995685936147E-4</v>
      </c>
      <c r="C496" s="3" t="s">
        <v>24</v>
      </c>
      <c r="D496" t="s">
        <v>7</v>
      </c>
      <c r="F496" t="s">
        <v>18</v>
      </c>
      <c r="G496" s="3"/>
      <c r="H496" t="s">
        <v>176</v>
      </c>
    </row>
    <row r="497" spans="1:8" ns3:dyDescent="0.2">
      <c r="A497" t="s">
        <v>157</v>
      </c>
      <c r="B497" s="3">
        <v>2.3727351164797239E-11</v>
      </c>
      <c r="C497" s="3" t="s">
        <v>104</v>
      </c>
      <c r="D497" t="s">
        <v>6</v>
      </c>
      <c r="F497" t="s">
        <v>18</v>
      </c>
      <c r="G497" s="3"/>
      <c r="H497" t="s">
        <v>177</v>
      </c>
    </row>
    <row r="498" spans="1:8" ns3:dyDescent="0.2">
      <c r="A498" t="s">
        <v>158</v>
      </c>
      <c r="B498" s="3">
        <v>1.5888783433994822E-3</v>
      </c>
      <c r="C498" s="3" t="s">
        <v>104</v>
      </c>
      <c r="D498" t="s">
        <v>7</v>
      </c>
      <c r="F498" t="s">
        <v>18</v>
      </c>
      <c r="G498" s="3"/>
      <c r="H498" t="s">
        <v>158</v>
      </c>
    </row>
    <row r="499" spans="1:8" ns3:dyDescent="0.2">
      <c r="A499" t="s">
        <v>159</v>
      </c>
      <c r="B499" s="3">
        <v>2.5218377911993099E-3</v>
      </c>
      <c r="C499" s="3" t="s">
        <v>104</v>
      </c>
      <c r="D499" t="s">
        <v>7</v>
      </c>
      <c r="F499" t="s">
        <v>18</v>
      </c>
      <c r="G499" s="3"/>
      <c r="H499" t="s">
        <v>159</v>
      </c>
    </row>
    <row r="500" spans="1:8" ns3:dyDescent="0.2">
      <c r="A500" t="s">
        <v>160</v>
      </c>
      <c r="B500" s="3">
        <v>8.87830025884383E-4</v>
      </c>
      <c r="C500" s="3" t="s">
        <v>103</v>
      </c>
      <c r="D500" t="s">
        <v>7</v>
      </c>
      <c r="F500" t="s">
        <v>18</v>
      </c>
      <c r="G500" s="3"/>
      <c r="H500" t="s">
        <v>178</v>
      </c>
    </row>
    <row r="501" spans="1:8" ns3:dyDescent="0.2">
      <c r="A501" t="s">
        <v>161</v>
      </c>
      <c r="B501" s="3">
        <v>3.3101553062985331E-12</v>
      </c>
      <c r="C501" s="3" t="s">
        <v>104</v>
      </c>
      <c r="D501" t="s">
        <v>6</v>
      </c>
      <c r="F501" t="s">
        <v>18</v>
      </c>
      <c r="G501" s="3"/>
      <c r="H501" t="s">
        <v>179</v>
      </c>
    </row>
    <row r="502" spans="1:8" ns3:dyDescent="0.2">
      <c r="A502" t="s">
        <v>162</v>
      </c>
      <c r="B502" s="3">
        <v>4.4832355478861097E-12</v>
      </c>
      <c r="C502" s="3" t="s">
        <v>104</v>
      </c>
      <c r="D502" t="s">
        <v>6</v>
      </c>
      <c r="F502" t="s">
        <v>18</v>
      </c>
      <c r="G502" s="3"/>
      <c r="H502" t="s">
        <v>180</v>
      </c>
    </row>
    <row r="503" spans="1:8" ns3:dyDescent="0.2">
      <c r="A503" t="s">
        <v>163</v>
      </c>
      <c r="B503" s="3">
        <v>2.366945642795513E-4</v>
      </c>
      <c r="C503" s="3" t="s">
        <v>267</v>
      </c>
      <c r="D503" t="s">
        <v>7</v>
      </c>
      <c r="F503" t="s">
        <v>18</v>
      </c>
      <c r="G503" s="3"/>
      <c r="H503" t="s">
        <v>181</v>
      </c>
    </row>
    <row r="504" spans="1:8" ns3:dyDescent="0.2">
      <c r="A504" t="s">
        <v>164</v>
      </c>
      <c r="B504" s="3">
        <v>-4.0119154443485761E-7</v>
      </c>
      <c r="C504" s="3" t="s">
        <v>24</v>
      </c>
      <c r="D504" t="s">
        <v>7</v>
      </c>
      <c r="F504" t="s">
        <v>18</v>
      </c>
      <c r="G504" s="3"/>
      <c r="H504" t="s">
        <v>182</v>
      </c>
    </row>
    <row r="505" spans="1:8" ns3:dyDescent="0.2">
      <c r="A505" t="s">
        <v>165</v>
      </c>
      <c r="B505" s="3">
        <v>8.7520707506471082E-6</v>
      </c>
      <c r="C505" s="3" t="s">
        <v>103</v>
      </c>
      <c r="D505" t="s">
        <v>7</v>
      </c>
      <c r="F505" t="s">
        <v>18</v>
      </c>
      <c r="G505" s="3"/>
      <c r="H505" t="s">
        <v>183</v>
      </c>
    </row>
    <row r="506" spans="1:8" ns3:dyDescent="0.2">
      <c r="A506" t="s">
        <v>81</v>
      </c>
      <c r="B506" s="3">
        <v>1.4955823986194996E-4</v>
      </c>
      <c r="C506" s="3" t="s">
        <v>103</v>
      </c>
      <c r="D506" t="s">
        <v>28</v>
      </c>
      <c r="F506" t="s">
        <v>18</v>
      </c>
      <c r="G506" s="3"/>
      <c r="H506" t="s">
        <v>82</v>
      </c>
    </row>
    <row r="507" spans="1:8" ns3:dyDescent="0.2">
      <c r="A507" t="s">
        <v>166</v>
      </c>
      <c r="B507" s="3">
        <v>-7.9693528904227777E-4</v>
      </c>
      <c r="C507" s="3" t="s">
        <v>104</v>
      </c>
      <c r="D507" t="s">
        <v>7</v>
      </c>
      <c r="F507" t="s">
        <v>18</v>
      </c>
      <c r="G507" s="3"/>
      <c r="H507" t="s">
        <v>184</v>
      </c>
    </row>
    <row r="508" spans="1:8" ns3:dyDescent="0.2">
      <c r="A508" t="s">
        <v>167</v>
      </c>
      <c r="B508" s="3">
        <v>0.34889646246764455</v>
      </c>
      <c r="C508" s="3" t="s">
        <v>104</v>
      </c>
      <c r="D508" t="s">
        <v>7</v>
      </c>
      <c r="F508" t="s">
        <v>18</v>
      </c>
      <c r="G508" s="3"/>
      <c r="H508" t="s">
        <v>185</v>
      </c>
    </row>
    <row r="509" spans="1:8" ns3:dyDescent="0.2">
      <c r="A509" t="s">
        <v>188</v>
      </c>
      <c r="B509" s="3">
        <v>1.4441415012942191E-11</v>
      </c>
      <c r="C509" s="3"/>
      <c r="D509" t="s">
        <v>7</v>
      </c>
      <c r="E509" t="s">
        <v>244</v>
      </c>
      <c r="F509" t="s">
        <v>27</v>
      </c>
      <c r="G509" s="3"/>
    </row>
    <row r="510" spans="1:8" ns3:dyDescent="0.2">
      <c r="A510" t="s">
        <v>189</v>
      </c>
      <c r="B510" s="3">
        <v>1.6424072476272649E-7</v>
      </c>
      <c r="C510" s="3"/>
      <c r="D510" t="s">
        <v>7</v>
      </c>
      <c r="E510" t="s">
        <v>244</v>
      </c>
      <c r="F510" t="s">
        <v>27</v>
      </c>
      <c r="G510" s="3"/>
    </row>
    <row r="511" spans="1:8" ns3:dyDescent="0.2">
      <c r="A511" t="s">
        <v>190</v>
      </c>
      <c r="B511" s="3">
        <v>3.0482053494391721E-12</v>
      </c>
      <c r="C511" s="3"/>
      <c r="D511" t="s">
        <v>7</v>
      </c>
      <c r="E511" t="s">
        <v>244</v>
      </c>
      <c r="F511" t="s">
        <v>27</v>
      </c>
      <c r="G511" s="3"/>
    </row>
    <row r="512" spans="1:8" ns3:dyDescent="0.2">
      <c r="A512" t="s">
        <v>191</v>
      </c>
      <c r="B512" s="3">
        <v>1.3181018119068162E-9</v>
      </c>
      <c r="C512" s="3"/>
      <c r="D512" t="s">
        <v>7</v>
      </c>
      <c r="E512" t="s">
        <v>244</v>
      </c>
      <c r="F512" t="s">
        <v>27</v>
      </c>
      <c r="G512" s="3"/>
    </row>
    <row r="513" spans="1:7" ns3:dyDescent="0.2">
      <c r="A513" t="s">
        <v>192</v>
      </c>
      <c r="B513" s="3">
        <v>6.4829767040552199E-8</v>
      </c>
      <c r="C513" s="3"/>
      <c r="D513" t="s">
        <v>7</v>
      </c>
      <c r="E513" t="s">
        <v>244</v>
      </c>
      <c r="F513" t="s">
        <v>27</v>
      </c>
      <c r="G513" s="3"/>
    </row>
    <row r="514" spans="1:7" ns3:dyDescent="0.2">
      <c r="A514" t="s">
        <v>193</v>
      </c>
      <c r="B514" s="3">
        <v>1.4252545297670406E-9</v>
      </c>
      <c r="C514" s="3"/>
      <c r="D514" t="s">
        <v>7</v>
      </c>
      <c r="E514" t="s">
        <v>244</v>
      </c>
      <c r="F514" t="s">
        <v>27</v>
      </c>
      <c r="G514" s="3"/>
    </row>
    <row r="515" spans="1:7" ns3:dyDescent="0.2">
      <c r="A515" t="s">
        <v>194</v>
      </c>
      <c r="B515" s="3">
        <v>2.9802502157031924E-12</v>
      </c>
      <c r="C515" s="3"/>
      <c r="D515" t="s">
        <v>7</v>
      </c>
      <c r="E515" t="s">
        <v>244</v>
      </c>
      <c r="F515" t="s">
        <v>27</v>
      </c>
      <c r="G515" s="3"/>
    </row>
    <row r="516" spans="1:7" ns3:dyDescent="0.2">
      <c r="A516" t="s">
        <v>477</v>
      </c>
      <c r="B516" s="3">
        <v>7.5303019844693692E-12</v>
      </c>
      <c r="C516" s="3"/>
      <c r="D516" t="s">
        <v>7</v>
      </c>
      <c r="E516" t="s">
        <v>244</v>
      </c>
      <c r="F516" t="s">
        <v>27</v>
      </c>
      <c r="G516" s="3"/>
    </row>
    <row r="517" spans="1:7" ns3:dyDescent="0.2">
      <c r="A517" t="s">
        <v>195</v>
      </c>
      <c r="B517" s="3">
        <v>3.1717773943054359E-14</v>
      </c>
      <c r="C517" s="3"/>
      <c r="D517" t="s">
        <v>7</v>
      </c>
      <c r="E517" t="s">
        <v>244</v>
      </c>
      <c r="F517" t="s">
        <v>27</v>
      </c>
      <c r="G517" s="3"/>
    </row>
    <row r="518" spans="1:7" ns3:dyDescent="0.2">
      <c r="A518" t="s">
        <v>196</v>
      </c>
      <c r="B518" s="3">
        <v>3.0966091458153581E-9</v>
      </c>
      <c r="C518" s="3"/>
      <c r="D518" t="s">
        <v>7</v>
      </c>
      <c r="E518" t="s">
        <v>244</v>
      </c>
      <c r="F518" t="s">
        <v>27</v>
      </c>
      <c r="G518" s="3"/>
    </row>
    <row r="519" spans="1:7" ns3:dyDescent="0.2">
      <c r="A519" t="s">
        <v>197</v>
      </c>
      <c r="B519" s="3">
        <v>3.6662553925798101E-9</v>
      </c>
      <c r="C519" s="3"/>
      <c r="D519" t="s">
        <v>7</v>
      </c>
      <c r="E519" t="s">
        <v>244</v>
      </c>
      <c r="F519" t="s">
        <v>27</v>
      </c>
      <c r="G519" s="3"/>
    </row>
    <row r="520" spans="1:7" ns3:dyDescent="0.2">
      <c r="A520" t="s">
        <v>198</v>
      </c>
      <c r="B520" s="3">
        <v>2.4228472821397758E-6</v>
      </c>
      <c r="C520" s="3"/>
      <c r="D520" t="s">
        <v>7</v>
      </c>
      <c r="E520" t="s">
        <v>244</v>
      </c>
      <c r="F520" t="s">
        <v>27</v>
      </c>
      <c r="G520" s="3"/>
    </row>
    <row r="521" spans="1:7" ns3:dyDescent="0.2">
      <c r="A521" t="s">
        <v>199</v>
      </c>
      <c r="B521" s="3">
        <v>3.1602933563416735E-9</v>
      </c>
      <c r="C521" s="3"/>
      <c r="D521" t="s">
        <v>7</v>
      </c>
      <c r="E521" t="s">
        <v>244</v>
      </c>
      <c r="F521" t="s">
        <v>27</v>
      </c>
      <c r="G521" s="3"/>
    </row>
    <row r="522" spans="1:7" ns3:dyDescent="0.2">
      <c r="A522" t="s">
        <v>200</v>
      </c>
      <c r="B522" s="3">
        <v>5.0880931837791203E-9</v>
      </c>
      <c r="C522" s="3"/>
      <c r="D522" t="s">
        <v>7</v>
      </c>
      <c r="E522" t="s">
        <v>244</v>
      </c>
      <c r="F522" t="s">
        <v>27</v>
      </c>
      <c r="G522" s="3"/>
    </row>
    <row r="523" spans="1:7" ns3:dyDescent="0.2">
      <c r="A523" t="s">
        <v>201</v>
      </c>
      <c r="B523" s="3">
        <v>2.5766005176876615E-9</v>
      </c>
      <c r="C523" s="3"/>
      <c r="D523" t="s">
        <v>7</v>
      </c>
      <c r="E523" t="s">
        <v>244</v>
      </c>
      <c r="F523" t="s">
        <v>27</v>
      </c>
      <c r="G523" s="3"/>
    </row>
    <row r="524" spans="1:7" ns3:dyDescent="0.2">
      <c r="A524" t="s">
        <v>202</v>
      </c>
      <c r="B524" s="3">
        <v>1.8588006902502157E-6</v>
      </c>
      <c r="C524" s="3"/>
      <c r="D524" t="s">
        <v>7</v>
      </c>
      <c r="E524" t="s">
        <v>244</v>
      </c>
      <c r="F524" t="s">
        <v>27</v>
      </c>
      <c r="G524" s="3"/>
    </row>
    <row r="525" spans="1:7" ns3:dyDescent="0.2">
      <c r="A525" t="s">
        <v>203</v>
      </c>
      <c r="B525" s="3">
        <v>8.651751509922347E-6</v>
      </c>
      <c r="C525" s="3"/>
      <c r="D525" t="s">
        <v>7</v>
      </c>
      <c r="E525" t="s">
        <v>244</v>
      </c>
      <c r="F525" t="s">
        <v>27</v>
      </c>
      <c r="G525" s="3"/>
    </row>
    <row r="526" spans="1:7" ns3:dyDescent="0.2">
      <c r="A526" t="s">
        <v>204</v>
      </c>
      <c r="B526" s="3">
        <v>2.8504141501294218E-15</v>
      </c>
      <c r="C526" s="3"/>
      <c r="D526" t="s">
        <v>7</v>
      </c>
      <c r="E526" t="s">
        <v>244</v>
      </c>
      <c r="F526" t="s">
        <v>27</v>
      </c>
      <c r="G526" s="3"/>
    </row>
    <row r="527" spans="1:7" ns3:dyDescent="0.2">
      <c r="A527" t="s">
        <v>205</v>
      </c>
      <c r="B527" s="3">
        <v>2.3512855910267469</v>
      </c>
      <c r="C527" s="3"/>
      <c r="D527" t="s">
        <v>17</v>
      </c>
      <c r="E527" t="s">
        <v>244</v>
      </c>
      <c r="F527" t="s">
        <v>27</v>
      </c>
      <c r="G527" s="3"/>
    </row>
    <row r="528" spans="1:7" ns3:dyDescent="0.2">
      <c r="A528" t="s">
        <v>206</v>
      </c>
      <c r="B528" s="3">
        <v>9.8193270060396891E-7</v>
      </c>
      <c r="C528" s="3"/>
      <c r="D528" t="s">
        <v>7</v>
      </c>
      <c r="E528" t="s">
        <v>244</v>
      </c>
      <c r="F528" t="s">
        <v>27</v>
      </c>
      <c r="G528" s="3"/>
    </row>
    <row r="529" spans="1:7" ns3:dyDescent="0.2">
      <c r="A529" t="s">
        <v>207</v>
      </c>
      <c r="B529" s="3">
        <v>8.7832959447799816E-9</v>
      </c>
      <c r="C529" s="3"/>
      <c r="D529" t="s">
        <v>7</v>
      </c>
      <c r="E529" t="s">
        <v>244</v>
      </c>
      <c r="F529" t="s">
        <v>27</v>
      </c>
      <c r="G529" s="3"/>
    </row>
    <row r="530" spans="1:7" ns3:dyDescent="0.2">
      <c r="A530" t="s">
        <v>208</v>
      </c>
      <c r="B530" s="3">
        <v>5.9133304572907677E-10</v>
      </c>
      <c r="C530" s="3"/>
      <c r="D530" t="s">
        <v>7</v>
      </c>
      <c r="E530" t="s">
        <v>244</v>
      </c>
      <c r="F530" t="s">
        <v>27</v>
      </c>
      <c r="G530" s="3"/>
    </row>
    <row r="531" spans="1:7" ns3:dyDescent="0.2">
      <c r="A531" t="s">
        <v>209</v>
      </c>
      <c r="B531" s="3">
        <v>3.4076272648835204E-9</v>
      </c>
      <c r="C531" s="3"/>
      <c r="D531" t="s">
        <v>7</v>
      </c>
      <c r="E531" t="s">
        <v>244</v>
      </c>
      <c r="F531" t="s">
        <v>27</v>
      </c>
      <c r="G531" s="3"/>
    </row>
    <row r="532" spans="1:7" ns3:dyDescent="0.2">
      <c r="A532" t="s">
        <v>210</v>
      </c>
      <c r="B532" s="3">
        <v>1.351699741156169E-9</v>
      </c>
      <c r="C532" s="3"/>
      <c r="D532" t="s">
        <v>7</v>
      </c>
      <c r="E532" t="s">
        <v>244</v>
      </c>
      <c r="F532" t="s">
        <v>27</v>
      </c>
      <c r="G532" s="3"/>
    </row>
    <row r="533" spans="1:7" ns3:dyDescent="0.2">
      <c r="A533" t="s">
        <v>211</v>
      </c>
      <c r="B533" s="3">
        <v>2.1322346850733389E-9</v>
      </c>
      <c r="C533" s="3"/>
      <c r="D533" t="s">
        <v>7</v>
      </c>
      <c r="E533" t="s">
        <v>244</v>
      </c>
      <c r="F533" t="s">
        <v>27</v>
      </c>
      <c r="G533" s="3"/>
    </row>
    <row r="534" spans="1:7" ns3:dyDescent="0.2">
      <c r="A534" t="s">
        <v>212</v>
      </c>
      <c r="B534" s="3">
        <v>2.1379292493528905E-8</v>
      </c>
      <c r="C534" s="3"/>
      <c r="D534" t="s">
        <v>7</v>
      </c>
      <c r="E534" t="s">
        <v>244</v>
      </c>
      <c r="F534" t="s">
        <v>27</v>
      </c>
      <c r="G534" s="3"/>
    </row>
    <row r="535" spans="1:7" ns3:dyDescent="0.2">
      <c r="A535" t="s">
        <v>213</v>
      </c>
      <c r="B535" s="3">
        <v>6.4864883520276109E-8</v>
      </c>
      <c r="C535" s="3"/>
      <c r="D535" t="s">
        <v>7</v>
      </c>
      <c r="E535" t="s">
        <v>244</v>
      </c>
      <c r="F535" t="s">
        <v>27</v>
      </c>
      <c r="G535" s="3"/>
    </row>
    <row r="536" spans="1:7" ns3:dyDescent="0.2">
      <c r="A536" t="s">
        <v>214</v>
      </c>
      <c r="B536" s="3">
        <v>2.2917773943054361E-9</v>
      </c>
      <c r="C536" s="3"/>
      <c r="D536" t="s">
        <v>7</v>
      </c>
      <c r="E536" t="s">
        <v>244</v>
      </c>
      <c r="F536" t="s">
        <v>27</v>
      </c>
      <c r="G536" s="3"/>
    </row>
    <row r="537" spans="1:7" ns3:dyDescent="0.2">
      <c r="A537" t="s">
        <v>215</v>
      </c>
      <c r="B537" s="3">
        <v>5.2010353753235545E-5</v>
      </c>
      <c r="C537" s="3"/>
      <c r="D537" t="s">
        <v>7</v>
      </c>
      <c r="E537" t="s">
        <v>244</v>
      </c>
      <c r="F537" t="s">
        <v>27</v>
      </c>
      <c r="G537" s="3"/>
    </row>
    <row r="538" spans="1:7" ns3:dyDescent="0.2">
      <c r="A538" t="s">
        <v>216</v>
      </c>
      <c r="B538" s="3">
        <v>1.701725625539258E-7</v>
      </c>
      <c r="C538" s="3"/>
      <c r="D538" t="s">
        <v>7</v>
      </c>
      <c r="E538" t="s">
        <v>244</v>
      </c>
      <c r="F538" t="s">
        <v>27</v>
      </c>
      <c r="G538" s="3"/>
    </row>
    <row r="539" spans="1:7" ns3:dyDescent="0.2">
      <c r="A539" t="s">
        <v>217</v>
      </c>
      <c r="B539" s="3">
        <v>8.5511475409836056E-10</v>
      </c>
      <c r="C539" s="3"/>
      <c r="D539" t="s">
        <v>7</v>
      </c>
      <c r="E539" t="s">
        <v>244</v>
      </c>
      <c r="F539" t="s">
        <v>27</v>
      </c>
      <c r="G539" s="3"/>
    </row>
    <row r="540" spans="1:7" ns3:dyDescent="0.2">
      <c r="A540" t="s">
        <v>218</v>
      </c>
      <c r="B540" s="3">
        <v>6.2069801553062976E-13</v>
      </c>
      <c r="C540" s="3"/>
      <c r="D540" t="s">
        <v>7</v>
      </c>
      <c r="E540" t="s">
        <v>244</v>
      </c>
      <c r="F540" t="s">
        <v>27</v>
      </c>
      <c r="G540" s="3"/>
    </row>
    <row r="541" spans="1:7" ns3:dyDescent="0.2">
      <c r="A541" t="s">
        <v>219</v>
      </c>
      <c r="B541" s="3">
        <v>2.2186971527178604E-9</v>
      </c>
      <c r="C541" s="3"/>
      <c r="D541" t="s">
        <v>7</v>
      </c>
      <c r="E541" t="s">
        <v>244</v>
      </c>
      <c r="F541" t="s">
        <v>27</v>
      </c>
      <c r="G541" s="3"/>
    </row>
    <row r="542" spans="1:7" ns3:dyDescent="0.2">
      <c r="A542" t="s">
        <v>220</v>
      </c>
      <c r="B542" s="3">
        <v>1.0655478861087144E-6</v>
      </c>
      <c r="C542" s="3"/>
      <c r="D542" t="s">
        <v>7</v>
      </c>
      <c r="E542" t="s">
        <v>244</v>
      </c>
      <c r="F542" t="s">
        <v>27</v>
      </c>
      <c r="G542" s="3"/>
    </row>
    <row r="543" spans="1:7" ns3:dyDescent="0.2">
      <c r="A543" t="s">
        <v>221</v>
      </c>
      <c r="B543" s="3">
        <v>7.8378084555651419E-10</v>
      </c>
      <c r="C543" s="3"/>
      <c r="D543" t="s">
        <v>7</v>
      </c>
      <c r="E543" t="s">
        <v>244</v>
      </c>
      <c r="F543" t="s">
        <v>27</v>
      </c>
      <c r="G543" s="3"/>
    </row>
    <row r="544" spans="1:7" ns3:dyDescent="0.2">
      <c r="A544" t="s">
        <v>222</v>
      </c>
      <c r="B544" s="3">
        <v>1.4198446937014667E-6</v>
      </c>
      <c r="C544" s="3"/>
      <c r="D544" t="s">
        <v>7</v>
      </c>
      <c r="E544" t="s">
        <v>244</v>
      </c>
      <c r="F544" t="s">
        <v>27</v>
      </c>
      <c r="G544" s="3"/>
    </row>
    <row r="545" spans="1:7" ns3:dyDescent="0.2">
      <c r="A545" t="s">
        <v>223</v>
      </c>
      <c r="B545" s="3">
        <v>3.5424935289042275E-11</v>
      </c>
      <c r="C545" s="3"/>
      <c r="D545" t="s">
        <v>7</v>
      </c>
      <c r="E545" t="s">
        <v>244</v>
      </c>
      <c r="F545" t="s">
        <v>27</v>
      </c>
      <c r="G545" s="3"/>
    </row>
    <row r="546" spans="1:7" ns3:dyDescent="0.2">
      <c r="A546" t="s">
        <v>224</v>
      </c>
      <c r="B546" s="3">
        <v>1.5159879206212254E-12</v>
      </c>
      <c r="C546" s="3"/>
      <c r="D546" t="s">
        <v>7</v>
      </c>
      <c r="E546" t="s">
        <v>244</v>
      </c>
      <c r="F546" t="s">
        <v>27</v>
      </c>
      <c r="G546" s="3"/>
    </row>
    <row r="547" spans="1:7" ns3:dyDescent="0.2">
      <c r="A547" t="s">
        <v>225</v>
      </c>
      <c r="B547" s="3">
        <v>7.3476013805004307E-8</v>
      </c>
      <c r="C547" s="3"/>
      <c r="D547" t="s">
        <v>7</v>
      </c>
      <c r="E547" t="s">
        <v>244</v>
      </c>
      <c r="F547" t="s">
        <v>27</v>
      </c>
      <c r="G547" s="3"/>
    </row>
    <row r="548" spans="1:7" ns3:dyDescent="0.2">
      <c r="A548" t="s">
        <v>226</v>
      </c>
      <c r="B548" s="3">
        <v>2.8506039689387399E-9</v>
      </c>
      <c r="C548" s="3"/>
      <c r="D548" t="s">
        <v>7</v>
      </c>
      <c r="E548" t="s">
        <v>244</v>
      </c>
      <c r="F548" t="s">
        <v>27</v>
      </c>
      <c r="G548" s="3"/>
    </row>
    <row r="549" spans="1:7" ns3:dyDescent="0.2">
      <c r="A549" t="s">
        <v>227</v>
      </c>
      <c r="B549" s="3">
        <v>5.4123986194995673E-7</v>
      </c>
      <c r="C549" s="3"/>
      <c r="D549" t="s">
        <v>7</v>
      </c>
      <c r="E549" t="s">
        <v>244</v>
      </c>
      <c r="F549" t="s">
        <v>27</v>
      </c>
      <c r="G549" s="3"/>
    </row>
    <row r="550" spans="1:7" ns3:dyDescent="0.2">
      <c r="A550" t="s">
        <v>228</v>
      </c>
      <c r="B550" s="3">
        <v>3.2406749784296806E-4</v>
      </c>
      <c r="C550" s="3"/>
      <c r="D550" t="s">
        <v>37</v>
      </c>
      <c r="E550" t="s">
        <v>244</v>
      </c>
      <c r="F550" t="s">
        <v>27</v>
      </c>
      <c r="G550" s="3"/>
    </row>
    <row r="551" spans="1:7" ns3:dyDescent="0.2">
      <c r="A551" t="s">
        <v>229</v>
      </c>
      <c r="B551" s="3">
        <v>3.3186971527178594E-8</v>
      </c>
      <c r="C551" s="3"/>
      <c r="D551" t="s">
        <v>7</v>
      </c>
      <c r="E551" t="s">
        <v>244</v>
      </c>
      <c r="F551" t="s">
        <v>27</v>
      </c>
      <c r="G551" s="3"/>
    </row>
    <row r="552" spans="1:7" ns3:dyDescent="0.2">
      <c r="A552" t="s">
        <v>188</v>
      </c>
      <c r="B552" s="3">
        <v>1.6508541846419328E-5</v>
      </c>
      <c r="C552" s="3"/>
      <c r="D552" t="s">
        <v>7</v>
      </c>
      <c r="E552" t="s">
        <v>245</v>
      </c>
      <c r="F552" t="s">
        <v>27</v>
      </c>
      <c r="G552" s="3"/>
    </row>
    <row r="553" spans="1:7" ns3:dyDescent="0.2">
      <c r="A553" t="s">
        <v>188</v>
      </c>
      <c r="B553" s="3">
        <v>6.0481018119068157E-9</v>
      </c>
      <c r="C553" s="3"/>
      <c r="D553" t="s">
        <v>7</v>
      </c>
      <c r="E553" t="s">
        <v>246</v>
      </c>
      <c r="F553" t="s">
        <v>27</v>
      </c>
      <c r="G553" s="3"/>
    </row>
    <row r="554" spans="1:7" ns3:dyDescent="0.2">
      <c r="A554" t="s">
        <v>190</v>
      </c>
      <c r="B554" s="3">
        <v>1.5440811044003451E-6</v>
      </c>
      <c r="C554" s="3"/>
      <c r="D554" t="s">
        <v>7</v>
      </c>
      <c r="E554" t="s">
        <v>245</v>
      </c>
      <c r="F554" t="s">
        <v>27</v>
      </c>
      <c r="G554" s="3"/>
    </row>
    <row r="555" spans="1:7" ns3:dyDescent="0.2">
      <c r="A555" t="s">
        <v>190</v>
      </c>
      <c r="B555" s="3">
        <v>7.478576358930113E-7</v>
      </c>
      <c r="C555" s="3"/>
      <c r="D555" t="s">
        <v>7</v>
      </c>
      <c r="E555" t="s">
        <v>246</v>
      </c>
      <c r="F555" t="s">
        <v>27</v>
      </c>
      <c r="G555" s="3"/>
    </row>
    <row r="556" spans="1:7" ns3:dyDescent="0.2">
      <c r="A556" t="s">
        <v>191</v>
      </c>
      <c r="B556" s="3">
        <v>1.0258757549611736E-7</v>
      </c>
      <c r="C556" s="3"/>
      <c r="D556" t="s">
        <v>7</v>
      </c>
      <c r="E556" t="s">
        <v>245</v>
      </c>
      <c r="F556" t="s">
        <v>27</v>
      </c>
      <c r="G556" s="3"/>
    </row>
    <row r="557" spans="1:7" ns3:dyDescent="0.2">
      <c r="A557" t="s">
        <v>191</v>
      </c>
      <c r="B557" s="3">
        <v>6.5795944779982743E-8</v>
      </c>
      <c r="C557" s="3"/>
      <c r="D557" t="s">
        <v>7</v>
      </c>
      <c r="E557" t="s">
        <v>246</v>
      </c>
      <c r="F557" t="s">
        <v>27</v>
      </c>
      <c r="G557" s="3"/>
    </row>
    <row r="558" spans="1:7" ns3:dyDescent="0.2">
      <c r="A558" t="s">
        <v>230</v>
      </c>
      <c r="B558" s="3">
        <v>1.4576186367558239E-4</v>
      </c>
      <c r="C558" s="3"/>
      <c r="D558" t="s">
        <v>7</v>
      </c>
      <c r="E558" t="s">
        <v>245</v>
      </c>
      <c r="F558" t="s">
        <v>27</v>
      </c>
      <c r="G558" s="3"/>
    </row>
    <row r="559" spans="1:7" ns3:dyDescent="0.2">
      <c r="A559" t="s">
        <v>230</v>
      </c>
      <c r="B559" s="3">
        <v>4.4736496980155305E-5</v>
      </c>
      <c r="C559" s="3"/>
      <c r="D559" t="s">
        <v>7</v>
      </c>
      <c r="E559" t="s">
        <v>246</v>
      </c>
      <c r="F559" t="s">
        <v>27</v>
      </c>
      <c r="G559" s="3"/>
    </row>
    <row r="560" spans="1:7" ns3:dyDescent="0.2">
      <c r="A560" t="s">
        <v>192</v>
      </c>
      <c r="B560" s="3">
        <v>1.2066781708369284E-5</v>
      </c>
      <c r="C560" s="3"/>
      <c r="D560" t="s">
        <v>7</v>
      </c>
      <c r="E560" t="s">
        <v>245</v>
      </c>
      <c r="F560" t="s">
        <v>27</v>
      </c>
      <c r="G560" s="3"/>
    </row>
    <row r="561" spans="1:7" ns3:dyDescent="0.2">
      <c r="A561" t="s">
        <v>192</v>
      </c>
      <c r="B561" s="3">
        <v>7.0081104400345129E-9</v>
      </c>
      <c r="C561" s="3"/>
      <c r="D561" t="s">
        <v>7</v>
      </c>
      <c r="E561" t="s">
        <v>246</v>
      </c>
      <c r="F561" t="s">
        <v>27</v>
      </c>
      <c r="G561" s="3"/>
    </row>
    <row r="562" spans="1:7" ns3:dyDescent="0.2">
      <c r="A562" t="s">
        <v>231</v>
      </c>
      <c r="B562" s="3">
        <v>4.1557031924072473E-8</v>
      </c>
      <c r="C562" s="3"/>
      <c r="D562" t="s">
        <v>7</v>
      </c>
      <c r="E562" t="s">
        <v>245</v>
      </c>
      <c r="F562" t="s">
        <v>27</v>
      </c>
      <c r="G562" s="3"/>
    </row>
    <row r="563" spans="1:7" ns3:dyDescent="0.2">
      <c r="A563" t="s">
        <v>231</v>
      </c>
      <c r="B563" s="3">
        <v>2.7557894736842107E-11</v>
      </c>
      <c r="C563" s="3"/>
      <c r="D563" t="s">
        <v>7</v>
      </c>
      <c r="E563" t="s">
        <v>246</v>
      </c>
      <c r="F563" t="s">
        <v>27</v>
      </c>
      <c r="G563" s="3"/>
    </row>
    <row r="564" spans="1:7" ns3:dyDescent="0.2">
      <c r="A564" t="s">
        <v>196</v>
      </c>
      <c r="B564" s="3">
        <v>3.2137273511647973E-7</v>
      </c>
      <c r="C564" s="3"/>
      <c r="D564" t="s">
        <v>7</v>
      </c>
      <c r="E564" t="s">
        <v>245</v>
      </c>
      <c r="F564" t="s">
        <v>27</v>
      </c>
      <c r="G564" s="3"/>
    </row>
    <row r="565" spans="1:7" ns3:dyDescent="0.2">
      <c r="A565" t="s">
        <v>196</v>
      </c>
      <c r="B565" s="3">
        <v>5.7524590163934417E-6</v>
      </c>
      <c r="C565" s="3"/>
      <c r="D565" t="s">
        <v>7</v>
      </c>
      <c r="E565" t="s">
        <v>246</v>
      </c>
      <c r="F565" t="s">
        <v>27</v>
      </c>
      <c r="G565" s="3"/>
    </row>
    <row r="566" spans="1:7" ns3:dyDescent="0.2">
      <c r="A566" t="s">
        <v>232</v>
      </c>
      <c r="B566" s="3">
        <v>4.4561863675582396E-4</v>
      </c>
      <c r="C566" s="3"/>
      <c r="D566" t="s">
        <v>7</v>
      </c>
      <c r="E566" t="s">
        <v>245</v>
      </c>
      <c r="F566" t="s">
        <v>27</v>
      </c>
      <c r="G566" s="3"/>
    </row>
    <row r="567" spans="1:7" ns3:dyDescent="0.2">
      <c r="A567" t="s">
        <v>232</v>
      </c>
      <c r="B567" s="3">
        <v>4.5715012942191547E-5</v>
      </c>
      <c r="C567" s="3"/>
      <c r="D567" t="s">
        <v>7</v>
      </c>
      <c r="E567" t="s">
        <v>246</v>
      </c>
      <c r="F567" t="s">
        <v>27</v>
      </c>
      <c r="G567" s="3"/>
    </row>
    <row r="568" spans="1:7" ns3:dyDescent="0.2">
      <c r="A568" t="s">
        <v>197</v>
      </c>
      <c r="B568" s="3">
        <v>1.1532441760138049E-6</v>
      </c>
      <c r="C568" s="3"/>
      <c r="D568" t="s">
        <v>7</v>
      </c>
      <c r="E568" t="s">
        <v>245</v>
      </c>
      <c r="F568" t="s">
        <v>27</v>
      </c>
      <c r="G568" s="3"/>
    </row>
    <row r="569" spans="1:7" ns3:dyDescent="0.2">
      <c r="A569" t="s">
        <v>197</v>
      </c>
      <c r="B569" s="3">
        <v>1.2784296807592752E-9</v>
      </c>
      <c r="C569" s="3"/>
      <c r="D569" t="s">
        <v>7</v>
      </c>
      <c r="E569" t="s">
        <v>246</v>
      </c>
      <c r="F569" t="s">
        <v>27</v>
      </c>
      <c r="G569" s="3"/>
    </row>
    <row r="570" spans="1:7" ns3:dyDescent="0.2">
      <c r="A570" t="s">
        <v>233</v>
      </c>
      <c r="B570" s="3">
        <v>1.3595772217428819E-5</v>
      </c>
      <c r="C570" s="3"/>
      <c r="D570" t="s">
        <v>7</v>
      </c>
      <c r="E570" t="s">
        <v>245</v>
      </c>
      <c r="F570" t="s">
        <v>27</v>
      </c>
      <c r="G570" s="3"/>
    </row>
    <row r="571" spans="1:7" ns3:dyDescent="0.2">
      <c r="A571" t="s">
        <v>233</v>
      </c>
      <c r="B571" s="3">
        <v>2.2696635030198449E-8</v>
      </c>
      <c r="C571" s="3"/>
      <c r="D571" t="s">
        <v>7</v>
      </c>
      <c r="E571" t="s">
        <v>246</v>
      </c>
      <c r="F571" t="s">
        <v>27</v>
      </c>
      <c r="G571" s="3"/>
    </row>
    <row r="572" spans="1:7" ns3:dyDescent="0.2">
      <c r="A572" t="s">
        <v>234</v>
      </c>
      <c r="B572" s="3">
        <v>2.1675409836065571E-4</v>
      </c>
      <c r="C572" s="3"/>
      <c r="D572" t="s">
        <v>7</v>
      </c>
      <c r="E572" t="s">
        <v>245</v>
      </c>
      <c r="F572" t="s">
        <v>27</v>
      </c>
      <c r="G572" s="3"/>
    </row>
    <row r="573" spans="1:7" ns3:dyDescent="0.2">
      <c r="A573" t="s">
        <v>234</v>
      </c>
      <c r="B573" s="3">
        <v>1.4616048317515099E-3</v>
      </c>
      <c r="C573" s="3"/>
      <c r="D573" t="s">
        <v>7</v>
      </c>
      <c r="E573" t="s">
        <v>246</v>
      </c>
      <c r="F573" t="s">
        <v>27</v>
      </c>
      <c r="G573" s="3"/>
    </row>
    <row r="574" spans="1:7" ns3:dyDescent="0.2">
      <c r="A574" t="s">
        <v>199</v>
      </c>
      <c r="B574" s="3">
        <v>4.6984900776531493E-10</v>
      </c>
      <c r="C574" s="3"/>
      <c r="D574" t="s">
        <v>7</v>
      </c>
      <c r="E574" t="s">
        <v>246</v>
      </c>
      <c r="F574" t="s">
        <v>27</v>
      </c>
      <c r="G574" s="3"/>
    </row>
    <row r="575" spans="1:7" ns3:dyDescent="0.2">
      <c r="A575" t="s">
        <v>235</v>
      </c>
      <c r="B575" s="3">
        <v>1.9134685073339086E-7</v>
      </c>
      <c r="C575" s="3"/>
      <c r="D575" t="s">
        <v>7</v>
      </c>
      <c r="E575" t="s">
        <v>245</v>
      </c>
      <c r="F575" t="s">
        <v>27</v>
      </c>
      <c r="G575" s="3"/>
    </row>
    <row r="576" spans="1:7" ns3:dyDescent="0.2">
      <c r="A576" t="s">
        <v>235</v>
      </c>
      <c r="B576" s="3">
        <v>5.5071182053494388E-8</v>
      </c>
      <c r="C576" s="3"/>
      <c r="D576" t="s">
        <v>7</v>
      </c>
      <c r="E576" t="s">
        <v>246</v>
      </c>
      <c r="F576" t="s">
        <v>27</v>
      </c>
      <c r="G576" s="3"/>
    </row>
    <row r="577" spans="1:7" ns3:dyDescent="0.2">
      <c r="A577" t="s">
        <v>200</v>
      </c>
      <c r="B577" s="3">
        <v>2.4474288179465054E-6</v>
      </c>
      <c r="C577" s="3"/>
      <c r="D577" t="s">
        <v>7</v>
      </c>
      <c r="E577" t="s">
        <v>245</v>
      </c>
      <c r="F577" t="s">
        <v>27</v>
      </c>
      <c r="G577" s="3"/>
    </row>
    <row r="578" spans="1:7" ns3:dyDescent="0.2">
      <c r="A578" t="s">
        <v>200</v>
      </c>
      <c r="B578" s="3">
        <v>4.6080414150129423E-10</v>
      </c>
      <c r="C578" s="3"/>
      <c r="D578" t="s">
        <v>7</v>
      </c>
      <c r="E578" t="s">
        <v>246</v>
      </c>
      <c r="F578" t="s">
        <v>27</v>
      </c>
      <c r="G578" s="3"/>
    </row>
    <row r="579" spans="1:7" ns3:dyDescent="0.2">
      <c r="A579" t="s">
        <v>201</v>
      </c>
      <c r="B579" s="3">
        <v>2.6503451251078513E-5</v>
      </c>
      <c r="C579" s="3"/>
      <c r="D579" t="s">
        <v>7</v>
      </c>
      <c r="E579" t="s">
        <v>245</v>
      </c>
      <c r="F579" t="s">
        <v>27</v>
      </c>
      <c r="G579" s="3"/>
    </row>
    <row r="580" spans="1:7" ns3:dyDescent="0.2">
      <c r="A580" t="s">
        <v>201</v>
      </c>
      <c r="B580" s="3">
        <v>2.4339516824849005E-9</v>
      </c>
      <c r="C580" s="3"/>
      <c r="D580" t="s">
        <v>7</v>
      </c>
      <c r="E580" t="s">
        <v>246</v>
      </c>
      <c r="F580" t="s">
        <v>27</v>
      </c>
      <c r="G580" s="3"/>
    </row>
    <row r="581" spans="1:7" ns3:dyDescent="0.2">
      <c r="A581" t="s">
        <v>236</v>
      </c>
      <c r="B581" s="3">
        <v>1.7633218291630715E-4</v>
      </c>
      <c r="C581" s="3"/>
      <c r="D581" t="s">
        <v>7</v>
      </c>
      <c r="E581" t="s">
        <v>245</v>
      </c>
      <c r="F581" t="s">
        <v>27</v>
      </c>
      <c r="G581" s="3"/>
    </row>
    <row r="582" spans="1:7" ns3:dyDescent="0.2">
      <c r="A582" t="s">
        <v>236</v>
      </c>
      <c r="B582" s="3">
        <v>1.9939516824849007E-5</v>
      </c>
      <c r="C582" s="3"/>
      <c r="D582" t="s">
        <v>7</v>
      </c>
      <c r="E582" t="s">
        <v>246</v>
      </c>
      <c r="F582" t="s">
        <v>27</v>
      </c>
      <c r="G582" s="3"/>
    </row>
    <row r="583" spans="1:7" ns3:dyDescent="0.2">
      <c r="A583" t="s">
        <v>237</v>
      </c>
      <c r="B583" s="3">
        <v>8.6856341673856773E-7</v>
      </c>
      <c r="C583" s="3"/>
      <c r="D583" t="s">
        <v>7</v>
      </c>
      <c r="E583" t="s">
        <v>245</v>
      </c>
      <c r="F583" t="s">
        <v>27</v>
      </c>
      <c r="G583" s="3"/>
    </row>
    <row r="584" spans="1:7" ns3:dyDescent="0.2">
      <c r="A584" t="s">
        <v>237</v>
      </c>
      <c r="B584" s="3">
        <v>3.7890681622088008E-7</v>
      </c>
      <c r="C584" s="3"/>
      <c r="D584" t="s">
        <v>7</v>
      </c>
      <c r="E584" t="s">
        <v>246</v>
      </c>
      <c r="F584" t="s">
        <v>27</v>
      </c>
      <c r="G584" s="3"/>
    </row>
    <row r="585" spans="1:7" ns3:dyDescent="0.2">
      <c r="A585" t="s">
        <v>205</v>
      </c>
      <c r="B585" s="3">
        <v>0.59677135461604824</v>
      </c>
      <c r="C585" s="3"/>
      <c r="D585" t="s">
        <v>17</v>
      </c>
      <c r="E585" t="s">
        <v>246</v>
      </c>
      <c r="F585" t="s">
        <v>27</v>
      </c>
      <c r="G585" s="3"/>
    </row>
    <row r="586" spans="1:7" ns3:dyDescent="0.2">
      <c r="A586" t="s">
        <v>208</v>
      </c>
      <c r="B586" s="3">
        <v>1.6887230371009492E-4</v>
      </c>
      <c r="C586" s="3"/>
      <c r="D586" t="s">
        <v>7</v>
      </c>
      <c r="E586" t="s">
        <v>245</v>
      </c>
      <c r="F586" t="s">
        <v>27</v>
      </c>
      <c r="G586" s="3"/>
    </row>
    <row r="587" spans="1:7" ns3:dyDescent="0.2">
      <c r="A587" t="s">
        <v>208</v>
      </c>
      <c r="B587" s="3">
        <v>6.3663330457290771E-9</v>
      </c>
      <c r="C587" s="3"/>
      <c r="D587" t="s">
        <v>7</v>
      </c>
      <c r="E587" t="s">
        <v>246</v>
      </c>
      <c r="F587" t="s">
        <v>27</v>
      </c>
      <c r="G587" s="3"/>
    </row>
    <row r="588" spans="1:7" ns3:dyDescent="0.2">
      <c r="A588" t="s">
        <v>209</v>
      </c>
      <c r="B588" s="3">
        <v>2.9122950819672128E-5</v>
      </c>
      <c r="C588" s="3"/>
      <c r="D588" t="s">
        <v>7</v>
      </c>
      <c r="E588" t="s">
        <v>245</v>
      </c>
      <c r="F588" t="s">
        <v>27</v>
      </c>
      <c r="G588" s="3"/>
    </row>
    <row r="589" spans="1:7" ns3:dyDescent="0.2">
      <c r="A589" t="s">
        <v>209</v>
      </c>
      <c r="B589" s="3">
        <v>2.8166264020707508E-9</v>
      </c>
      <c r="C589" s="3"/>
      <c r="D589" t="s">
        <v>7</v>
      </c>
      <c r="E589" t="s">
        <v>246</v>
      </c>
      <c r="F589" t="s">
        <v>27</v>
      </c>
      <c r="G589" s="3"/>
    </row>
    <row r="590" spans="1:7" ns3:dyDescent="0.2">
      <c r="A590" t="s">
        <v>210</v>
      </c>
      <c r="B590" s="3">
        <v>5.6117083692838646E-6</v>
      </c>
      <c r="C590" s="3"/>
      <c r="D590" t="s">
        <v>7</v>
      </c>
      <c r="E590" t="s">
        <v>245</v>
      </c>
      <c r="F590" t="s">
        <v>27</v>
      </c>
      <c r="G590" s="3"/>
    </row>
    <row r="591" spans="1:7" ns3:dyDescent="0.2">
      <c r="A591" t="s">
        <v>210</v>
      </c>
      <c r="B591" s="3">
        <v>8.6515616911130283E-10</v>
      </c>
      <c r="C591" s="3"/>
      <c r="D591" t="s">
        <v>7</v>
      </c>
      <c r="E591" t="s">
        <v>246</v>
      </c>
      <c r="F591" t="s">
        <v>27</v>
      </c>
      <c r="G591" s="3"/>
    </row>
    <row r="592" spans="1:7" ns3:dyDescent="0.2">
      <c r="A592" t="s">
        <v>211</v>
      </c>
      <c r="B592" s="3">
        <v>1.5792924935289042E-8</v>
      </c>
      <c r="C592" s="3"/>
      <c r="D592" t="s">
        <v>7</v>
      </c>
      <c r="E592" t="s">
        <v>245</v>
      </c>
      <c r="F592" t="s">
        <v>27</v>
      </c>
      <c r="G592" s="3"/>
    </row>
    <row r="593" spans="1:7" ns3:dyDescent="0.2">
      <c r="A593" t="s">
        <v>211</v>
      </c>
      <c r="B593" s="3">
        <v>4.0014754098360653E-10</v>
      </c>
      <c r="C593" s="3"/>
      <c r="D593" t="s">
        <v>7</v>
      </c>
      <c r="E593" t="s">
        <v>246</v>
      </c>
      <c r="F593" t="s">
        <v>27</v>
      </c>
      <c r="G593" s="3"/>
    </row>
    <row r="594" spans="1:7" ns3:dyDescent="0.2">
      <c r="A594" t="s">
        <v>214</v>
      </c>
      <c r="B594" s="3">
        <v>1.7845815358067297E-6</v>
      </c>
      <c r="C594" s="3"/>
      <c r="D594" t="s">
        <v>7</v>
      </c>
      <c r="E594" t="s">
        <v>245</v>
      </c>
      <c r="F594" t="s">
        <v>27</v>
      </c>
      <c r="G594" s="3"/>
    </row>
    <row r="595" spans="1:7" ns3:dyDescent="0.2">
      <c r="A595" t="s">
        <v>214</v>
      </c>
      <c r="B595" s="3">
        <v>1.2091458153580672E-9</v>
      </c>
      <c r="C595" s="3"/>
      <c r="D595" t="s">
        <v>7</v>
      </c>
      <c r="E595" t="s">
        <v>246</v>
      </c>
      <c r="F595" t="s">
        <v>27</v>
      </c>
      <c r="G595" s="3"/>
    </row>
    <row r="596" spans="1:7" ns3:dyDescent="0.2">
      <c r="A596" t="s">
        <v>238</v>
      </c>
      <c r="B596" s="3">
        <v>2.0806039689387404E-5</v>
      </c>
      <c r="C596" s="3"/>
      <c r="D596" t="s">
        <v>7</v>
      </c>
      <c r="E596" t="s">
        <v>245</v>
      </c>
      <c r="F596" t="s">
        <v>27</v>
      </c>
      <c r="G596" s="3"/>
    </row>
    <row r="597" spans="1:7" ns3:dyDescent="0.2">
      <c r="A597" t="s">
        <v>238</v>
      </c>
      <c r="B597" s="3">
        <v>7.4527610008628123E-6</v>
      </c>
      <c r="C597" s="3"/>
      <c r="D597" t="s">
        <v>7</v>
      </c>
      <c r="E597" t="s">
        <v>246</v>
      </c>
      <c r="F597" t="s">
        <v>27</v>
      </c>
      <c r="G597" s="3"/>
    </row>
    <row r="598" spans="1:7" ns3:dyDescent="0.2">
      <c r="A598" t="s">
        <v>219</v>
      </c>
      <c r="B598" s="3">
        <v>1.4272476272648834E-7</v>
      </c>
      <c r="C598" s="3"/>
      <c r="D598" t="s">
        <v>7</v>
      </c>
      <c r="E598" t="s">
        <v>245</v>
      </c>
      <c r="F598" t="s">
        <v>27</v>
      </c>
      <c r="G598" s="3"/>
    </row>
    <row r="599" spans="1:7" ns3:dyDescent="0.2">
      <c r="A599" t="s">
        <v>219</v>
      </c>
      <c r="B599" s="3">
        <v>3.7054529767040554E-8</v>
      </c>
      <c r="C599" s="3"/>
      <c r="D599" t="s">
        <v>7</v>
      </c>
      <c r="E599" t="s">
        <v>246</v>
      </c>
      <c r="F599" t="s">
        <v>27</v>
      </c>
      <c r="G599" s="3"/>
    </row>
    <row r="600" spans="1:7" ns3:dyDescent="0.2">
      <c r="A600" t="s">
        <v>239</v>
      </c>
      <c r="B600" s="3">
        <v>3.2759879206212252E-5</v>
      </c>
      <c r="C600" s="3"/>
      <c r="D600" t="s">
        <v>7</v>
      </c>
      <c r="E600" t="s">
        <v>245</v>
      </c>
      <c r="F600" t="s">
        <v>27</v>
      </c>
      <c r="G600" s="3"/>
    </row>
    <row r="601" spans="1:7" ns3:dyDescent="0.2">
      <c r="A601" t="s">
        <v>239</v>
      </c>
      <c r="B601" s="3">
        <v>7.3841415012942203E-8</v>
      </c>
      <c r="C601" s="3"/>
      <c r="D601" t="s">
        <v>7</v>
      </c>
      <c r="E601" t="s">
        <v>246</v>
      </c>
      <c r="F601" t="s">
        <v>27</v>
      </c>
      <c r="G601" s="3"/>
    </row>
    <row r="602" spans="1:7" ns3:dyDescent="0.2">
      <c r="A602" t="s">
        <v>240</v>
      </c>
      <c r="B602" s="3">
        <v>8.4943917169974113E-5</v>
      </c>
      <c r="C602" s="3"/>
      <c r="D602" t="s">
        <v>7</v>
      </c>
      <c r="E602" t="s">
        <v>245</v>
      </c>
      <c r="F602" t="s">
        <v>27</v>
      </c>
      <c r="G602" s="3"/>
    </row>
    <row r="603" spans="1:7" ns3:dyDescent="0.2">
      <c r="A603" t="s">
        <v>240</v>
      </c>
      <c r="B603" s="3">
        <v>4.27130284728214E-5</v>
      </c>
      <c r="C603" s="3"/>
      <c r="D603" t="s">
        <v>7</v>
      </c>
      <c r="E603" t="s">
        <v>246</v>
      </c>
      <c r="F603" t="s">
        <v>27</v>
      </c>
      <c r="G603" s="3"/>
    </row>
    <row r="604" spans="1:7" ns3:dyDescent="0.2">
      <c r="A604" t="s">
        <v>221</v>
      </c>
      <c r="B604" s="3">
        <v>7.8293615185504735E-6</v>
      </c>
      <c r="C604" s="3"/>
      <c r="D604" t="s">
        <v>7</v>
      </c>
      <c r="E604" t="s">
        <v>245</v>
      </c>
      <c r="F604" t="s">
        <v>27</v>
      </c>
      <c r="G604" s="3"/>
    </row>
    <row r="605" spans="1:7" ns3:dyDescent="0.2">
      <c r="A605" t="s">
        <v>221</v>
      </c>
      <c r="B605" s="3">
        <v>5.1240638481449521E-9</v>
      </c>
      <c r="C605" s="3"/>
      <c r="D605" t="s">
        <v>7</v>
      </c>
      <c r="E605" t="s">
        <v>246</v>
      </c>
      <c r="F605" t="s">
        <v>27</v>
      </c>
      <c r="G605" s="3"/>
    </row>
    <row r="606" spans="1:7" ns3:dyDescent="0.2">
      <c r="A606" t="s">
        <v>241</v>
      </c>
      <c r="B606" s="3">
        <v>3.1921829163071607E-4</v>
      </c>
      <c r="C606" s="3"/>
      <c r="D606" t="s">
        <v>7</v>
      </c>
      <c r="E606" t="s">
        <v>245</v>
      </c>
      <c r="F606" t="s">
        <v>27</v>
      </c>
      <c r="G606" s="3"/>
    </row>
    <row r="607" spans="1:7" ns3:dyDescent="0.2">
      <c r="A607" t="s">
        <v>241</v>
      </c>
      <c r="B607" s="3">
        <v>5.455867126833477E-5</v>
      </c>
      <c r="C607" s="3"/>
      <c r="D607" t="s">
        <v>7</v>
      </c>
      <c r="E607" t="s">
        <v>246</v>
      </c>
      <c r="F607" t="s">
        <v>27</v>
      </c>
      <c r="G607" s="3"/>
    </row>
    <row r="608" spans="1:7" ns3:dyDescent="0.2">
      <c r="A608" t="s">
        <v>242</v>
      </c>
      <c r="B608" s="3">
        <v>1.7633218291630715E-4</v>
      </c>
      <c r="C608" s="3"/>
      <c r="D608" t="s">
        <v>7</v>
      </c>
      <c r="E608" t="s">
        <v>245</v>
      </c>
      <c r="F608" t="s">
        <v>27</v>
      </c>
      <c r="G608" s="3"/>
    </row>
    <row r="609" spans="1:8" ns3:dyDescent="0.2">
      <c r="A609" t="s">
        <v>242</v>
      </c>
      <c r="B609" s="3">
        <v>1.9939516824849007E-5</v>
      </c>
      <c r="C609" s="3"/>
      <c r="D609" t="s">
        <v>7</v>
      </c>
      <c r="E609" t="s">
        <v>246</v>
      </c>
      <c r="F609" t="s">
        <v>27</v>
      </c>
      <c r="G609" s="3"/>
    </row>
    <row r="610" spans="1:8" ns3:dyDescent="0.2">
      <c r="A610" t="s">
        <v>223</v>
      </c>
      <c r="B610" s="3">
        <v>2.7161173425366694E-8</v>
      </c>
      <c r="C610" s="3"/>
      <c r="D610" t="s">
        <v>7</v>
      </c>
      <c r="E610" t="s">
        <v>245</v>
      </c>
      <c r="F610" t="s">
        <v>27</v>
      </c>
      <c r="G610" s="3"/>
    </row>
    <row r="611" spans="1:8" ns3:dyDescent="0.2">
      <c r="A611" t="s">
        <v>223</v>
      </c>
      <c r="B611" s="3">
        <v>2.5170923209663504E-11</v>
      </c>
      <c r="C611" s="3"/>
      <c r="D611" t="s">
        <v>7</v>
      </c>
      <c r="E611" t="s">
        <v>246</v>
      </c>
      <c r="F611" t="s">
        <v>27</v>
      </c>
      <c r="G611" s="3"/>
    </row>
    <row r="612" spans="1:8" ns3:dyDescent="0.2">
      <c r="A612" t="s">
        <v>224</v>
      </c>
      <c r="B612" s="3">
        <v>1.5402847282139774E-6</v>
      </c>
      <c r="C612" s="3"/>
      <c r="D612" t="s">
        <v>7</v>
      </c>
      <c r="E612" t="s">
        <v>245</v>
      </c>
      <c r="F612" t="s">
        <v>27</v>
      </c>
      <c r="G612" s="3"/>
    </row>
    <row r="613" spans="1:8" ns3:dyDescent="0.2">
      <c r="A613" t="s">
        <v>224</v>
      </c>
      <c r="B613" s="3">
        <v>2.0978774805867127E-9</v>
      </c>
      <c r="C613" s="3"/>
      <c r="D613" t="s">
        <v>7</v>
      </c>
      <c r="E613" t="s">
        <v>246</v>
      </c>
      <c r="F613" t="s">
        <v>27</v>
      </c>
      <c r="G613" s="3"/>
    </row>
    <row r="614" spans="1:8" ns3:dyDescent="0.2">
      <c r="A614" t="s">
        <v>225</v>
      </c>
      <c r="B614" s="3">
        <v>2.6503451251078513E-5</v>
      </c>
      <c r="C614" s="3"/>
      <c r="D614" t="s">
        <v>7</v>
      </c>
      <c r="E614" t="s">
        <v>245</v>
      </c>
      <c r="F614" t="s">
        <v>27</v>
      </c>
      <c r="G614" s="3"/>
    </row>
    <row r="615" spans="1:8" ns3:dyDescent="0.2">
      <c r="A615" t="s">
        <v>225</v>
      </c>
      <c r="B615" s="3">
        <v>1.8029939603106123E-8</v>
      </c>
      <c r="C615" s="3"/>
      <c r="D615" t="s">
        <v>7</v>
      </c>
      <c r="E615" t="s">
        <v>246</v>
      </c>
      <c r="F615" t="s">
        <v>27</v>
      </c>
      <c r="G615" s="3"/>
    </row>
    <row r="616" spans="1:8" ns3:dyDescent="0.2">
      <c r="A616" t="s">
        <v>227</v>
      </c>
      <c r="B616" s="3">
        <v>7.527169974115616E-6</v>
      </c>
      <c r="C616" s="3"/>
      <c r="D616" t="s">
        <v>7</v>
      </c>
      <c r="E616" t="s">
        <v>245</v>
      </c>
      <c r="F616" t="s">
        <v>27</v>
      </c>
      <c r="G616" s="3"/>
    </row>
    <row r="617" spans="1:8" ns3:dyDescent="0.2">
      <c r="A617" t="s">
        <v>227</v>
      </c>
      <c r="B617" s="3">
        <v>2.9688610871440897E-8</v>
      </c>
      <c r="C617" s="3"/>
      <c r="D617" t="s">
        <v>7</v>
      </c>
      <c r="E617" t="s">
        <v>246</v>
      </c>
      <c r="F617" t="s">
        <v>27</v>
      </c>
      <c r="G617" s="3"/>
    </row>
    <row r="618" spans="1:8" ns3:dyDescent="0.2">
      <c r="A618" t="s">
        <v>228</v>
      </c>
      <c r="B618" s="3">
        <v>1.1954684210526315E-4</v>
      </c>
      <c r="C618" s="3"/>
      <c r="D618" t="s">
        <v>37</v>
      </c>
      <c r="E618" t="s">
        <v>246</v>
      </c>
      <c r="F618" t="s">
        <v>27</v>
      </c>
      <c r="G618" s="3"/>
    </row>
    <row r="619" spans="1:8" ns3:dyDescent="0.2">
      <c r="A619" t="s">
        <v>229</v>
      </c>
      <c r="B619" s="3">
        <v>2.2232528041415013E-5</v>
      </c>
      <c r="C619" s="3"/>
      <c r="D619" t="s">
        <v>7</v>
      </c>
      <c r="E619" t="s">
        <v>245</v>
      </c>
      <c r="F619" t="s">
        <v>27</v>
      </c>
      <c r="G619" s="3"/>
    </row>
    <row r="620" spans="1:8" ns3:dyDescent="0.2">
      <c r="A620" t="s">
        <v>229</v>
      </c>
      <c r="B620" s="3">
        <v>3.0247627264883521E-9</v>
      </c>
      <c r="C620" s="3"/>
      <c r="D620" t="s">
        <v>7</v>
      </c>
      <c r="E620" t="s">
        <v>246</v>
      </c>
      <c r="F620" t="s">
        <v>27</v>
      </c>
      <c r="G620" s="3"/>
    </row>
    <row r="621" spans="1:8" ns3:dyDescent="0.2">
      <c r="A621" t="s">
        <v>243</v>
      </c>
      <c r="B621" s="3">
        <v>0.2352899050905953</v>
      </c>
      <c r="C621" s="3"/>
      <c r="D621" t="s">
        <v>7</v>
      </c>
      <c r="E621" t="s">
        <v>111</v>
      </c>
      <c r="F621" t="s">
        <v>27</v>
      </c>
      <c r="G621" s="3"/>
    </row>
    <row r="622" spans="1:8" s="50" customFormat="1" ns3:dyDescent="0.2">
      <c r="A622" s="50" t="s">
        <v>134</v>
      </c>
      <c r="B622" s="50">
        <f>0.9*0.219164797238999</f>
        <v>0.19724831751509911</v>
      </c>
      <c r="C622" s="50" t="s">
        <v>103</v>
      </c>
      <c r="D622" s="50" t="s">
        <v>7</v>
      </c>
      <c r="F622" s="50" t="s">
        <v>18</v>
      </c>
      <c r="H622" s="50" t="s">
        <v>134</v>
      </c>
    </row>
    <row r="623" spans="1:8" s="50" customFormat="1" ns3:dyDescent="0.2">
      <c r="A623" s="50" t="s">
        <v>144</v>
      </c>
      <c r="B623" s="50">
        <f>0.219164797238999-B622</f>
        <v>2.1916479723899901E-2</v>
      </c>
      <c r="D623" s="50" t="s">
        <v>7</v>
      </c>
      <c r="E623" s="50" t="s">
        <v>136</v>
      </c>
      <c r="F623" s="50" t="s">
        <v>27</v>
      </c>
      <c r="G623" s="50" t="s">
        <v>483</v>
      </c>
    </row>
    <row r="624" spans="1:8" s="50" customFormat="1" ns3:dyDescent="0.2">
      <c r="A624" s="50" t="s">
        <v>484</v>
      </c>
      <c r="B624" s="51">
        <f>6.1/43.4*1.1</f>
        <v>0.15460829493087558</v>
      </c>
      <c r="D624" s="50" t="s">
        <v>7</v>
      </c>
      <c r="E624" s="50" t="s">
        <v>485</v>
      </c>
      <c r="F624" s="50" t="s">
        <v>27</v>
      </c>
      <c r="G624" s="50" t="s">
        <v>490</v>
      </c>
    </row>
    <row r="625" spans="1:8" s="50" customFormat="1" ns3:dyDescent="0.2"/>
    <row r="626" spans="1:8" ht="16" ns3:dyDescent="0.2">
      <c r="A626" s="1" t="s">
        <v>0</v>
      </c>
      <c r="B626" s="47" t="s">
        <v>130</v>
      </c>
    </row>
    <row r="627" spans="1:8" ns3:dyDescent="0.2">
      <c r="A627" t="s">
        <v>1</v>
      </c>
      <c r="B627" s="3" t="s">
        <v>104</v>
      </c>
    </row>
    <row r="628" spans="1:8" ns3:dyDescent="0.2">
      <c r="A628" t="s">
        <v>2</v>
      </c>
      <c r="B628" s="3">
        <v>1</v>
      </c>
    </row>
    <row r="629" spans="1:8" ns3:dyDescent="0.2">
      <c r="A629" t="s">
        <v>3</v>
      </c>
      <c r="B629" s="3" t="s">
        <v>130</v>
      </c>
    </row>
    <row r="630" spans="1:8" ns3:dyDescent="0.2">
      <c r="A630" t="s">
        <v>4</v>
      </c>
      <c r="B630" s="3" t="s">
        <v>5</v>
      </c>
    </row>
    <row r="631" spans="1:8" ns3:dyDescent="0.2">
      <c r="A631" t="s">
        <v>6</v>
      </c>
      <c r="B631" s="3" t="s">
        <v>17</v>
      </c>
    </row>
    <row r="632" spans="1:8" ns3:dyDescent="0.2">
      <c r="A632" t="s">
        <v>8</v>
      </c>
      <c r="B632" s="3" t="s">
        <v>122</v>
      </c>
    </row>
    <row r="633" spans="1:8" ns3:dyDescent="0.2">
      <c r="A633" t="s">
        <v>261</v>
      </c>
      <c r="B633" s="23">
        <f>0.33*71%</f>
        <v>0.23430000000000001</v>
      </c>
    </row>
    <row r="634" spans="1:8" ns3:dyDescent="0.2">
      <c r="A634" t="s">
        <v>9</v>
      </c>
      <c r="B634" s="3" t="s">
        <v>262</v>
      </c>
    </row>
    <row r="635" spans="1:8" ht="16" ns3:dyDescent="0.2">
      <c r="A635" s="1" t="s">
        <v>10</v>
      </c>
    </row>
    <row r="636" spans="1:8" ns3:dyDescent="0.2">
      <c r="A636" t="s">
        <v>11</v>
      </c>
      <c r="B636" s="3" t="s">
        <v>12</v>
      </c>
      <c r="C636" t="s">
        <v>1</v>
      </c>
      <c r="D636" t="s">
        <v>6</v>
      </c>
      <c r="E636" t="s">
        <v>13</v>
      </c>
      <c r="F636" t="s">
        <v>4</v>
      </c>
      <c r="G636" t="s">
        <v>9</v>
      </c>
      <c r="H636" t="s">
        <v>3</v>
      </c>
    </row>
    <row r="637" spans="1:8" ns3:dyDescent="0.2">
      <c r="A637" s="3" t="str">
        <f>B626</f>
        <v>heat production, from biowaste, municipal incineration, energy allocation</v>
      </c>
      <c r="B637" s="3">
        <v>1</v>
      </c>
      <c r="C637" s="3" t="str">
        <f>B627</f>
        <v>CH</v>
      </c>
      <c r="D637" s="3" t="str">
        <f>B631</f>
        <v>megajoule</v>
      </c>
      <c r="F637" t="s">
        <v>15</v>
      </c>
      <c r="G637" t="s">
        <v>16</v>
      </c>
      <c r="H637" s="3" t="str">
        <f>B629</f>
        <v>heat production, from biowaste, municipal incineration, energy allocation</v>
      </c>
    </row>
    <row r="638" spans="1:8" s="50" customFormat="1" ns3:dyDescent="0.2">
      <c r="A638" s="50" t="s">
        <v>110</v>
      </c>
      <c r="B638" s="52">
        <f>B672</f>
        <v>0.36093706293706301</v>
      </c>
      <c r="D638" s="50" t="s">
        <v>7</v>
      </c>
      <c r="E638" s="50" t="s">
        <v>111</v>
      </c>
      <c r="F638" s="50" t="s">
        <v>27</v>
      </c>
      <c r="G638" s="50" t="s">
        <v>259</v>
      </c>
    </row>
    <row r="639" spans="1:8" s="50" customFormat="1" ns3:dyDescent="0.2">
      <c r="A639" s="50" t="s">
        <v>149</v>
      </c>
      <c r="B639" s="51">
        <v>3.7516783216783224E-4</v>
      </c>
      <c r="C639" s="50" t="s">
        <v>103</v>
      </c>
      <c r="D639" s="50" t="s">
        <v>7</v>
      </c>
      <c r="F639" t="s">
        <v>18</v>
      </c>
      <c r="G639" s="51"/>
      <c r="H639" s="50" t="s">
        <v>170</v>
      </c>
    </row>
    <row r="640" spans="1:8" s="50" customFormat="1" ns3:dyDescent="0.2">
      <c r="A640" s="50" t="s">
        <v>150</v>
      </c>
      <c r="B640" s="51">
        <v>2.163916083916084E-7</v>
      </c>
      <c r="C640" s="50" t="s">
        <v>103</v>
      </c>
      <c r="D640" s="50" t="s">
        <v>7</v>
      </c>
      <c r="F640" t="s">
        <v>18</v>
      </c>
      <c r="G640" s="51"/>
      <c r="H640" s="50" t="s">
        <v>171</v>
      </c>
    </row>
    <row r="641" spans="1:8" s="50" customFormat="1" ns3:dyDescent="0.2">
      <c r="A641" s="50" t="s">
        <v>168</v>
      </c>
      <c r="B641" s="51">
        <v>3.6936363636363642E-3</v>
      </c>
      <c r="C641" s="50" t="s">
        <v>104</v>
      </c>
      <c r="D641" s="50" t="s">
        <v>7</v>
      </c>
      <c r="F641" t="s">
        <v>18</v>
      </c>
      <c r="G641" s="51"/>
      <c r="H641" s="50" t="s">
        <v>186</v>
      </c>
    </row>
    <row r="642" spans="1:8" s="50" customFormat="1" ns3:dyDescent="0.2">
      <c r="A642" s="50" t="s">
        <v>151</v>
      </c>
      <c r="B642" s="51">
        <v>5.0684615384615388E-5</v>
      </c>
      <c r="C642" s="50" t="s">
        <v>24</v>
      </c>
      <c r="D642" s="50" t="s">
        <v>7</v>
      </c>
      <c r="F642" t="s">
        <v>18</v>
      </c>
      <c r="G642" s="51"/>
      <c r="H642" s="50" t="s">
        <v>172</v>
      </c>
    </row>
    <row r="643" spans="1:8" s="50" customFormat="1" ns3:dyDescent="0.2">
      <c r="A643" s="50" t="s">
        <v>152</v>
      </c>
      <c r="B643" s="51">
        <v>3.920349650349651E-7</v>
      </c>
      <c r="C643" s="50" t="s">
        <v>24</v>
      </c>
      <c r="D643" s="50" t="s">
        <v>7</v>
      </c>
      <c r="F643" t="s">
        <v>18</v>
      </c>
      <c r="G643" s="51"/>
      <c r="H643" s="50" t="s">
        <v>173</v>
      </c>
    </row>
    <row r="644" spans="1:8" s="50" customFormat="1" ns3:dyDescent="0.2">
      <c r="A644" t="s">
        <v>493</v>
      </c>
      <c r="B644" s="51">
        <v>4.796993006993007E-7</v>
      </c>
      <c r="C644" s="50" t="s">
        <v>24</v>
      </c>
      <c r="D644" s="50" t="s">
        <v>7</v>
      </c>
      <c r="F644" t="s">
        <v>18</v>
      </c>
      <c r="G644" s="51"/>
      <c r="H644" t="s">
        <v>494</v>
      </c>
    </row>
    <row r="645" spans="1:8" s="50" customFormat="1" ns3:dyDescent="0.2">
      <c r="A645" s="50" t="s">
        <v>169</v>
      </c>
      <c r="B645" s="51">
        <v>7.0153846153846164E-2</v>
      </c>
      <c r="C645" s="50" t="s">
        <v>104</v>
      </c>
      <c r="D645" s="50" t="s">
        <v>17</v>
      </c>
      <c r="F645" t="s">
        <v>18</v>
      </c>
      <c r="G645" s="51"/>
      <c r="H645" s="50" t="s">
        <v>187</v>
      </c>
    </row>
    <row r="646" spans="1:8" s="50" customFormat="1" ns3:dyDescent="0.2">
      <c r="A646" s="50" t="s">
        <v>153</v>
      </c>
      <c r="B646" s="51">
        <v>2.692517482517483E-4</v>
      </c>
      <c r="C646" s="50" t="s">
        <v>103</v>
      </c>
      <c r="D646" s="50" t="s">
        <v>7</v>
      </c>
      <c r="F646" t="s">
        <v>18</v>
      </c>
      <c r="G646" s="51"/>
      <c r="H646" s="50" t="s">
        <v>174</v>
      </c>
    </row>
    <row r="647" spans="1:8" s="50" customFormat="1" ns3:dyDescent="0.2">
      <c r="A647" s="50" t="s">
        <v>154</v>
      </c>
      <c r="B647" s="51">
        <v>6.5138461538461552E-4</v>
      </c>
      <c r="C647" s="50" t="s">
        <v>103</v>
      </c>
      <c r="D647" s="50" t="s">
        <v>7</v>
      </c>
      <c r="F647" t="s">
        <v>18</v>
      </c>
      <c r="G647" s="51"/>
      <c r="H647" s="50" t="s">
        <v>175</v>
      </c>
    </row>
    <row r="648" spans="1:8" s="50" customFormat="1" ns3:dyDescent="0.2">
      <c r="A648" s="50" t="s">
        <v>155</v>
      </c>
      <c r="B648" s="51">
        <v>7.6062937062937067E-7</v>
      </c>
      <c r="C648" s="50" t="s">
        <v>24</v>
      </c>
      <c r="D648" s="50" t="s">
        <v>7</v>
      </c>
      <c r="F648" t="s">
        <v>18</v>
      </c>
      <c r="G648" s="51"/>
      <c r="H648" t="s">
        <v>474</v>
      </c>
    </row>
    <row r="649" spans="1:8" s="50" customFormat="1" ns3:dyDescent="0.2">
      <c r="A649" s="50" t="s">
        <v>156</v>
      </c>
      <c r="B649" s="51">
        <v>-2.026503496503497E-3</v>
      </c>
      <c r="C649" s="50" t="s">
        <v>24</v>
      </c>
      <c r="D649" s="50" t="s">
        <v>7</v>
      </c>
      <c r="F649" t="s">
        <v>18</v>
      </c>
      <c r="G649" s="51"/>
      <c r="H649" s="50" t="s">
        <v>176</v>
      </c>
    </row>
    <row r="650" spans="1:8" s="50" customFormat="1" ns3:dyDescent="0.2">
      <c r="A650" s="50" t="s">
        <v>157</v>
      </c>
      <c r="B650" s="51">
        <v>1.7482517482517485E-10</v>
      </c>
      <c r="C650" s="50" t="s">
        <v>104</v>
      </c>
      <c r="D650" s="50" t="s">
        <v>6</v>
      </c>
      <c r="F650" t="s">
        <v>18</v>
      </c>
      <c r="G650" s="51"/>
      <c r="H650" s="50" t="s">
        <v>177</v>
      </c>
    </row>
    <row r="651" spans="1:8" s="50" customFormat="1" ns3:dyDescent="0.2">
      <c r="A651" s="50" t="s">
        <v>158</v>
      </c>
      <c r="B651" s="51">
        <v>1.8410489510489514E-2</v>
      </c>
      <c r="C651" s="50" t="s">
        <v>104</v>
      </c>
      <c r="D651" s="50" t="s">
        <v>7</v>
      </c>
      <c r="F651" t="s">
        <v>18</v>
      </c>
      <c r="G651" s="51"/>
      <c r="H651" s="50" t="s">
        <v>158</v>
      </c>
    </row>
    <row r="652" spans="1:8" s="50" customFormat="1" ns3:dyDescent="0.2">
      <c r="A652" s="50" t="s">
        <v>159</v>
      </c>
      <c r="B652" s="51">
        <v>9.9769230769230777E-2</v>
      </c>
      <c r="C652" s="50" t="s">
        <v>104</v>
      </c>
      <c r="D652" s="50" t="s">
        <v>7</v>
      </c>
      <c r="F652" t="s">
        <v>18</v>
      </c>
      <c r="G652" s="51"/>
      <c r="H652" s="50" t="s">
        <v>159</v>
      </c>
    </row>
    <row r="653" spans="1:8" s="50" customFormat="1" ns3:dyDescent="0.2">
      <c r="A653" s="50" t="s">
        <v>160</v>
      </c>
      <c r="B653" s="51">
        <v>9.6503496503496506E-4</v>
      </c>
      <c r="C653" s="50" t="s">
        <v>103</v>
      </c>
      <c r="D653" s="50" t="s">
        <v>7</v>
      </c>
      <c r="F653" t="s">
        <v>18</v>
      </c>
      <c r="G653" s="51"/>
      <c r="H653" s="50" t="s">
        <v>178</v>
      </c>
    </row>
    <row r="654" spans="1:8" s="50" customFormat="1" ns3:dyDescent="0.2">
      <c r="A654" s="50" t="s">
        <v>161</v>
      </c>
      <c r="B654" s="51">
        <v>3.8355244755244758E-11</v>
      </c>
      <c r="C654" s="50" t="s">
        <v>104</v>
      </c>
      <c r="D654" s="50" t="s">
        <v>6</v>
      </c>
      <c r="F654" t="s">
        <v>18</v>
      </c>
      <c r="G654" s="51"/>
      <c r="H654" s="50" t="s">
        <v>179</v>
      </c>
    </row>
    <row r="655" spans="1:8" s="50" customFormat="1" ns3:dyDescent="0.2">
      <c r="A655" s="50" t="s">
        <v>162</v>
      </c>
      <c r="B655" s="51">
        <v>1.7736363636363638E-10</v>
      </c>
      <c r="C655" s="50" t="s">
        <v>104</v>
      </c>
      <c r="D655" s="50" t="s">
        <v>6</v>
      </c>
      <c r="F655" t="s">
        <v>18</v>
      </c>
      <c r="G655" s="51"/>
      <c r="H655" s="50" t="s">
        <v>180</v>
      </c>
    </row>
    <row r="656" spans="1:8" s="50" customFormat="1" ns3:dyDescent="0.2">
      <c r="A656" s="50" t="s">
        <v>163</v>
      </c>
      <c r="B656" s="51">
        <v>7.5587412587412603E-4</v>
      </c>
      <c r="C656" s="3" t="s">
        <v>267</v>
      </c>
      <c r="D656" s="50" t="s">
        <v>7</v>
      </c>
      <c r="F656" t="s">
        <v>18</v>
      </c>
      <c r="G656" s="51"/>
      <c r="H656" s="50" t="s">
        <v>181</v>
      </c>
    </row>
    <row r="657" spans="1:8" s="50" customFormat="1" ns3:dyDescent="0.2">
      <c r="A657" s="50" t="s">
        <v>164</v>
      </c>
      <c r="B657" s="51">
        <v>-2.277762237762238E-7</v>
      </c>
      <c r="C657" s="50" t="s">
        <v>24</v>
      </c>
      <c r="D657" s="50" t="s">
        <v>7</v>
      </c>
      <c r="F657" t="s">
        <v>18</v>
      </c>
      <c r="G657" s="51"/>
      <c r="H657" s="50" t="s">
        <v>182</v>
      </c>
    </row>
    <row r="658" spans="1:8" s="50" customFormat="1" ns3:dyDescent="0.2">
      <c r="A658" s="50" t="s">
        <v>165</v>
      </c>
      <c r="B658" s="51">
        <v>2.3505594405594406E-5</v>
      </c>
      <c r="C658" s="50" t="s">
        <v>103</v>
      </c>
      <c r="D658" s="50" t="s">
        <v>7</v>
      </c>
      <c r="F658" t="s">
        <v>18</v>
      </c>
      <c r="G658" s="51"/>
      <c r="H658" s="50" t="s">
        <v>183</v>
      </c>
    </row>
    <row r="659" spans="1:8" s="50" customFormat="1" ns3:dyDescent="0.2">
      <c r="A659" s="50" t="s">
        <v>81</v>
      </c>
      <c r="B659" s="51">
        <v>4.5658741258741264E-3</v>
      </c>
      <c r="C659" s="50" t="s">
        <v>103</v>
      </c>
      <c r="D659" s="50" t="s">
        <v>28</v>
      </c>
      <c r="F659" t="s">
        <v>18</v>
      </c>
      <c r="G659" s="51"/>
      <c r="H659" s="50" t="s">
        <v>82</v>
      </c>
    </row>
    <row r="660" spans="1:8" s="50" customFormat="1" ns3:dyDescent="0.2">
      <c r="A660" s="50" t="s">
        <v>166</v>
      </c>
      <c r="B660" s="51">
        <v>-9.2342657342657352E-3</v>
      </c>
      <c r="C660" s="50" t="s">
        <v>104</v>
      </c>
      <c r="D660" s="50" t="s">
        <v>7</v>
      </c>
      <c r="F660" t="s">
        <v>18</v>
      </c>
      <c r="G660" s="51"/>
      <c r="H660" s="50" t="s">
        <v>184</v>
      </c>
    </row>
    <row r="661" spans="1:8" s="50" customFormat="1" ns3:dyDescent="0.2">
      <c r="A661" s="50" t="s">
        <v>167</v>
      </c>
      <c r="B661" s="51">
        <v>0.60086013986013997</v>
      </c>
      <c r="C661" s="50" t="s">
        <v>104</v>
      </c>
      <c r="D661" s="50" t="s">
        <v>7</v>
      </c>
      <c r="F661" t="s">
        <v>18</v>
      </c>
      <c r="G661" s="51"/>
      <c r="H661" s="50" t="s">
        <v>185</v>
      </c>
    </row>
    <row r="662" spans="1:8" s="50" customFormat="1" ns3:dyDescent="0.2">
      <c r="A662" s="50" t="s">
        <v>188</v>
      </c>
      <c r="B662" s="51">
        <v>4.9705594405594411E-9</v>
      </c>
      <c r="D662" s="50" t="s">
        <v>7</v>
      </c>
      <c r="E662" s="50" t="s">
        <v>244</v>
      </c>
      <c r="F662" s="50" t="s">
        <v>27</v>
      </c>
      <c r="G662" s="51"/>
    </row>
    <row r="663" spans="1:8" s="50" customFormat="1" ns3:dyDescent="0.2">
      <c r="A663" s="50" t="s">
        <v>189</v>
      </c>
      <c r="B663" s="51">
        <v>4.411048951048952E-7</v>
      </c>
      <c r="D663" s="50" t="s">
        <v>7</v>
      </c>
      <c r="E663" s="50" t="s">
        <v>244</v>
      </c>
      <c r="F663" s="50" t="s">
        <v>27</v>
      </c>
      <c r="G663" s="51"/>
    </row>
    <row r="664" spans="1:8" s="50" customFormat="1" ns3:dyDescent="0.2">
      <c r="A664" s="50" t="s">
        <v>191</v>
      </c>
      <c r="B664" s="51">
        <v>9.5559440559440579E-9</v>
      </c>
      <c r="D664" s="50" t="s">
        <v>7</v>
      </c>
      <c r="E664" s="50" t="s">
        <v>244</v>
      </c>
      <c r="F664" s="50" t="s">
        <v>27</v>
      </c>
      <c r="G664" s="51"/>
    </row>
    <row r="665" spans="1:8" s="50" customFormat="1" ns3:dyDescent="0.2">
      <c r="A665" s="50" t="s">
        <v>193</v>
      </c>
      <c r="B665" s="51">
        <v>2.9103496503496509E-8</v>
      </c>
      <c r="D665" s="50" t="s">
        <v>7</v>
      </c>
      <c r="E665" s="50" t="s">
        <v>244</v>
      </c>
      <c r="F665" s="50" t="s">
        <v>27</v>
      </c>
      <c r="G665" s="51"/>
    </row>
    <row r="666" spans="1:8" s="50" customFormat="1" ns3:dyDescent="0.2">
      <c r="A666" s="50" t="s">
        <v>194</v>
      </c>
      <c r="B666" s="51">
        <v>6.0853846153846158E-11</v>
      </c>
      <c r="D666" s="50" t="s">
        <v>7</v>
      </c>
      <c r="E666" s="50" t="s">
        <v>244</v>
      </c>
      <c r="F666" s="50" t="s">
        <v>27</v>
      </c>
      <c r="G666" s="51"/>
    </row>
    <row r="667" spans="1:8" s="50" customFormat="1" ns3:dyDescent="0.2">
      <c r="A667" t="s">
        <v>477</v>
      </c>
      <c r="B667" s="51">
        <v>1.5376223776223777E-10</v>
      </c>
      <c r="D667" s="50" t="s">
        <v>7</v>
      </c>
      <c r="E667" s="50" t="s">
        <v>244</v>
      </c>
      <c r="F667" s="50" t="s">
        <v>27</v>
      </c>
      <c r="G667" s="51"/>
    </row>
    <row r="668" spans="1:8" s="50" customFormat="1" ns3:dyDescent="0.2">
      <c r="A668" s="50" t="s">
        <v>195</v>
      </c>
      <c r="B668" s="51">
        <v>6.4764335664335677E-13</v>
      </c>
      <c r="D668" s="50" t="s">
        <v>7</v>
      </c>
      <c r="E668" s="50" t="s">
        <v>244</v>
      </c>
      <c r="F668" s="50" t="s">
        <v>27</v>
      </c>
      <c r="G668" s="51"/>
    </row>
    <row r="669" spans="1:8" s="50" customFormat="1" ns3:dyDescent="0.2">
      <c r="A669" s="50" t="s">
        <v>196</v>
      </c>
      <c r="B669" s="51">
        <v>1.8279720279720282E-9</v>
      </c>
      <c r="D669" s="50" t="s">
        <v>7</v>
      </c>
      <c r="E669" s="50" t="s">
        <v>244</v>
      </c>
      <c r="F669" s="50" t="s">
        <v>27</v>
      </c>
      <c r="G669" s="51"/>
    </row>
    <row r="670" spans="1:8" s="50" customFormat="1" ns3:dyDescent="0.2">
      <c r="A670" s="50" t="s">
        <v>197</v>
      </c>
      <c r="B670" s="51">
        <v>4.2903496503496513E-11</v>
      </c>
      <c r="D670" s="50" t="s">
        <v>7</v>
      </c>
      <c r="E670" s="50" t="s">
        <v>244</v>
      </c>
      <c r="F670" s="50" t="s">
        <v>27</v>
      </c>
      <c r="G670" s="51"/>
    </row>
    <row r="671" spans="1:8" s="50" customFormat="1" ns3:dyDescent="0.2">
      <c r="A671" s="50" t="s">
        <v>248</v>
      </c>
      <c r="B671" s="51">
        <v>1.0464335664335666E-4</v>
      </c>
      <c r="D671" s="50" t="s">
        <v>7</v>
      </c>
      <c r="E671" s="50" t="s">
        <v>244</v>
      </c>
      <c r="F671" s="50" t="s">
        <v>27</v>
      </c>
      <c r="G671" s="51"/>
    </row>
    <row r="672" spans="1:8" s="50" customFormat="1" ns3:dyDescent="0.2">
      <c r="A672" s="50" t="s">
        <v>135</v>
      </c>
      <c r="B672" s="51">
        <v>0.36093706293706301</v>
      </c>
      <c r="D672" s="50" t="s">
        <v>7</v>
      </c>
      <c r="E672" s="50" t="s">
        <v>244</v>
      </c>
      <c r="F672" s="50" t="s">
        <v>27</v>
      </c>
      <c r="G672" s="51"/>
    </row>
    <row r="673" spans="1:7" s="50" customFormat="1" ns3:dyDescent="0.2">
      <c r="A673" s="50" t="s">
        <v>249</v>
      </c>
      <c r="B673" s="51">
        <v>4.9472027972027977E-5</v>
      </c>
      <c r="D673" s="50" t="s">
        <v>7</v>
      </c>
      <c r="E673" s="50" t="s">
        <v>244</v>
      </c>
      <c r="F673" s="50" t="s">
        <v>27</v>
      </c>
      <c r="G673" s="51"/>
    </row>
    <row r="674" spans="1:7" s="50" customFormat="1" ns3:dyDescent="0.2">
      <c r="A674" s="50" t="s">
        <v>199</v>
      </c>
      <c r="B674" s="51">
        <v>4.2609090909090916E-9</v>
      </c>
      <c r="D674" s="50" t="s">
        <v>7</v>
      </c>
      <c r="E674" s="50" t="s">
        <v>244</v>
      </c>
      <c r="F674" s="50" t="s">
        <v>27</v>
      </c>
      <c r="G674" s="51"/>
    </row>
    <row r="675" spans="1:7" s="50" customFormat="1" ns3:dyDescent="0.2">
      <c r="A675" s="50" t="s">
        <v>200</v>
      </c>
      <c r="B675" s="51">
        <v>5.5464335664335672E-9</v>
      </c>
      <c r="D675" s="50" t="s">
        <v>7</v>
      </c>
      <c r="E675" s="50" t="s">
        <v>244</v>
      </c>
      <c r="F675" s="50" t="s">
        <v>27</v>
      </c>
      <c r="G675" s="51"/>
    </row>
    <row r="676" spans="1:7" s="50" customFormat="1" ns3:dyDescent="0.2">
      <c r="A676" s="50" t="s">
        <v>201</v>
      </c>
      <c r="B676" s="51">
        <v>1.0055944055944057E-9</v>
      </c>
      <c r="D676" s="50" t="s">
        <v>7</v>
      </c>
      <c r="E676" s="50" t="s">
        <v>244</v>
      </c>
      <c r="F676" s="50" t="s">
        <v>27</v>
      </c>
      <c r="G676" s="51"/>
    </row>
    <row r="677" spans="1:7" s="50" customFormat="1" ns3:dyDescent="0.2">
      <c r="A677" s="50" t="s">
        <v>202</v>
      </c>
      <c r="B677" s="51">
        <v>7.8174825174825175E-6</v>
      </c>
      <c r="D677" s="50" t="s">
        <v>7</v>
      </c>
      <c r="E677" s="50" t="s">
        <v>244</v>
      </c>
      <c r="F677" s="50" t="s">
        <v>27</v>
      </c>
      <c r="G677" s="51"/>
    </row>
    <row r="678" spans="1:7" s="50" customFormat="1" ns3:dyDescent="0.2">
      <c r="A678" s="50" t="s">
        <v>203</v>
      </c>
      <c r="B678" s="51">
        <v>3.6388811188811196E-5</v>
      </c>
      <c r="D678" s="50" t="s">
        <v>7</v>
      </c>
      <c r="E678" s="50" t="s">
        <v>244</v>
      </c>
      <c r="F678" s="50" t="s">
        <v>27</v>
      </c>
      <c r="G678" s="51"/>
    </row>
    <row r="679" spans="1:7" s="50" customFormat="1" ns3:dyDescent="0.2">
      <c r="A679" s="50" t="s">
        <v>204</v>
      </c>
      <c r="B679" s="51">
        <v>5.8202797202797208E-14</v>
      </c>
      <c r="D679" s="50" t="s">
        <v>7</v>
      </c>
      <c r="E679" s="50" t="s">
        <v>244</v>
      </c>
      <c r="F679" s="50" t="s">
        <v>27</v>
      </c>
      <c r="G679" s="51"/>
    </row>
    <row r="680" spans="1:7" s="50" customFormat="1" ns3:dyDescent="0.2">
      <c r="A680" s="50" t="s">
        <v>205</v>
      </c>
      <c r="B680" s="51">
        <v>3.107412587412588</v>
      </c>
      <c r="D680" s="50" t="s">
        <v>17</v>
      </c>
      <c r="E680" s="50" t="s">
        <v>244</v>
      </c>
      <c r="F680" s="50" t="s">
        <v>27</v>
      </c>
      <c r="G680" s="51"/>
    </row>
    <row r="681" spans="1:7" s="50" customFormat="1" ns3:dyDescent="0.2">
      <c r="A681" s="50" t="s">
        <v>206</v>
      </c>
      <c r="B681" s="51">
        <v>1.3922377622377623E-6</v>
      </c>
      <c r="D681" s="50" t="s">
        <v>7</v>
      </c>
      <c r="E681" s="50" t="s">
        <v>244</v>
      </c>
      <c r="F681" s="50" t="s">
        <v>27</v>
      </c>
      <c r="G681" s="51"/>
    </row>
    <row r="682" spans="1:7" s="50" customFormat="1" ns3:dyDescent="0.2">
      <c r="A682" s="50" t="s">
        <v>207</v>
      </c>
      <c r="B682" s="51">
        <v>8.2300699300699306E-7</v>
      </c>
      <c r="D682" s="50" t="s">
        <v>7</v>
      </c>
      <c r="E682" s="50" t="s">
        <v>244</v>
      </c>
      <c r="F682" s="50" t="s">
        <v>27</v>
      </c>
      <c r="G682" s="51"/>
    </row>
    <row r="683" spans="1:7" s="50" customFormat="1" ns3:dyDescent="0.2">
      <c r="A683" s="50" t="s">
        <v>250</v>
      </c>
      <c r="B683" s="51">
        <v>1.8618881118881121E-11</v>
      </c>
      <c r="D683" s="50" t="s">
        <v>7</v>
      </c>
      <c r="E683" s="50" t="s">
        <v>244</v>
      </c>
      <c r="F683" s="50" t="s">
        <v>27</v>
      </c>
      <c r="G683" s="51"/>
    </row>
    <row r="684" spans="1:7" s="50" customFormat="1" ns3:dyDescent="0.2">
      <c r="A684" s="50" t="s">
        <v>208</v>
      </c>
      <c r="B684" s="51">
        <v>6.5587412587412601E-10</v>
      </c>
      <c r="D684" s="50" t="s">
        <v>7</v>
      </c>
      <c r="E684" s="50" t="s">
        <v>244</v>
      </c>
      <c r="F684" s="50" t="s">
        <v>27</v>
      </c>
      <c r="G684" s="51"/>
    </row>
    <row r="685" spans="1:7" s="50" customFormat="1" ns3:dyDescent="0.2">
      <c r="A685" s="50" t="s">
        <v>209</v>
      </c>
      <c r="B685" s="51">
        <v>9.3265734265734285E-10</v>
      </c>
      <c r="D685" s="50" t="s">
        <v>7</v>
      </c>
      <c r="E685" s="50" t="s">
        <v>244</v>
      </c>
      <c r="F685" s="50" t="s">
        <v>27</v>
      </c>
      <c r="G685" s="51"/>
    </row>
    <row r="686" spans="1:7" s="50" customFormat="1" ns3:dyDescent="0.2">
      <c r="A686" s="50" t="s">
        <v>251</v>
      </c>
      <c r="B686" s="51">
        <v>1.8142657342657345E-6</v>
      </c>
      <c r="D686" s="50" t="s">
        <v>7</v>
      </c>
      <c r="E686" s="50" t="s">
        <v>244</v>
      </c>
      <c r="F686" s="50" t="s">
        <v>27</v>
      </c>
      <c r="G686" s="51"/>
    </row>
    <row r="687" spans="1:7" s="50" customFormat="1" ns3:dyDescent="0.2">
      <c r="A687" s="50" t="s">
        <v>210</v>
      </c>
      <c r="B687" s="51">
        <v>5.0088811188811199E-10</v>
      </c>
      <c r="D687" s="50" t="s">
        <v>7</v>
      </c>
      <c r="E687" s="50" t="s">
        <v>244</v>
      </c>
      <c r="F687" s="50" t="s">
        <v>27</v>
      </c>
      <c r="G687" s="51"/>
    </row>
    <row r="688" spans="1:7" s="50" customFormat="1" ns3:dyDescent="0.2">
      <c r="A688" s="50" t="s">
        <v>211</v>
      </c>
      <c r="B688" s="51">
        <v>1.2105594405594406E-9</v>
      </c>
      <c r="D688" s="50" t="s">
        <v>7</v>
      </c>
      <c r="E688" s="50" t="s">
        <v>244</v>
      </c>
      <c r="F688" s="50" t="s">
        <v>27</v>
      </c>
      <c r="G688" s="51"/>
    </row>
    <row r="689" spans="1:7" s="50" customFormat="1" ns3:dyDescent="0.2">
      <c r="A689" s="50" t="s">
        <v>252</v>
      </c>
      <c r="B689" s="51">
        <v>4.365524475524476E-7</v>
      </c>
      <c r="D689" s="50" t="s">
        <v>7</v>
      </c>
      <c r="E689" s="50" t="s">
        <v>244</v>
      </c>
      <c r="F689" s="50" t="s">
        <v>27</v>
      </c>
      <c r="G689" s="51"/>
    </row>
    <row r="690" spans="1:7" s="50" customFormat="1" ns3:dyDescent="0.2">
      <c r="A690" s="50" t="s">
        <v>253</v>
      </c>
      <c r="B690" s="51">
        <v>3.2102097902097908E-10</v>
      </c>
      <c r="D690" s="50" t="s">
        <v>7</v>
      </c>
      <c r="E690" s="50" t="s">
        <v>244</v>
      </c>
      <c r="F690" s="50" t="s">
        <v>27</v>
      </c>
      <c r="G690" s="51"/>
    </row>
    <row r="691" spans="1:7" s="50" customFormat="1" ns3:dyDescent="0.2">
      <c r="A691" s="50" t="s">
        <v>213</v>
      </c>
      <c r="B691" s="51">
        <v>1.3244755244755246E-6</v>
      </c>
      <c r="D691" s="50" t="s">
        <v>7</v>
      </c>
      <c r="E691" s="50" t="s">
        <v>244</v>
      </c>
      <c r="F691" s="50" t="s">
        <v>27</v>
      </c>
      <c r="G691" s="51"/>
    </row>
    <row r="692" spans="1:7" s="50" customFormat="1" ns3:dyDescent="0.2">
      <c r="A692" s="50" t="s">
        <v>214</v>
      </c>
      <c r="B692" s="51">
        <v>4.1529370629370632E-9</v>
      </c>
      <c r="D692" s="50" t="s">
        <v>7</v>
      </c>
      <c r="E692" s="50" t="s">
        <v>244</v>
      </c>
      <c r="F692" s="50" t="s">
        <v>27</v>
      </c>
      <c r="G692" s="51"/>
    </row>
    <row r="693" spans="1:7" s="50" customFormat="1" ns3:dyDescent="0.2">
      <c r="A693" s="50" t="s">
        <v>215</v>
      </c>
      <c r="B693" s="51">
        <v>1.3968531468531471E-4</v>
      </c>
      <c r="D693" s="50" t="s">
        <v>7</v>
      </c>
      <c r="E693" s="50" t="s">
        <v>244</v>
      </c>
      <c r="F693" s="50" t="s">
        <v>27</v>
      </c>
      <c r="G693" s="51"/>
    </row>
    <row r="694" spans="1:7" s="50" customFormat="1" ns3:dyDescent="0.2">
      <c r="A694" s="50" t="s">
        <v>216</v>
      </c>
      <c r="B694" s="51">
        <v>3.4746853146853147E-6</v>
      </c>
      <c r="D694" s="50" t="s">
        <v>7</v>
      </c>
      <c r="E694" s="50" t="s">
        <v>244</v>
      </c>
      <c r="F694" s="50" t="s">
        <v>27</v>
      </c>
      <c r="G694" s="51"/>
    </row>
    <row r="695" spans="1:7" s="50" customFormat="1" ns3:dyDescent="0.2">
      <c r="A695" s="50" t="s">
        <v>217</v>
      </c>
      <c r="B695" s="51">
        <v>1.7460839160839164E-8</v>
      </c>
      <c r="D695" s="50" t="s">
        <v>7</v>
      </c>
      <c r="E695" s="50" t="s">
        <v>244</v>
      </c>
      <c r="F695" s="50" t="s">
        <v>27</v>
      </c>
      <c r="G695" s="51"/>
    </row>
    <row r="696" spans="1:7" s="50" customFormat="1" ns3:dyDescent="0.2">
      <c r="A696" s="50" t="s">
        <v>218</v>
      </c>
      <c r="B696" s="51">
        <v>1.2674125874125875E-11</v>
      </c>
      <c r="D696" s="50" t="s">
        <v>7</v>
      </c>
      <c r="E696" s="50" t="s">
        <v>244</v>
      </c>
      <c r="F696" s="50" t="s">
        <v>27</v>
      </c>
      <c r="G696" s="51"/>
    </row>
    <row r="697" spans="1:7" s="50" customFormat="1" ns3:dyDescent="0.2">
      <c r="A697" s="50" t="s">
        <v>254</v>
      </c>
      <c r="B697" s="51">
        <v>7.004195804195805E-7</v>
      </c>
      <c r="D697" s="50" t="s">
        <v>7</v>
      </c>
      <c r="E697" s="50" t="s">
        <v>244</v>
      </c>
      <c r="F697" s="50" t="s">
        <v>27</v>
      </c>
      <c r="G697" s="51"/>
    </row>
    <row r="698" spans="1:7" s="50" customFormat="1" ns3:dyDescent="0.2">
      <c r="A698" s="50" t="s">
        <v>255</v>
      </c>
      <c r="B698" s="51">
        <v>1.0546853146853148E-5</v>
      </c>
      <c r="D698" s="50" t="s">
        <v>7</v>
      </c>
      <c r="E698" s="50" t="s">
        <v>244</v>
      </c>
      <c r="F698" s="50" t="s">
        <v>27</v>
      </c>
      <c r="G698" s="51"/>
    </row>
    <row r="699" spans="1:7" s="50" customFormat="1" ns3:dyDescent="0.2">
      <c r="A699" s="50" t="s">
        <v>219</v>
      </c>
      <c r="B699" s="51">
        <v>3.6365034965034971E-9</v>
      </c>
      <c r="D699" s="50" t="s">
        <v>7</v>
      </c>
      <c r="E699" s="50" t="s">
        <v>244</v>
      </c>
      <c r="F699" s="50" t="s">
        <v>27</v>
      </c>
      <c r="G699" s="51"/>
    </row>
    <row r="700" spans="1:7" s="50" customFormat="1" ns3:dyDescent="0.2">
      <c r="A700" s="50" t="s">
        <v>239</v>
      </c>
      <c r="B700" s="51">
        <v>3.7981118881118882E-8</v>
      </c>
      <c r="D700" s="50" t="s">
        <v>7</v>
      </c>
      <c r="E700" s="50" t="s">
        <v>244</v>
      </c>
      <c r="F700" s="50" t="s">
        <v>27</v>
      </c>
      <c r="G700" s="51"/>
    </row>
    <row r="701" spans="1:7" s="50" customFormat="1" ns3:dyDescent="0.2">
      <c r="A701" s="50" t="s">
        <v>220</v>
      </c>
      <c r="B701" s="51">
        <v>7.511888111888113E-6</v>
      </c>
      <c r="D701" s="50" t="s">
        <v>7</v>
      </c>
      <c r="E701" s="50" t="s">
        <v>244</v>
      </c>
      <c r="F701" s="50" t="s">
        <v>27</v>
      </c>
      <c r="G701" s="51"/>
    </row>
    <row r="702" spans="1:7" s="50" customFormat="1" ns3:dyDescent="0.2">
      <c r="A702" s="50" t="s">
        <v>222</v>
      </c>
      <c r="B702" s="51">
        <v>9.7251748251748252E-6</v>
      </c>
      <c r="D702" s="50" t="s">
        <v>7</v>
      </c>
      <c r="E702" s="50" t="s">
        <v>244</v>
      </c>
      <c r="F702" s="50" t="s">
        <v>27</v>
      </c>
      <c r="G702" s="51"/>
    </row>
    <row r="703" spans="1:7" s="50" customFormat="1" ns3:dyDescent="0.2">
      <c r="A703" s="50" t="s">
        <v>224</v>
      </c>
      <c r="B703" s="51">
        <v>3.1858041958041962E-12</v>
      </c>
      <c r="D703" s="50" t="s">
        <v>7</v>
      </c>
      <c r="E703" s="50" t="s">
        <v>244</v>
      </c>
      <c r="F703" s="50" t="s">
        <v>27</v>
      </c>
      <c r="G703" s="51"/>
    </row>
    <row r="704" spans="1:7" s="50" customFormat="1" ns3:dyDescent="0.2">
      <c r="A704" s="50" t="s">
        <v>226</v>
      </c>
      <c r="B704" s="51">
        <v>5.8206293706293714E-8</v>
      </c>
      <c r="D704" s="50" t="s">
        <v>7</v>
      </c>
      <c r="E704" s="50" t="s">
        <v>244</v>
      </c>
      <c r="F704" s="50" t="s">
        <v>27</v>
      </c>
      <c r="G704" s="51"/>
    </row>
    <row r="705" spans="1:7" s="50" customFormat="1" ns3:dyDescent="0.2">
      <c r="A705" s="50" t="s">
        <v>227</v>
      </c>
      <c r="B705" s="51">
        <v>3.8789510489510493E-8</v>
      </c>
      <c r="D705" s="50" t="s">
        <v>7</v>
      </c>
      <c r="E705" s="50" t="s">
        <v>244</v>
      </c>
      <c r="F705" s="50" t="s">
        <v>27</v>
      </c>
      <c r="G705" s="51"/>
    </row>
    <row r="706" spans="1:7" s="50" customFormat="1" ns3:dyDescent="0.2">
      <c r="A706" s="50" t="s">
        <v>228</v>
      </c>
      <c r="B706" s="51">
        <v>9.4743286713286736E-4</v>
      </c>
      <c r="D706" s="50" t="s">
        <v>37</v>
      </c>
      <c r="E706" s="50" t="s">
        <v>244</v>
      </c>
      <c r="F706" s="50" t="s">
        <v>27</v>
      </c>
      <c r="G706" s="51"/>
    </row>
    <row r="707" spans="1:7" s="50" customFormat="1" ns3:dyDescent="0.2">
      <c r="A707" s="50" t="s">
        <v>229</v>
      </c>
      <c r="B707" s="51">
        <v>2.3809790209790214E-8</v>
      </c>
      <c r="D707" s="50" t="s">
        <v>7</v>
      </c>
      <c r="E707" s="50" t="s">
        <v>244</v>
      </c>
      <c r="F707" s="50" t="s">
        <v>27</v>
      </c>
      <c r="G707" s="51"/>
    </row>
    <row r="708" spans="1:7" s="50" customFormat="1" ns3:dyDescent="0.2">
      <c r="A708" s="50" t="s">
        <v>188</v>
      </c>
      <c r="B708" s="51">
        <v>4.706363636363637E-3</v>
      </c>
      <c r="D708" s="50" t="s">
        <v>7</v>
      </c>
      <c r="E708" s="50" t="s">
        <v>245</v>
      </c>
      <c r="F708" s="50" t="s">
        <v>27</v>
      </c>
      <c r="G708" s="51"/>
    </row>
    <row r="709" spans="1:7" s="50" customFormat="1" ns3:dyDescent="0.2">
      <c r="A709" s="50" t="s">
        <v>188</v>
      </c>
      <c r="B709" s="51">
        <v>4.5281818181818191E-7</v>
      </c>
      <c r="D709" s="50" t="s">
        <v>7</v>
      </c>
      <c r="E709" s="50" t="s">
        <v>246</v>
      </c>
      <c r="F709" s="50" t="s">
        <v>27</v>
      </c>
      <c r="G709" s="51"/>
    </row>
    <row r="710" spans="1:7" s="50" customFormat="1" ns3:dyDescent="0.2">
      <c r="A710" s="50" t="s">
        <v>190</v>
      </c>
      <c r="B710" s="51">
        <v>5.6463636363636367E-10</v>
      </c>
      <c r="D710" s="50" t="s">
        <v>7</v>
      </c>
      <c r="E710" s="50" t="s">
        <v>245</v>
      </c>
      <c r="F710" s="50" t="s">
        <v>27</v>
      </c>
      <c r="G710" s="51"/>
    </row>
    <row r="711" spans="1:7" s="50" customFormat="1" ns3:dyDescent="0.2">
      <c r="A711" s="50" t="s">
        <v>190</v>
      </c>
      <c r="B711" s="51">
        <v>3.0760139860139866E-10</v>
      </c>
      <c r="D711" s="50" t="s">
        <v>7</v>
      </c>
      <c r="E711" s="50" t="s">
        <v>246</v>
      </c>
      <c r="F711" s="50" t="s">
        <v>27</v>
      </c>
      <c r="G711" s="51"/>
    </row>
    <row r="712" spans="1:7" s="50" customFormat="1" ns3:dyDescent="0.2">
      <c r="A712" s="50" t="s">
        <v>191</v>
      </c>
      <c r="B712" s="51">
        <v>7.437062937062938E-7</v>
      </c>
      <c r="D712" s="50" t="s">
        <v>7</v>
      </c>
      <c r="E712" s="50" t="s">
        <v>245</v>
      </c>
      <c r="F712" s="50" t="s">
        <v>27</v>
      </c>
      <c r="G712" s="51"/>
    </row>
    <row r="713" spans="1:7" s="50" customFormat="1" ns3:dyDescent="0.2">
      <c r="A713" s="50" t="s">
        <v>191</v>
      </c>
      <c r="B713" s="51">
        <v>4.8996503496503498E-7</v>
      </c>
      <c r="D713" s="50" t="s">
        <v>7</v>
      </c>
      <c r="E713" s="50" t="s">
        <v>246</v>
      </c>
      <c r="F713" s="50" t="s">
        <v>27</v>
      </c>
      <c r="G713" s="51"/>
    </row>
    <row r="714" spans="1:7" s="50" customFormat="1" ns3:dyDescent="0.2">
      <c r="A714" s="50" t="s">
        <v>230</v>
      </c>
      <c r="B714" s="51">
        <v>2.4010489510489514E-4</v>
      </c>
      <c r="D714" s="50" t="s">
        <v>7</v>
      </c>
      <c r="E714" s="50" t="s">
        <v>245</v>
      </c>
      <c r="F714" s="50" t="s">
        <v>27</v>
      </c>
      <c r="G714" s="51"/>
    </row>
    <row r="715" spans="1:7" s="50" customFormat="1" ns3:dyDescent="0.2">
      <c r="A715" s="50" t="s">
        <v>230</v>
      </c>
      <c r="B715" s="51">
        <v>7.3692307692307694E-5</v>
      </c>
      <c r="D715" s="50" t="s">
        <v>7</v>
      </c>
      <c r="E715" s="50" t="s">
        <v>246</v>
      </c>
      <c r="F715" s="50" t="s">
        <v>27</v>
      </c>
      <c r="G715" s="51"/>
    </row>
    <row r="716" spans="1:7" s="50" customFormat="1" ns3:dyDescent="0.2">
      <c r="A716" s="50" t="s">
        <v>256</v>
      </c>
      <c r="B716" s="51">
        <v>5.1578321678321687E-6</v>
      </c>
      <c r="D716" s="50" t="s">
        <v>7</v>
      </c>
      <c r="E716" s="50" t="s">
        <v>245</v>
      </c>
      <c r="F716" s="50" t="s">
        <v>27</v>
      </c>
      <c r="G716" s="51"/>
    </row>
    <row r="717" spans="1:7" s="50" customFormat="1" ns3:dyDescent="0.2">
      <c r="A717" s="50" t="s">
        <v>256</v>
      </c>
      <c r="B717" s="51">
        <v>6.4692307692307698E-8</v>
      </c>
      <c r="D717" s="50" t="s">
        <v>7</v>
      </c>
      <c r="E717" s="50" t="s">
        <v>246</v>
      </c>
      <c r="F717" s="50" t="s">
        <v>27</v>
      </c>
      <c r="G717" s="51"/>
    </row>
    <row r="718" spans="1:7" s="50" customFormat="1" ns3:dyDescent="0.2">
      <c r="A718" s="50" t="s">
        <v>196</v>
      </c>
      <c r="B718" s="51">
        <v>1.8972027972027975E-7</v>
      </c>
      <c r="D718" s="50" t="s">
        <v>7</v>
      </c>
      <c r="E718" s="50" t="s">
        <v>245</v>
      </c>
      <c r="F718" s="50" t="s">
        <v>27</v>
      </c>
      <c r="G718" s="51"/>
    </row>
    <row r="719" spans="1:7" s="50" customFormat="1" ns3:dyDescent="0.2">
      <c r="A719" s="50" t="s">
        <v>196</v>
      </c>
      <c r="B719" s="51">
        <v>3.3958741258741262E-6</v>
      </c>
      <c r="D719" s="50" t="s">
        <v>7</v>
      </c>
      <c r="E719" s="50" t="s">
        <v>246</v>
      </c>
      <c r="F719" s="50" t="s">
        <v>27</v>
      </c>
      <c r="G719" s="51"/>
    </row>
    <row r="720" spans="1:7" s="50" customFormat="1" ns3:dyDescent="0.2">
      <c r="A720" s="50" t="s">
        <v>232</v>
      </c>
      <c r="B720" s="51">
        <v>7.3405594405594415E-4</v>
      </c>
      <c r="D720" s="50" t="s">
        <v>7</v>
      </c>
      <c r="E720" s="50" t="s">
        <v>245</v>
      </c>
      <c r="F720" s="50" t="s">
        <v>27</v>
      </c>
      <c r="G720" s="51"/>
    </row>
    <row r="721" spans="1:7" s="50" customFormat="1" ns3:dyDescent="0.2">
      <c r="A721" s="50" t="s">
        <v>232</v>
      </c>
      <c r="B721" s="51">
        <v>7.5300699300699311E-5</v>
      </c>
      <c r="D721" s="50" t="s">
        <v>7</v>
      </c>
      <c r="E721" s="50" t="s">
        <v>246</v>
      </c>
      <c r="F721" s="50" t="s">
        <v>27</v>
      </c>
      <c r="G721" s="51"/>
    </row>
    <row r="722" spans="1:7" s="50" customFormat="1" ns3:dyDescent="0.2">
      <c r="A722" s="50" t="s">
        <v>197</v>
      </c>
      <c r="B722" s="51">
        <v>1.3500000000000002E-8</v>
      </c>
      <c r="D722" s="50" t="s">
        <v>7</v>
      </c>
      <c r="E722" s="50" t="s">
        <v>245</v>
      </c>
      <c r="F722" s="50" t="s">
        <v>27</v>
      </c>
      <c r="G722" s="51"/>
    </row>
    <row r="723" spans="1:7" s="50" customFormat="1" ns3:dyDescent="0.2">
      <c r="A723" s="50" t="s">
        <v>197</v>
      </c>
      <c r="B723" s="51">
        <v>1.4969230769230771E-11</v>
      </c>
      <c r="D723" s="50" t="s">
        <v>7</v>
      </c>
      <c r="E723" s="50" t="s">
        <v>246</v>
      </c>
      <c r="F723" s="50" t="s">
        <v>27</v>
      </c>
      <c r="G723" s="51"/>
    </row>
    <row r="724" spans="1:7" s="50" customFormat="1" ns3:dyDescent="0.2">
      <c r="A724" s="50" t="s">
        <v>233</v>
      </c>
      <c r="B724" s="51">
        <v>1.1287412587412587E-2</v>
      </c>
      <c r="D724" s="50" t="s">
        <v>7</v>
      </c>
      <c r="E724" s="50" t="s">
        <v>245</v>
      </c>
      <c r="F724" s="50" t="s">
        <v>27</v>
      </c>
      <c r="G724" s="51"/>
    </row>
    <row r="725" spans="1:7" s="50" customFormat="1" ns3:dyDescent="0.2">
      <c r="A725" s="50" t="s">
        <v>233</v>
      </c>
      <c r="B725" s="51">
        <v>2.3899300699300701E-4</v>
      </c>
      <c r="D725" s="50" t="s">
        <v>7</v>
      </c>
      <c r="E725" s="50" t="s">
        <v>246</v>
      </c>
      <c r="F725" s="50" t="s">
        <v>27</v>
      </c>
      <c r="G725" s="51"/>
    </row>
    <row r="726" spans="1:7" s="50" customFormat="1" ns3:dyDescent="0.2">
      <c r="A726" s="50" t="s">
        <v>234</v>
      </c>
      <c r="B726" s="51">
        <v>3.0732167832167839E-4</v>
      </c>
      <c r="D726" s="50" t="s">
        <v>7</v>
      </c>
      <c r="E726" s="50" t="s">
        <v>245</v>
      </c>
      <c r="F726" s="50" t="s">
        <v>27</v>
      </c>
      <c r="G726" s="51"/>
    </row>
    <row r="727" spans="1:7" s="50" customFormat="1" ns3:dyDescent="0.2">
      <c r="A727" s="50" t="s">
        <v>234</v>
      </c>
      <c r="B727" s="51">
        <v>2.0723076923076927E-3</v>
      </c>
      <c r="D727" s="50" t="s">
        <v>7</v>
      </c>
      <c r="E727" s="50" t="s">
        <v>246</v>
      </c>
      <c r="F727" s="50" t="s">
        <v>27</v>
      </c>
      <c r="G727" s="51"/>
    </row>
    <row r="728" spans="1:7" s="50" customFormat="1" ns3:dyDescent="0.2">
      <c r="A728" s="50" t="s">
        <v>199</v>
      </c>
      <c r="B728" s="51">
        <v>6.3348951048951054E-10</v>
      </c>
      <c r="D728" s="50" t="s">
        <v>7</v>
      </c>
      <c r="E728" s="50" t="s">
        <v>246</v>
      </c>
      <c r="F728" s="50" t="s">
        <v>27</v>
      </c>
      <c r="G728" s="51"/>
    </row>
    <row r="729" spans="1:7" s="50" customFormat="1" ns3:dyDescent="0.2">
      <c r="A729" s="50" t="s">
        <v>235</v>
      </c>
      <c r="B729" s="51">
        <v>2.7811188811188814E-7</v>
      </c>
      <c r="D729" s="50" t="s">
        <v>7</v>
      </c>
      <c r="E729" s="50" t="s">
        <v>245</v>
      </c>
      <c r="F729" s="50" t="s">
        <v>27</v>
      </c>
      <c r="G729" s="51"/>
    </row>
    <row r="730" spans="1:7" s="50" customFormat="1" ns3:dyDescent="0.2">
      <c r="A730" s="50" t="s">
        <v>235</v>
      </c>
      <c r="B730" s="51">
        <v>8.0622377622377625E-8</v>
      </c>
      <c r="D730" s="50" t="s">
        <v>7</v>
      </c>
      <c r="E730" s="50" t="s">
        <v>246</v>
      </c>
      <c r="F730" s="50" t="s">
        <v>27</v>
      </c>
      <c r="G730" s="51"/>
    </row>
    <row r="731" spans="1:7" s="50" customFormat="1" ns3:dyDescent="0.2">
      <c r="A731" s="50" t="s">
        <v>200</v>
      </c>
      <c r="B731" s="51">
        <v>2.6705594405594408E-6</v>
      </c>
      <c r="D731" s="50" t="s">
        <v>7</v>
      </c>
      <c r="E731" s="50" t="s">
        <v>245</v>
      </c>
      <c r="F731" s="50" t="s">
        <v>27</v>
      </c>
      <c r="G731" s="51"/>
    </row>
    <row r="732" spans="1:7" s="50" customFormat="1" ns3:dyDescent="0.2">
      <c r="A732" s="50" t="s">
        <v>200</v>
      </c>
      <c r="B732" s="51">
        <v>5.068111888111889E-10</v>
      </c>
      <c r="D732" s="50" t="s">
        <v>7</v>
      </c>
      <c r="E732" s="50" t="s">
        <v>246</v>
      </c>
      <c r="F732" s="50" t="s">
        <v>27</v>
      </c>
      <c r="G732" s="51"/>
    </row>
    <row r="733" spans="1:7" s="50" customFormat="1" ns3:dyDescent="0.2">
      <c r="A733" s="50" t="s">
        <v>201</v>
      </c>
      <c r="B733" s="51">
        <v>1.0344755244755247E-5</v>
      </c>
      <c r="D733" s="50" t="s">
        <v>7</v>
      </c>
      <c r="E733" s="50" t="s">
        <v>245</v>
      </c>
      <c r="F733" s="50" t="s">
        <v>27</v>
      </c>
      <c r="G733" s="51"/>
    </row>
    <row r="734" spans="1:7" s="50" customFormat="1" ns3:dyDescent="0.2">
      <c r="A734" s="50" t="s">
        <v>201</v>
      </c>
      <c r="B734" s="51">
        <v>9.5223776223776237E-10</v>
      </c>
      <c r="D734" s="50" t="s">
        <v>7</v>
      </c>
      <c r="E734" s="50" t="s">
        <v>246</v>
      </c>
      <c r="F734" s="50" t="s">
        <v>27</v>
      </c>
      <c r="G734" s="51"/>
    </row>
    <row r="735" spans="1:7" s="50" customFormat="1" ns3:dyDescent="0.2">
      <c r="A735" s="50" t="s">
        <v>236</v>
      </c>
      <c r="B735" s="51">
        <v>2.9046153846153848E-4</v>
      </c>
      <c r="D735" s="50" t="s">
        <v>7</v>
      </c>
      <c r="E735" s="50" t="s">
        <v>245</v>
      </c>
      <c r="F735" s="50" t="s">
        <v>27</v>
      </c>
      <c r="G735" s="51"/>
    </row>
    <row r="736" spans="1:7" s="50" customFormat="1" ns3:dyDescent="0.2">
      <c r="A736" s="50" t="s">
        <v>236</v>
      </c>
      <c r="B736" s="51">
        <v>3.2845454545454547E-5</v>
      </c>
      <c r="D736" s="50" t="s">
        <v>7</v>
      </c>
      <c r="E736" s="50" t="s">
        <v>246</v>
      </c>
      <c r="F736" s="50" t="s">
        <v>27</v>
      </c>
      <c r="G736" s="51"/>
    </row>
    <row r="737" spans="1:7" s="50" customFormat="1" ns3:dyDescent="0.2">
      <c r="A737" s="50" t="s">
        <v>237</v>
      </c>
      <c r="B737" s="51">
        <v>8.1384615384615396E-5</v>
      </c>
      <c r="D737" s="50" t="s">
        <v>7</v>
      </c>
      <c r="E737" s="50" t="s">
        <v>245</v>
      </c>
      <c r="F737" s="50" t="s">
        <v>27</v>
      </c>
      <c r="G737" s="51"/>
    </row>
    <row r="738" spans="1:7" s="50" customFormat="1" ns3:dyDescent="0.2">
      <c r="A738" s="50" t="s">
        <v>237</v>
      </c>
      <c r="B738" s="51">
        <v>3.5504195804195805E-5</v>
      </c>
      <c r="D738" s="50" t="s">
        <v>7</v>
      </c>
      <c r="E738" s="50" t="s">
        <v>246</v>
      </c>
      <c r="F738" s="50" t="s">
        <v>27</v>
      </c>
      <c r="G738" s="51"/>
    </row>
    <row r="739" spans="1:7" s="50" customFormat="1" ns3:dyDescent="0.2">
      <c r="A739" s="50" t="s">
        <v>205</v>
      </c>
      <c r="B739" s="51">
        <v>1.0427272727272729</v>
      </c>
      <c r="D739" s="50" t="s">
        <v>17</v>
      </c>
      <c r="E739" s="50" t="s">
        <v>246</v>
      </c>
      <c r="F739" s="50" t="s">
        <v>27</v>
      </c>
      <c r="G739" s="51"/>
    </row>
    <row r="740" spans="1:7" s="50" customFormat="1" ns3:dyDescent="0.2">
      <c r="A740" s="50" t="s">
        <v>257</v>
      </c>
      <c r="B740" s="51">
        <v>6.2913986013986024E-16</v>
      </c>
      <c r="D740" s="50" t="s">
        <v>7</v>
      </c>
      <c r="E740" s="50" t="s">
        <v>245</v>
      </c>
      <c r="F740" s="50" t="s">
        <v>27</v>
      </c>
      <c r="G740" s="51"/>
    </row>
    <row r="741" spans="1:7" s="50" customFormat="1" ns3:dyDescent="0.2">
      <c r="A741" s="50" t="s">
        <v>257</v>
      </c>
      <c r="B741" s="51">
        <v>3.2719580419580427E-8</v>
      </c>
      <c r="D741" s="50" t="s">
        <v>7</v>
      </c>
      <c r="E741" s="50" t="s">
        <v>246</v>
      </c>
      <c r="F741" s="50" t="s">
        <v>27</v>
      </c>
      <c r="G741" s="51"/>
    </row>
    <row r="742" spans="1:7" s="50" customFormat="1" ns3:dyDescent="0.2">
      <c r="A742" s="50" t="s">
        <v>208</v>
      </c>
      <c r="B742" s="51">
        <v>1.8768531468531472E-4</v>
      </c>
      <c r="D742" s="50" t="s">
        <v>7</v>
      </c>
      <c r="E742" s="50" t="s">
        <v>245</v>
      </c>
      <c r="F742" s="50" t="s">
        <v>27</v>
      </c>
      <c r="G742" s="51"/>
    </row>
    <row r="743" spans="1:7" s="50" customFormat="1" ns3:dyDescent="0.2">
      <c r="A743" s="50" t="s">
        <v>208</v>
      </c>
      <c r="B743" s="51">
        <v>7.7041958041958061E-9</v>
      </c>
      <c r="D743" s="50" t="s">
        <v>7</v>
      </c>
      <c r="E743" s="50" t="s">
        <v>246</v>
      </c>
      <c r="F743" s="50" t="s">
        <v>27</v>
      </c>
      <c r="G743" s="51"/>
    </row>
    <row r="744" spans="1:7" s="50" customFormat="1" ns3:dyDescent="0.2">
      <c r="A744" s="50" t="s">
        <v>209</v>
      </c>
      <c r="B744" s="51">
        <v>7.9706293706293717E-6</v>
      </c>
      <c r="D744" s="50" t="s">
        <v>7</v>
      </c>
      <c r="E744" s="50" t="s">
        <v>245</v>
      </c>
      <c r="F744" s="50" t="s">
        <v>27</v>
      </c>
      <c r="G744" s="51"/>
    </row>
    <row r="745" spans="1:7" s="50" customFormat="1" ns3:dyDescent="0.2">
      <c r="A745" s="50" t="s">
        <v>209</v>
      </c>
      <c r="B745" s="51">
        <v>7.713286713286714E-10</v>
      </c>
      <c r="D745" s="50" t="s">
        <v>7</v>
      </c>
      <c r="E745" s="50" t="s">
        <v>246</v>
      </c>
      <c r="F745" s="50" t="s">
        <v>27</v>
      </c>
      <c r="G745" s="51"/>
    </row>
    <row r="746" spans="1:7" s="50" customFormat="1" ns3:dyDescent="0.2">
      <c r="A746" s="50" t="s">
        <v>251</v>
      </c>
      <c r="B746" s="51">
        <v>1.6019580419580422E-3</v>
      </c>
      <c r="D746" s="50" t="s">
        <v>7</v>
      </c>
      <c r="E746" s="50" t="s">
        <v>245</v>
      </c>
      <c r="F746" s="50" t="s">
        <v>27</v>
      </c>
      <c r="G746" s="51"/>
    </row>
    <row r="747" spans="1:7" s="50" customFormat="1" ns3:dyDescent="0.2">
      <c r="A747" s="50" t="s">
        <v>251</v>
      </c>
      <c r="B747" s="51">
        <v>1.3023076923076926E-5</v>
      </c>
      <c r="D747" s="50" t="s">
        <v>7</v>
      </c>
      <c r="E747" s="50" t="s">
        <v>246</v>
      </c>
      <c r="F747" s="50" t="s">
        <v>27</v>
      </c>
      <c r="G747" s="51"/>
    </row>
    <row r="748" spans="1:7" s="50" customFormat="1" ns3:dyDescent="0.2">
      <c r="A748" s="50" t="s">
        <v>210</v>
      </c>
      <c r="B748" s="51">
        <v>2.0843356643356646E-6</v>
      </c>
      <c r="D748" s="50" t="s">
        <v>7</v>
      </c>
      <c r="E748" s="50" t="s">
        <v>245</v>
      </c>
      <c r="F748" s="50" t="s">
        <v>27</v>
      </c>
      <c r="G748" s="51"/>
    </row>
    <row r="749" spans="1:7" s="50" customFormat="1" ns3:dyDescent="0.2">
      <c r="A749" s="50" t="s">
        <v>210</v>
      </c>
      <c r="B749" s="51">
        <v>3.2862237762237769E-10</v>
      </c>
      <c r="D749" s="50" t="s">
        <v>7</v>
      </c>
      <c r="E749" s="50" t="s">
        <v>246</v>
      </c>
      <c r="F749" s="50" t="s">
        <v>27</v>
      </c>
      <c r="G749" s="51"/>
    </row>
    <row r="750" spans="1:7" s="50" customFormat="1" ns3:dyDescent="0.2">
      <c r="A750" s="50" t="s">
        <v>211</v>
      </c>
      <c r="B750" s="51">
        <v>8.9706293706293715E-9</v>
      </c>
      <c r="D750" s="50" t="s">
        <v>7</v>
      </c>
      <c r="E750" s="50" t="s">
        <v>245</v>
      </c>
      <c r="F750" s="50" t="s">
        <v>27</v>
      </c>
      <c r="G750" s="51"/>
    </row>
    <row r="751" spans="1:7" s="50" customFormat="1" ns3:dyDescent="0.2">
      <c r="A751" s="50" t="s">
        <v>211</v>
      </c>
      <c r="B751" s="51">
        <v>2.2719580419580423E-10</v>
      </c>
      <c r="D751" s="50" t="s">
        <v>7</v>
      </c>
      <c r="E751" s="50" t="s">
        <v>246</v>
      </c>
      <c r="F751" s="50" t="s">
        <v>27</v>
      </c>
      <c r="G751" s="51"/>
    </row>
    <row r="752" spans="1:7" s="50" customFormat="1" ns3:dyDescent="0.2">
      <c r="A752" s="50" t="s">
        <v>253</v>
      </c>
      <c r="B752" s="51">
        <v>1.881048951048951E-7</v>
      </c>
      <c r="D752" s="50" t="s">
        <v>7</v>
      </c>
      <c r="E752" s="50" t="s">
        <v>245</v>
      </c>
      <c r="F752" s="50" t="s">
        <v>27</v>
      </c>
      <c r="G752" s="51"/>
    </row>
    <row r="753" spans="1:7" s="50" customFormat="1" ns3:dyDescent="0.2">
      <c r="A753" s="50" t="s">
        <v>253</v>
      </c>
      <c r="B753" s="51">
        <v>4.0596503496503496E-8</v>
      </c>
      <c r="D753" s="50" t="s">
        <v>7</v>
      </c>
      <c r="E753" s="50" t="s">
        <v>246</v>
      </c>
      <c r="F753" s="50" t="s">
        <v>27</v>
      </c>
      <c r="G753" s="51"/>
    </row>
    <row r="754" spans="1:7" s="50" customFormat="1" ns3:dyDescent="0.2">
      <c r="A754" s="50" t="s">
        <v>214</v>
      </c>
      <c r="B754" s="51">
        <v>3.2625174825174831E-6</v>
      </c>
      <c r="D754" s="50" t="s">
        <v>7</v>
      </c>
      <c r="E754" s="50" t="s">
        <v>245</v>
      </c>
      <c r="F754" s="50" t="s">
        <v>27</v>
      </c>
      <c r="G754" s="51"/>
    </row>
    <row r="755" spans="1:7" s="50" customFormat="1" ns3:dyDescent="0.2">
      <c r="A755" s="50" t="s">
        <v>214</v>
      </c>
      <c r="B755" s="51">
        <v>2.2388811188811192E-9</v>
      </c>
      <c r="D755" s="50" t="s">
        <v>7</v>
      </c>
      <c r="E755" s="50" t="s">
        <v>246</v>
      </c>
      <c r="F755" s="50" t="s">
        <v>27</v>
      </c>
      <c r="G755" s="51"/>
    </row>
    <row r="756" spans="1:7" s="50" customFormat="1" ns3:dyDescent="0.2">
      <c r="A756" s="50" t="s">
        <v>238</v>
      </c>
      <c r="B756" s="51">
        <v>8.7503496503496512E-5</v>
      </c>
      <c r="D756" s="50" t="s">
        <v>7</v>
      </c>
      <c r="E756" s="50" t="s">
        <v>245</v>
      </c>
      <c r="F756" s="50" t="s">
        <v>27</v>
      </c>
      <c r="G756" s="51"/>
    </row>
    <row r="757" spans="1:7" s="50" customFormat="1" ns3:dyDescent="0.2">
      <c r="A757" s="50" t="s">
        <v>238</v>
      </c>
      <c r="B757" s="51">
        <v>3.1345454545454552E-5</v>
      </c>
      <c r="D757" s="50" t="s">
        <v>7</v>
      </c>
      <c r="E757" s="50" t="s">
        <v>246</v>
      </c>
      <c r="F757" s="50" t="s">
        <v>27</v>
      </c>
      <c r="G757" s="51"/>
    </row>
    <row r="758" spans="1:7" s="50" customFormat="1" ns3:dyDescent="0.2">
      <c r="A758" s="50" t="s">
        <v>258</v>
      </c>
      <c r="B758" s="51">
        <v>6.198671328671329E-5</v>
      </c>
      <c r="D758" s="50" t="s">
        <v>7</v>
      </c>
      <c r="E758" s="50" t="s">
        <v>245</v>
      </c>
      <c r="F758" s="50" t="s">
        <v>27</v>
      </c>
      <c r="G758" s="51"/>
    </row>
    <row r="759" spans="1:7" s="50" customFormat="1" ns3:dyDescent="0.2">
      <c r="A759" s="50" t="s">
        <v>258</v>
      </c>
      <c r="B759" s="51">
        <v>1.0262237762237762E-6</v>
      </c>
      <c r="D759" s="50" t="s">
        <v>7</v>
      </c>
      <c r="E759" s="50" t="s">
        <v>246</v>
      </c>
      <c r="F759" s="50" t="s">
        <v>27</v>
      </c>
      <c r="G759" s="51"/>
    </row>
    <row r="760" spans="1:7" s="50" customFormat="1" ns3:dyDescent="0.2">
      <c r="A760" s="50" t="s">
        <v>255</v>
      </c>
      <c r="B760" s="51">
        <v>1.5318181818181821E-3</v>
      </c>
      <c r="D760" s="50" t="s">
        <v>7</v>
      </c>
      <c r="E760" s="50" t="s">
        <v>245</v>
      </c>
      <c r="F760" s="50" t="s">
        <v>27</v>
      </c>
      <c r="G760" s="51"/>
    </row>
    <row r="761" spans="1:7" s="50" customFormat="1" ns3:dyDescent="0.2">
      <c r="A761" s="50" t="s">
        <v>255</v>
      </c>
      <c r="B761" s="51">
        <v>5.7888811188811201E-4</v>
      </c>
      <c r="D761" s="50" t="s">
        <v>7</v>
      </c>
      <c r="E761" s="50" t="s">
        <v>246</v>
      </c>
      <c r="F761" s="50" t="s">
        <v>27</v>
      </c>
      <c r="G761" s="51"/>
    </row>
    <row r="762" spans="1:7" s="50" customFormat="1" ns3:dyDescent="0.2">
      <c r="A762" s="50" t="s">
        <v>219</v>
      </c>
      <c r="B762" s="51">
        <v>2.3391608391608392E-7</v>
      </c>
      <c r="D762" s="50" t="s">
        <v>7</v>
      </c>
      <c r="E762" s="50" t="s">
        <v>245</v>
      </c>
      <c r="F762" s="50" t="s">
        <v>27</v>
      </c>
      <c r="G762" s="51"/>
    </row>
    <row r="763" spans="1:7" s="50" customFormat="1" ns3:dyDescent="0.2">
      <c r="A763" s="50" t="s">
        <v>219</v>
      </c>
      <c r="B763" s="51">
        <v>6.0732867132867136E-8</v>
      </c>
      <c r="D763" s="50" t="s">
        <v>7</v>
      </c>
      <c r="E763" s="50" t="s">
        <v>246</v>
      </c>
      <c r="F763" s="50" t="s">
        <v>27</v>
      </c>
      <c r="G763" s="51"/>
    </row>
    <row r="764" spans="1:7" s="50" customFormat="1" ns3:dyDescent="0.2">
      <c r="A764" s="50" t="s">
        <v>239</v>
      </c>
      <c r="B764" s="51">
        <v>1.800699300699301E-3</v>
      </c>
      <c r="D764" s="50" t="s">
        <v>7</v>
      </c>
      <c r="E764" s="50" t="s">
        <v>245</v>
      </c>
      <c r="F764" s="50" t="s">
        <v>27</v>
      </c>
      <c r="G764" s="51"/>
    </row>
    <row r="765" spans="1:7" s="50" customFormat="1" ns3:dyDescent="0.2">
      <c r="A765" s="50" t="s">
        <v>239</v>
      </c>
      <c r="B765" s="51">
        <v>5.7788811188811194E-6</v>
      </c>
      <c r="D765" s="50" t="s">
        <v>7</v>
      </c>
      <c r="E765" s="50" t="s">
        <v>246</v>
      </c>
      <c r="F765" s="50" t="s">
        <v>27</v>
      </c>
      <c r="G765" s="51"/>
    </row>
    <row r="766" spans="1:7" s="50" customFormat="1" ns3:dyDescent="0.2">
      <c r="A766" s="50" t="s">
        <v>240</v>
      </c>
      <c r="B766" s="51">
        <v>5.9879720279720284E-4</v>
      </c>
      <c r="D766" s="50" t="s">
        <v>7</v>
      </c>
      <c r="E766" s="50" t="s">
        <v>245</v>
      </c>
      <c r="F766" s="50" t="s">
        <v>27</v>
      </c>
      <c r="G766" s="51"/>
    </row>
    <row r="767" spans="1:7" s="50" customFormat="1" ns3:dyDescent="0.2">
      <c r="A767" s="50" t="s">
        <v>240</v>
      </c>
      <c r="B767" s="51">
        <v>3.0109790209790214E-4</v>
      </c>
      <c r="D767" s="50" t="s">
        <v>7</v>
      </c>
      <c r="E767" s="50" t="s">
        <v>246</v>
      </c>
      <c r="F767" s="50" t="s">
        <v>27</v>
      </c>
      <c r="G767" s="51"/>
    </row>
    <row r="768" spans="1:7" s="50" customFormat="1" ns3:dyDescent="0.2">
      <c r="A768" s="50" t="s">
        <v>241</v>
      </c>
      <c r="B768" s="51">
        <v>2.1864335664335669E-3</v>
      </c>
      <c r="D768" s="50" t="s">
        <v>7</v>
      </c>
      <c r="E768" s="50" t="s">
        <v>245</v>
      </c>
      <c r="F768" s="50" t="s">
        <v>27</v>
      </c>
      <c r="G768" s="51"/>
    </row>
    <row r="769" spans="1:7" s="50" customFormat="1" ns3:dyDescent="0.2">
      <c r="A769" s="50" t="s">
        <v>241</v>
      </c>
      <c r="B769" s="51">
        <v>3.7369230769230774E-4</v>
      </c>
      <c r="D769" s="50" t="s">
        <v>7</v>
      </c>
      <c r="E769" s="50" t="s">
        <v>246</v>
      </c>
      <c r="F769" s="50" t="s">
        <v>27</v>
      </c>
      <c r="G769" s="51"/>
    </row>
    <row r="770" spans="1:7" s="50" customFormat="1" ns3:dyDescent="0.2">
      <c r="A770" s="50" t="s">
        <v>242</v>
      </c>
      <c r="B770" s="51">
        <v>2.9046153846153848E-4</v>
      </c>
      <c r="D770" s="50" t="s">
        <v>7</v>
      </c>
      <c r="E770" s="50" t="s">
        <v>245</v>
      </c>
      <c r="F770" s="50" t="s">
        <v>27</v>
      </c>
      <c r="G770" s="51"/>
    </row>
    <row r="771" spans="1:7" s="50" customFormat="1" ns3:dyDescent="0.2">
      <c r="A771" s="50" t="s">
        <v>242</v>
      </c>
      <c r="B771" s="51">
        <v>3.2845454545454547E-5</v>
      </c>
      <c r="D771" s="50" t="s">
        <v>7</v>
      </c>
      <c r="E771" s="50" t="s">
        <v>246</v>
      </c>
      <c r="F771" s="50" t="s">
        <v>27</v>
      </c>
      <c r="G771" s="51"/>
    </row>
    <row r="772" spans="1:7" s="50" customFormat="1" ns3:dyDescent="0.2">
      <c r="A772" s="50" t="s">
        <v>223</v>
      </c>
      <c r="B772" s="51">
        <v>6.9021678321678334E-10</v>
      </c>
      <c r="D772" s="50" t="s">
        <v>7</v>
      </c>
      <c r="E772" s="50" t="s">
        <v>245</v>
      </c>
      <c r="F772" s="50" t="s">
        <v>27</v>
      </c>
      <c r="G772" s="51"/>
    </row>
    <row r="773" spans="1:7" s="50" customFormat="1" ns3:dyDescent="0.2">
      <c r="A773" s="50" t="s">
        <v>223</v>
      </c>
      <c r="B773" s="51">
        <v>1.1523076923076923E-12</v>
      </c>
      <c r="D773" s="50" t="s">
        <v>7</v>
      </c>
      <c r="E773" s="50" t="s">
        <v>246</v>
      </c>
      <c r="F773" s="50" t="s">
        <v>27</v>
      </c>
      <c r="G773" s="51"/>
    </row>
    <row r="774" spans="1:7" s="50" customFormat="1" ns3:dyDescent="0.2">
      <c r="A774" s="50" t="s">
        <v>224</v>
      </c>
      <c r="B774" s="51">
        <v>3.2370629370629375E-6</v>
      </c>
      <c r="D774" s="50" t="s">
        <v>7</v>
      </c>
      <c r="E774" s="50" t="s">
        <v>245</v>
      </c>
      <c r="F774" s="50" t="s">
        <v>27</v>
      </c>
      <c r="G774" s="51"/>
    </row>
    <row r="775" spans="1:7" s="50" customFormat="1" ns3:dyDescent="0.2">
      <c r="A775" s="50" t="s">
        <v>224</v>
      </c>
      <c r="B775" s="51">
        <v>4.4090209790209792E-9</v>
      </c>
      <c r="D775" s="50" t="s">
        <v>7</v>
      </c>
      <c r="E775" s="50" t="s">
        <v>246</v>
      </c>
      <c r="F775" s="50" t="s">
        <v>27</v>
      </c>
      <c r="G775" s="51"/>
    </row>
    <row r="776" spans="1:7" s="50" customFormat="1" ns3:dyDescent="0.2">
      <c r="A776" s="50" t="s">
        <v>227</v>
      </c>
      <c r="B776" s="51">
        <v>7.1440559440559459E-7</v>
      </c>
      <c r="D776" s="50" t="s">
        <v>7</v>
      </c>
      <c r="E776" s="50" t="s">
        <v>245</v>
      </c>
      <c r="F776" s="50" t="s">
        <v>27</v>
      </c>
      <c r="G776" s="51"/>
    </row>
    <row r="777" spans="1:7" s="50" customFormat="1" ns3:dyDescent="0.2">
      <c r="A777" s="50" t="s">
        <v>227</v>
      </c>
      <c r="B777" s="51">
        <v>2.6863636363636366E-9</v>
      </c>
      <c r="D777" s="50" t="s">
        <v>7</v>
      </c>
      <c r="E777" s="50" t="s">
        <v>246</v>
      </c>
      <c r="F777" s="50" t="s">
        <v>27</v>
      </c>
      <c r="G777" s="51"/>
    </row>
    <row r="778" spans="1:7" s="50" customFormat="1" ns3:dyDescent="0.2">
      <c r="A778" s="50" t="s">
        <v>228</v>
      </c>
      <c r="B778" s="51">
        <v>2.0299720279720281E-4</v>
      </c>
      <c r="D778" s="50" t="s">
        <v>37</v>
      </c>
      <c r="E778" s="50" t="s">
        <v>246</v>
      </c>
      <c r="F778" s="50" t="s">
        <v>27</v>
      </c>
      <c r="G778" s="51"/>
    </row>
    <row r="779" spans="1:7" s="50" customFormat="1" ns3:dyDescent="0.2">
      <c r="A779" s="50" t="s">
        <v>229</v>
      </c>
      <c r="B779" s="51">
        <v>1.5952447552447555E-5</v>
      </c>
      <c r="D779" s="50" t="s">
        <v>7</v>
      </c>
      <c r="E779" s="50" t="s">
        <v>245</v>
      </c>
      <c r="F779" s="50" t="s">
        <v>27</v>
      </c>
      <c r="G779" s="51"/>
    </row>
    <row r="780" spans="1:7" s="50" customFormat="1" ns3:dyDescent="0.2">
      <c r="A780" s="50" t="s">
        <v>229</v>
      </c>
      <c r="B780" s="51">
        <v>2.1733566433566435E-9</v>
      </c>
      <c r="D780" s="50" t="s">
        <v>7</v>
      </c>
      <c r="E780" s="50" t="s">
        <v>246</v>
      </c>
      <c r="F780" s="50" t="s">
        <v>27</v>
      </c>
      <c r="G780" s="51"/>
    </row>
    <row r="781" spans="1:7" s="50" customFormat="1" ns3:dyDescent="0.2">
      <c r="A781" s="50" t="s">
        <v>243</v>
      </c>
      <c r="B781" s="51">
        <v>0.33606993006993013</v>
      </c>
      <c r="D781" s="50" t="s">
        <v>7</v>
      </c>
      <c r="E781" s="50" t="s">
        <v>111</v>
      </c>
      <c r="F781" s="50" t="s">
        <v>27</v>
      </c>
      <c r="G781" s="51"/>
    </row>
    <row r="782" spans="1:7" s="50" customFormat="1" ns3:dyDescent="0.2">
      <c r="A782" s="50" t="s">
        <v>35</v>
      </c>
      <c r="B782" s="51">
        <f>(1/1.01)*0.71*6.09</f>
        <v>4.2810891089108907</v>
      </c>
      <c r="D782" s="50" t="s">
        <v>17</v>
      </c>
      <c r="E782" s="50" t="s">
        <v>36</v>
      </c>
      <c r="F782" s="50" t="s">
        <v>27</v>
      </c>
      <c r="G782" s="51"/>
    </row>
    <row r="784" spans="1:7" ht="16" ns3:dyDescent="0.2">
      <c r="A784" s="1" t="s">
        <v>0</v>
      </c>
      <c r="B784" s="47" t="s">
        <v>131</v>
      </c>
    </row>
    <row r="785" spans="1:8" ns3:dyDescent="0.2">
      <c r="A785" t="s">
        <v>1</v>
      </c>
      <c r="B785" s="3" t="s">
        <v>104</v>
      </c>
    </row>
    <row r="786" spans="1:8" ns3:dyDescent="0.2">
      <c r="A786" t="s">
        <v>2</v>
      </c>
      <c r="B786" s="3">
        <v>1</v>
      </c>
    </row>
    <row r="787" spans="1:8" ns3:dyDescent="0.2">
      <c r="A787" t="s">
        <v>3</v>
      </c>
      <c r="B787" s="3" t="s">
        <v>132</v>
      </c>
    </row>
    <row r="788" spans="1:8" ns3:dyDescent="0.2">
      <c r="A788" t="s">
        <v>4</v>
      </c>
      <c r="B788" s="3" t="s">
        <v>5</v>
      </c>
    </row>
    <row r="789" spans="1:8" ns3:dyDescent="0.2">
      <c r="A789" t="s">
        <v>6</v>
      </c>
      <c r="B789" s="3" t="s">
        <v>126</v>
      </c>
    </row>
    <row r="790" spans="1:8" ns3:dyDescent="0.2">
      <c r="A790" t="s">
        <v>8</v>
      </c>
      <c r="B790" s="3" t="s">
        <v>122</v>
      </c>
    </row>
    <row r="791" spans="1:8" ns3:dyDescent="0.2">
      <c r="A791" t="s">
        <v>261</v>
      </c>
      <c r="B791" s="23">
        <f>0.33*29%</f>
        <v>9.5699999999999993E-2</v>
      </c>
    </row>
    <row r="792" spans="1:8" ns3:dyDescent="0.2">
      <c r="A792" t="s">
        <v>9</v>
      </c>
      <c r="B792" s="3" t="s">
        <v>260</v>
      </c>
    </row>
    <row r="793" spans="1:8" ht="16" ns3:dyDescent="0.2">
      <c r="A793" s="1" t="s">
        <v>10</v>
      </c>
    </row>
    <row r="794" spans="1:8" ns3:dyDescent="0.2">
      <c r="A794" t="s">
        <v>11</v>
      </c>
      <c r="B794" s="3" t="s">
        <v>12</v>
      </c>
      <c r="C794" t="s">
        <v>1</v>
      </c>
      <c r="D794" t="s">
        <v>6</v>
      </c>
      <c r="E794" t="s">
        <v>13</v>
      </c>
      <c r="F794" t="s">
        <v>4</v>
      </c>
      <c r="G794" t="s">
        <v>9</v>
      </c>
      <c r="H794" t="s">
        <v>3</v>
      </c>
    </row>
    <row r="795" spans="1:8" ns3:dyDescent="0.2">
      <c r="A795" s="3" t="str">
        <f>B784</f>
        <v>electricity production, from biowaste, municipal incineration, energy allocation</v>
      </c>
      <c r="B795" s="3">
        <v>1</v>
      </c>
      <c r="C795" s="3" t="str">
        <f>B785</f>
        <v>CH</v>
      </c>
      <c r="D795" s="3" t="str">
        <f>B789</f>
        <v>kilowatt hour</v>
      </c>
      <c r="F795" t="s">
        <v>15</v>
      </c>
      <c r="G795" t="s">
        <v>16</v>
      </c>
      <c r="H795" s="3" t="str">
        <f>B787</f>
        <v>electricity, from biowaste, municipal incineration, energy allocation</v>
      </c>
    </row>
    <row r="796" spans="1:8" s="50" customFormat="1" ns3:dyDescent="0.2">
      <c r="A796" s="50" t="s">
        <v>110</v>
      </c>
      <c r="B796" s="52">
        <f>B830</f>
        <v>1.2993734265734267</v>
      </c>
      <c r="D796" s="50" t="s">
        <v>7</v>
      </c>
      <c r="E796" s="50" t="s">
        <v>111</v>
      </c>
      <c r="F796" s="50" t="s">
        <v>27</v>
      </c>
      <c r="G796" s="50" t="s">
        <v>259</v>
      </c>
    </row>
    <row r="797" spans="1:8" s="50" customFormat="1" ns3:dyDescent="0.2">
      <c r="A797" s="50" t="s">
        <v>149</v>
      </c>
      <c r="B797" s="51">
        <v>1.3506041958041958E-3</v>
      </c>
      <c r="C797" s="50" t="s">
        <v>103</v>
      </c>
      <c r="D797" s="50" t="s">
        <v>7</v>
      </c>
      <c r="F797" t="s">
        <v>18</v>
      </c>
      <c r="G797" s="51"/>
      <c r="H797" s="50" t="s">
        <v>170</v>
      </c>
    </row>
    <row r="798" spans="1:8" s="50" customFormat="1" ns3:dyDescent="0.2">
      <c r="A798" s="50" t="s">
        <v>150</v>
      </c>
      <c r="B798" s="51">
        <v>7.7900979020979017E-7</v>
      </c>
      <c r="C798" s="50" t="s">
        <v>103</v>
      </c>
      <c r="D798" s="50" t="s">
        <v>7</v>
      </c>
      <c r="F798" t="s">
        <v>18</v>
      </c>
      <c r="G798" s="51"/>
      <c r="H798" s="50" t="s">
        <v>171</v>
      </c>
    </row>
    <row r="799" spans="1:8" s="50" customFormat="1" ns3:dyDescent="0.2">
      <c r="A799" s="50" t="s">
        <v>168</v>
      </c>
      <c r="B799" s="51">
        <v>1.3297090909090909E-2</v>
      </c>
      <c r="C799" s="50" t="s">
        <v>104</v>
      </c>
      <c r="D799" s="50" t="s">
        <v>7</v>
      </c>
      <c r="F799" t="s">
        <v>18</v>
      </c>
      <c r="G799" s="51"/>
      <c r="H799" s="50" t="s">
        <v>186</v>
      </c>
    </row>
    <row r="800" spans="1:8" s="50" customFormat="1" ns3:dyDescent="0.2">
      <c r="A800" s="50" t="s">
        <v>151</v>
      </c>
      <c r="B800" s="51">
        <v>1.8246461538461538E-4</v>
      </c>
      <c r="C800" s="50" t="s">
        <v>24</v>
      </c>
      <c r="D800" s="50" t="s">
        <v>7</v>
      </c>
      <c r="F800" t="s">
        <v>18</v>
      </c>
      <c r="G800" s="51"/>
      <c r="H800" s="50" t="s">
        <v>172</v>
      </c>
    </row>
    <row r="801" spans="1:8" s="50" customFormat="1" ns3:dyDescent="0.2">
      <c r="A801" s="50" t="s">
        <v>152</v>
      </c>
      <c r="B801" s="51">
        <v>1.4113258741258742E-6</v>
      </c>
      <c r="C801" s="50" t="s">
        <v>24</v>
      </c>
      <c r="D801" s="50" t="s">
        <v>7</v>
      </c>
      <c r="F801" t="s">
        <v>18</v>
      </c>
      <c r="G801" s="51"/>
      <c r="H801" s="50" t="s">
        <v>173</v>
      </c>
    </row>
    <row r="802" spans="1:8" s="50" customFormat="1" ns3:dyDescent="0.2">
      <c r="A802" t="s">
        <v>493</v>
      </c>
      <c r="B802" s="51">
        <v>1.7269174825174825E-6</v>
      </c>
      <c r="C802" s="50" t="s">
        <v>24</v>
      </c>
      <c r="D802" s="50" t="s">
        <v>7</v>
      </c>
      <c r="F802" t="s">
        <v>18</v>
      </c>
      <c r="G802" s="51"/>
      <c r="H802" t="s">
        <v>494</v>
      </c>
    </row>
    <row r="803" spans="1:8" s="50" customFormat="1" ns3:dyDescent="0.2">
      <c r="A803" s="50" t="s">
        <v>169</v>
      </c>
      <c r="B803" s="51">
        <v>0.25255384615384618</v>
      </c>
      <c r="C803" s="50" t="s">
        <v>104</v>
      </c>
      <c r="D803" s="50" t="s">
        <v>17</v>
      </c>
      <c r="F803" t="s">
        <v>18</v>
      </c>
      <c r="G803" s="51"/>
      <c r="H803" s="50" t="s">
        <v>187</v>
      </c>
    </row>
    <row r="804" spans="1:8" s="50" customFormat="1" ns3:dyDescent="0.2">
      <c r="A804" s="50" t="s">
        <v>153</v>
      </c>
      <c r="B804" s="51">
        <v>9.6930629370629373E-4</v>
      </c>
      <c r="C804" s="50" t="s">
        <v>103</v>
      </c>
      <c r="D804" s="50" t="s">
        <v>7</v>
      </c>
      <c r="F804" t="s">
        <v>18</v>
      </c>
      <c r="G804" s="51"/>
      <c r="H804" s="50" t="s">
        <v>174</v>
      </c>
    </row>
    <row r="805" spans="1:8" s="50" customFormat="1" ns3:dyDescent="0.2">
      <c r="A805" s="50" t="s">
        <v>154</v>
      </c>
      <c r="B805" s="51">
        <v>2.3449846153846157E-3</v>
      </c>
      <c r="C805" s="50" t="s">
        <v>103</v>
      </c>
      <c r="D805" s="50" t="s">
        <v>7</v>
      </c>
      <c r="F805" t="s">
        <v>18</v>
      </c>
      <c r="G805" s="51"/>
      <c r="H805" s="50" t="s">
        <v>175</v>
      </c>
    </row>
    <row r="806" spans="1:8" s="50" customFormat="1" ns3:dyDescent="0.2">
      <c r="A806" s="50" t="s">
        <v>155</v>
      </c>
      <c r="B806" s="51">
        <v>2.7382657342657343E-6</v>
      </c>
      <c r="C806" s="50" t="s">
        <v>24</v>
      </c>
      <c r="D806" s="50" t="s">
        <v>7</v>
      </c>
      <c r="F806" t="s">
        <v>18</v>
      </c>
      <c r="G806" s="51"/>
      <c r="H806" t="s">
        <v>474</v>
      </c>
    </row>
    <row r="807" spans="1:8" s="50" customFormat="1" ns3:dyDescent="0.2">
      <c r="A807" s="50" t="s">
        <v>156</v>
      </c>
      <c r="B807" s="51">
        <v>-7.2954125874125876E-3</v>
      </c>
      <c r="C807" s="50" t="s">
        <v>24</v>
      </c>
      <c r="D807" s="50" t="s">
        <v>7</v>
      </c>
      <c r="F807" t="s">
        <v>18</v>
      </c>
      <c r="G807" s="51"/>
      <c r="H807" s="50" t="s">
        <v>176</v>
      </c>
    </row>
    <row r="808" spans="1:8" s="50" customFormat="1" ns3:dyDescent="0.2">
      <c r="A808" s="50" t="s">
        <v>157</v>
      </c>
      <c r="B808" s="51">
        <v>6.2937062937062938E-10</v>
      </c>
      <c r="C808" s="50" t="s">
        <v>104</v>
      </c>
      <c r="D808" s="50" t="s">
        <v>6</v>
      </c>
      <c r="F808" t="s">
        <v>18</v>
      </c>
      <c r="G808" s="51"/>
      <c r="H808" s="50" t="s">
        <v>177</v>
      </c>
    </row>
    <row r="809" spans="1:8" s="50" customFormat="1" ns3:dyDescent="0.2">
      <c r="A809" s="50" t="s">
        <v>158</v>
      </c>
      <c r="B809" s="51">
        <v>6.6277762237762244E-2</v>
      </c>
      <c r="C809" s="50" t="s">
        <v>104</v>
      </c>
      <c r="D809" s="50" t="s">
        <v>7</v>
      </c>
      <c r="F809" t="s">
        <v>18</v>
      </c>
      <c r="G809" s="51"/>
      <c r="H809" s="50" t="s">
        <v>158</v>
      </c>
    </row>
    <row r="810" spans="1:8" s="50" customFormat="1" ns3:dyDescent="0.2">
      <c r="A810" s="50" t="s">
        <v>159</v>
      </c>
      <c r="B810" s="51">
        <v>0.35916923076923074</v>
      </c>
      <c r="C810" s="50" t="s">
        <v>104</v>
      </c>
      <c r="D810" s="50" t="s">
        <v>7</v>
      </c>
      <c r="F810" t="s">
        <v>18</v>
      </c>
      <c r="G810" s="51"/>
      <c r="H810" s="50" t="s">
        <v>159</v>
      </c>
    </row>
    <row r="811" spans="1:8" s="50" customFormat="1" ns3:dyDescent="0.2">
      <c r="A811" s="50" t="s">
        <v>160</v>
      </c>
      <c r="B811" s="51">
        <v>3.4741258741258739E-3</v>
      </c>
      <c r="C811" s="50" t="s">
        <v>103</v>
      </c>
      <c r="D811" s="50" t="s">
        <v>7</v>
      </c>
      <c r="F811" t="s">
        <v>18</v>
      </c>
      <c r="G811" s="51"/>
      <c r="H811" s="50" t="s">
        <v>178</v>
      </c>
    </row>
    <row r="812" spans="1:8" s="50" customFormat="1" ns3:dyDescent="0.2">
      <c r="A812" s="50" t="s">
        <v>161</v>
      </c>
      <c r="B812" s="51">
        <v>1.3807888111888113E-10</v>
      </c>
      <c r="C812" s="50" t="s">
        <v>104</v>
      </c>
      <c r="D812" s="50" t="s">
        <v>6</v>
      </c>
      <c r="F812" t="s">
        <v>18</v>
      </c>
      <c r="G812" s="51"/>
      <c r="H812" s="50" t="s">
        <v>179</v>
      </c>
    </row>
    <row r="813" spans="1:8" s="50" customFormat="1" ns3:dyDescent="0.2">
      <c r="A813" s="50" t="s">
        <v>162</v>
      </c>
      <c r="B813" s="51">
        <v>6.3850909090909091E-10</v>
      </c>
      <c r="C813" s="50" t="s">
        <v>104</v>
      </c>
      <c r="D813" s="50" t="s">
        <v>6</v>
      </c>
      <c r="F813" t="s">
        <v>18</v>
      </c>
      <c r="G813" s="51"/>
      <c r="H813" s="50" t="s">
        <v>180</v>
      </c>
    </row>
    <row r="814" spans="1:8" s="50" customFormat="1" ns3:dyDescent="0.2">
      <c r="A814" s="50" t="s">
        <v>163</v>
      </c>
      <c r="B814" s="51">
        <v>2.7211468531468533E-3</v>
      </c>
      <c r="C814" s="3" t="s">
        <v>267</v>
      </c>
      <c r="D814" s="50" t="s">
        <v>7</v>
      </c>
      <c r="F814" t="s">
        <v>18</v>
      </c>
      <c r="G814" s="51"/>
      <c r="H814" s="50" t="s">
        <v>181</v>
      </c>
    </row>
    <row r="815" spans="1:8" s="50" customFormat="1" ns3:dyDescent="0.2">
      <c r="A815" s="50" t="s">
        <v>164</v>
      </c>
      <c r="B815" s="51">
        <v>-8.199944055944056E-7</v>
      </c>
      <c r="C815" s="50" t="s">
        <v>24</v>
      </c>
      <c r="D815" s="50" t="s">
        <v>7</v>
      </c>
      <c r="F815" t="s">
        <v>18</v>
      </c>
      <c r="G815" s="51"/>
      <c r="H815" s="50" t="s">
        <v>182</v>
      </c>
    </row>
    <row r="816" spans="1:8" s="50" customFormat="1" ns3:dyDescent="0.2">
      <c r="A816" s="50" t="s">
        <v>165</v>
      </c>
      <c r="B816" s="51">
        <v>8.4620139860139854E-5</v>
      </c>
      <c r="C816" s="50" t="s">
        <v>103</v>
      </c>
      <c r="D816" s="50" t="s">
        <v>7</v>
      </c>
      <c r="F816" t="s">
        <v>18</v>
      </c>
      <c r="G816" s="51"/>
      <c r="H816" s="50" t="s">
        <v>183</v>
      </c>
    </row>
    <row r="817" spans="1:8" s="50" customFormat="1" ns3:dyDescent="0.2">
      <c r="A817" s="50" t="s">
        <v>81</v>
      </c>
      <c r="B817" s="51">
        <v>1.6437146853146851E-2</v>
      </c>
      <c r="C817" s="50" t="s">
        <v>103</v>
      </c>
      <c r="D817" s="50" t="s">
        <v>28</v>
      </c>
      <c r="F817" t="s">
        <v>18</v>
      </c>
      <c r="G817" s="51"/>
      <c r="H817" s="50" t="s">
        <v>82</v>
      </c>
    </row>
    <row r="818" spans="1:8" s="50" customFormat="1" ns3:dyDescent="0.2">
      <c r="A818" s="50" t="s">
        <v>166</v>
      </c>
      <c r="B818" s="51">
        <v>-3.324335664335664E-2</v>
      </c>
      <c r="C818" s="50" t="s">
        <v>104</v>
      </c>
      <c r="D818" s="50" t="s">
        <v>7</v>
      </c>
      <c r="F818" t="s">
        <v>18</v>
      </c>
      <c r="G818" s="51"/>
      <c r="H818" s="50" t="s">
        <v>184</v>
      </c>
    </row>
    <row r="819" spans="1:8" s="50" customFormat="1" ns3:dyDescent="0.2">
      <c r="A819" s="50" t="s">
        <v>167</v>
      </c>
      <c r="B819" s="51">
        <v>2.1630965034965035</v>
      </c>
      <c r="C819" s="50" t="s">
        <v>104</v>
      </c>
      <c r="D819" s="50" t="s">
        <v>7</v>
      </c>
      <c r="F819" t="s">
        <v>18</v>
      </c>
      <c r="G819" s="51"/>
      <c r="H819" s="50" t="s">
        <v>185</v>
      </c>
    </row>
    <row r="820" spans="1:8" s="50" customFormat="1" ns3:dyDescent="0.2">
      <c r="A820" s="50" t="s">
        <v>188</v>
      </c>
      <c r="B820" s="51">
        <v>1.7894013986013986E-8</v>
      </c>
      <c r="D820" s="50" t="s">
        <v>7</v>
      </c>
      <c r="E820" s="50" t="s">
        <v>244</v>
      </c>
      <c r="F820" s="50" t="s">
        <v>27</v>
      </c>
      <c r="G820" s="51"/>
    </row>
    <row r="821" spans="1:8" s="50" customFormat="1" ns3:dyDescent="0.2">
      <c r="A821" s="50" t="s">
        <v>189</v>
      </c>
      <c r="B821" s="51">
        <v>1.5879776223776225E-6</v>
      </c>
      <c r="D821" s="50" t="s">
        <v>7</v>
      </c>
      <c r="E821" s="50" t="s">
        <v>244</v>
      </c>
      <c r="F821" s="50" t="s">
        <v>27</v>
      </c>
      <c r="G821" s="51"/>
    </row>
    <row r="822" spans="1:8" s="50" customFormat="1" ns3:dyDescent="0.2">
      <c r="A822" s="50" t="s">
        <v>191</v>
      </c>
      <c r="B822" s="51">
        <v>3.44013986013986E-8</v>
      </c>
      <c r="D822" s="50" t="s">
        <v>7</v>
      </c>
      <c r="E822" s="50" t="s">
        <v>244</v>
      </c>
      <c r="F822" s="50" t="s">
        <v>27</v>
      </c>
      <c r="G822" s="51"/>
    </row>
    <row r="823" spans="1:8" s="50" customFormat="1" ns3:dyDescent="0.2">
      <c r="A823" s="50" t="s">
        <v>193</v>
      </c>
      <c r="B823" s="51">
        <v>1.0477258741258742E-7</v>
      </c>
      <c r="D823" s="50" t="s">
        <v>7</v>
      </c>
      <c r="E823" s="50" t="s">
        <v>244</v>
      </c>
      <c r="F823" s="50" t="s">
        <v>27</v>
      </c>
      <c r="G823" s="51"/>
    </row>
    <row r="824" spans="1:8" s="50" customFormat="1" ns3:dyDescent="0.2">
      <c r="A824" s="50" t="s">
        <v>194</v>
      </c>
      <c r="B824" s="51">
        <v>2.1907384615384614E-10</v>
      </c>
      <c r="D824" s="50" t="s">
        <v>7</v>
      </c>
      <c r="E824" s="50" t="s">
        <v>244</v>
      </c>
      <c r="F824" s="50" t="s">
        <v>27</v>
      </c>
      <c r="G824" s="51"/>
    </row>
    <row r="825" spans="1:8" s="50" customFormat="1" ns3:dyDescent="0.2">
      <c r="A825" t="s">
        <v>477</v>
      </c>
      <c r="B825" s="51">
        <v>5.5354405594405596E-10</v>
      </c>
      <c r="D825" s="50" t="s">
        <v>7</v>
      </c>
      <c r="E825" s="50" t="s">
        <v>244</v>
      </c>
      <c r="F825" s="50" t="s">
        <v>27</v>
      </c>
      <c r="G825" s="51"/>
    </row>
    <row r="826" spans="1:8" s="50" customFormat="1" ns3:dyDescent="0.2">
      <c r="A826" s="50" t="s">
        <v>195</v>
      </c>
      <c r="B826" s="51">
        <v>2.331516083916084E-12</v>
      </c>
      <c r="D826" s="50" t="s">
        <v>7</v>
      </c>
      <c r="E826" s="50" t="s">
        <v>244</v>
      </c>
      <c r="F826" s="50" t="s">
        <v>27</v>
      </c>
      <c r="G826" s="51"/>
    </row>
    <row r="827" spans="1:8" s="50" customFormat="1" ns3:dyDescent="0.2">
      <c r="A827" s="50" t="s">
        <v>196</v>
      </c>
      <c r="B827" s="51">
        <v>6.5806993006993006E-9</v>
      </c>
      <c r="D827" s="50" t="s">
        <v>7</v>
      </c>
      <c r="E827" s="50" t="s">
        <v>244</v>
      </c>
      <c r="F827" s="50" t="s">
        <v>27</v>
      </c>
      <c r="G827" s="51"/>
    </row>
    <row r="828" spans="1:8" s="50" customFormat="1" ns3:dyDescent="0.2">
      <c r="A828" s="50" t="s">
        <v>197</v>
      </c>
      <c r="B828" s="51">
        <v>1.5445258741258742E-10</v>
      </c>
      <c r="D828" s="50" t="s">
        <v>7</v>
      </c>
      <c r="E828" s="50" t="s">
        <v>244</v>
      </c>
      <c r="F828" s="50" t="s">
        <v>27</v>
      </c>
      <c r="G828" s="51"/>
    </row>
    <row r="829" spans="1:8" s="50" customFormat="1" ns3:dyDescent="0.2">
      <c r="A829" s="50" t="s">
        <v>248</v>
      </c>
      <c r="B829" s="51">
        <v>3.7671608391608396E-4</v>
      </c>
      <c r="D829" s="50" t="s">
        <v>7</v>
      </c>
      <c r="E829" s="50" t="s">
        <v>244</v>
      </c>
      <c r="F829" s="50" t="s">
        <v>27</v>
      </c>
      <c r="G829" s="51"/>
    </row>
    <row r="830" spans="1:8" s="50" customFormat="1" ns3:dyDescent="0.2">
      <c r="A830" s="50" t="s">
        <v>135</v>
      </c>
      <c r="B830" s="51">
        <v>1.2993734265734267</v>
      </c>
      <c r="D830" s="50" t="s">
        <v>7</v>
      </c>
      <c r="E830" s="50" t="s">
        <v>244</v>
      </c>
      <c r="F830" s="50" t="s">
        <v>27</v>
      </c>
      <c r="G830" s="51"/>
    </row>
    <row r="831" spans="1:8" s="50" customFormat="1" ns3:dyDescent="0.2">
      <c r="A831" s="50" t="s">
        <v>249</v>
      </c>
      <c r="B831" s="51">
        <v>1.780993006993007E-4</v>
      </c>
      <c r="D831" s="50" t="s">
        <v>7</v>
      </c>
      <c r="E831" s="50" t="s">
        <v>244</v>
      </c>
      <c r="F831" s="50" t="s">
        <v>27</v>
      </c>
      <c r="G831" s="51"/>
    </row>
    <row r="832" spans="1:8" s="50" customFormat="1" ns3:dyDescent="0.2">
      <c r="A832" s="50" t="s">
        <v>199</v>
      </c>
      <c r="B832" s="51">
        <v>1.5339272727272729E-8</v>
      </c>
      <c r="D832" s="50" t="s">
        <v>7</v>
      </c>
      <c r="E832" s="50" t="s">
        <v>244</v>
      </c>
      <c r="F832" s="50" t="s">
        <v>27</v>
      </c>
      <c r="G832" s="51"/>
    </row>
    <row r="833" spans="1:7" s="50" customFormat="1" ns3:dyDescent="0.2">
      <c r="A833" s="50" t="s">
        <v>200</v>
      </c>
      <c r="B833" s="51">
        <v>1.9967160839160839E-8</v>
      </c>
      <c r="D833" s="50" t="s">
        <v>7</v>
      </c>
      <c r="E833" s="50" t="s">
        <v>244</v>
      </c>
      <c r="F833" s="50" t="s">
        <v>27</v>
      </c>
      <c r="G833" s="51"/>
    </row>
    <row r="834" spans="1:7" s="50" customFormat="1" ns3:dyDescent="0.2">
      <c r="A834" s="50" t="s">
        <v>201</v>
      </c>
      <c r="B834" s="51">
        <v>3.6201398601398602E-9</v>
      </c>
      <c r="D834" s="50" t="s">
        <v>7</v>
      </c>
      <c r="E834" s="50" t="s">
        <v>244</v>
      </c>
      <c r="F834" s="50" t="s">
        <v>27</v>
      </c>
      <c r="G834" s="51"/>
    </row>
    <row r="835" spans="1:7" s="50" customFormat="1" ns3:dyDescent="0.2">
      <c r="A835" s="50" t="s">
        <v>202</v>
      </c>
      <c r="B835" s="51">
        <v>2.8142937062937061E-5</v>
      </c>
      <c r="D835" s="50" t="s">
        <v>7</v>
      </c>
      <c r="E835" s="50" t="s">
        <v>244</v>
      </c>
      <c r="F835" s="50" t="s">
        <v>27</v>
      </c>
      <c r="G835" s="51"/>
    </row>
    <row r="836" spans="1:7" s="50" customFormat="1" ns3:dyDescent="0.2">
      <c r="A836" s="50" t="s">
        <v>203</v>
      </c>
      <c r="B836" s="51">
        <v>1.3099972027972028E-4</v>
      </c>
      <c r="D836" s="50" t="s">
        <v>7</v>
      </c>
      <c r="E836" s="50" t="s">
        <v>244</v>
      </c>
      <c r="F836" s="50" t="s">
        <v>27</v>
      </c>
      <c r="G836" s="51"/>
    </row>
    <row r="837" spans="1:7" s="50" customFormat="1" ns3:dyDescent="0.2">
      <c r="A837" s="50" t="s">
        <v>204</v>
      </c>
      <c r="B837" s="51">
        <v>2.0953006993006993E-13</v>
      </c>
      <c r="D837" s="50" t="s">
        <v>7</v>
      </c>
      <c r="E837" s="50" t="s">
        <v>244</v>
      </c>
      <c r="F837" s="50" t="s">
        <v>27</v>
      </c>
      <c r="G837" s="51"/>
    </row>
    <row r="838" spans="1:7" s="50" customFormat="1" ns3:dyDescent="0.2">
      <c r="A838" s="50" t="s">
        <v>205</v>
      </c>
      <c r="B838" s="51">
        <v>11.186685314685315</v>
      </c>
      <c r="D838" s="50" t="s">
        <v>17</v>
      </c>
      <c r="E838" s="50" t="s">
        <v>244</v>
      </c>
      <c r="F838" s="50" t="s">
        <v>27</v>
      </c>
      <c r="G838" s="51"/>
    </row>
    <row r="839" spans="1:7" s="50" customFormat="1" ns3:dyDescent="0.2">
      <c r="A839" s="50" t="s">
        <v>206</v>
      </c>
      <c r="B839" s="51">
        <v>5.0120559440559441E-6</v>
      </c>
      <c r="D839" s="50" t="s">
        <v>7</v>
      </c>
      <c r="E839" s="50" t="s">
        <v>244</v>
      </c>
      <c r="F839" s="50" t="s">
        <v>27</v>
      </c>
      <c r="G839" s="51"/>
    </row>
    <row r="840" spans="1:7" s="50" customFormat="1" ns3:dyDescent="0.2">
      <c r="A840" s="50" t="s">
        <v>207</v>
      </c>
      <c r="B840" s="51">
        <v>2.9628251748251747E-6</v>
      </c>
      <c r="D840" s="50" t="s">
        <v>7</v>
      </c>
      <c r="E840" s="50" t="s">
        <v>244</v>
      </c>
      <c r="F840" s="50" t="s">
        <v>27</v>
      </c>
      <c r="G840" s="51"/>
    </row>
    <row r="841" spans="1:7" s="50" customFormat="1" ns3:dyDescent="0.2">
      <c r="A841" s="50" t="s">
        <v>250</v>
      </c>
      <c r="B841" s="51">
        <v>6.7027972027972023E-11</v>
      </c>
      <c r="D841" s="50" t="s">
        <v>7</v>
      </c>
      <c r="E841" s="50" t="s">
        <v>244</v>
      </c>
      <c r="F841" s="50" t="s">
        <v>27</v>
      </c>
      <c r="G841" s="51"/>
    </row>
    <row r="842" spans="1:7" s="50" customFormat="1" ns3:dyDescent="0.2">
      <c r="A842" s="50" t="s">
        <v>208</v>
      </c>
      <c r="B842" s="51">
        <v>2.3611468531468532E-9</v>
      </c>
      <c r="D842" s="50" t="s">
        <v>7</v>
      </c>
      <c r="E842" s="50" t="s">
        <v>244</v>
      </c>
      <c r="F842" s="50" t="s">
        <v>27</v>
      </c>
      <c r="G842" s="51"/>
    </row>
    <row r="843" spans="1:7" s="50" customFormat="1" ns3:dyDescent="0.2">
      <c r="A843" s="50" t="s">
        <v>209</v>
      </c>
      <c r="B843" s="51">
        <v>3.3575664335664339E-9</v>
      </c>
      <c r="D843" s="50" t="s">
        <v>7</v>
      </c>
      <c r="E843" s="50" t="s">
        <v>244</v>
      </c>
      <c r="F843" s="50" t="s">
        <v>27</v>
      </c>
      <c r="G843" s="51"/>
    </row>
    <row r="844" spans="1:7" s="50" customFormat="1" ns3:dyDescent="0.2">
      <c r="A844" s="50" t="s">
        <v>251</v>
      </c>
      <c r="B844" s="51">
        <v>6.5313566433566434E-6</v>
      </c>
      <c r="D844" s="50" t="s">
        <v>7</v>
      </c>
      <c r="E844" s="50" t="s">
        <v>244</v>
      </c>
      <c r="F844" s="50" t="s">
        <v>27</v>
      </c>
      <c r="G844" s="51"/>
    </row>
    <row r="845" spans="1:7" s="50" customFormat="1" ns3:dyDescent="0.2">
      <c r="A845" s="50" t="s">
        <v>210</v>
      </c>
      <c r="B845" s="51">
        <v>1.8031972027972029E-9</v>
      </c>
      <c r="D845" s="50" t="s">
        <v>7</v>
      </c>
      <c r="E845" s="50" t="s">
        <v>244</v>
      </c>
      <c r="F845" s="50" t="s">
        <v>27</v>
      </c>
      <c r="G845" s="51"/>
    </row>
    <row r="846" spans="1:7" s="50" customFormat="1" ns3:dyDescent="0.2">
      <c r="A846" s="50" t="s">
        <v>211</v>
      </c>
      <c r="B846" s="51">
        <v>4.3580139860139859E-9</v>
      </c>
      <c r="D846" s="50" t="s">
        <v>7</v>
      </c>
      <c r="E846" s="50" t="s">
        <v>244</v>
      </c>
      <c r="F846" s="50" t="s">
        <v>27</v>
      </c>
      <c r="G846" s="51"/>
    </row>
    <row r="847" spans="1:7" s="50" customFormat="1" ns3:dyDescent="0.2">
      <c r="A847" s="50" t="s">
        <v>252</v>
      </c>
      <c r="B847" s="51">
        <v>1.5715888111888111E-6</v>
      </c>
      <c r="D847" s="50" t="s">
        <v>7</v>
      </c>
      <c r="E847" s="50" t="s">
        <v>244</v>
      </c>
      <c r="F847" s="50" t="s">
        <v>27</v>
      </c>
      <c r="G847" s="51"/>
    </row>
    <row r="848" spans="1:7" s="50" customFormat="1" ns3:dyDescent="0.2">
      <c r="A848" s="50" t="s">
        <v>253</v>
      </c>
      <c r="B848" s="51">
        <v>1.1556755244755246E-9</v>
      </c>
      <c r="D848" s="50" t="s">
        <v>7</v>
      </c>
      <c r="E848" s="50" t="s">
        <v>244</v>
      </c>
      <c r="F848" s="50" t="s">
        <v>27</v>
      </c>
      <c r="G848" s="51"/>
    </row>
    <row r="849" spans="1:7" s="50" customFormat="1" ns3:dyDescent="0.2">
      <c r="A849" s="50" t="s">
        <v>213</v>
      </c>
      <c r="B849" s="51">
        <v>4.768111888111888E-6</v>
      </c>
      <c r="D849" s="50" t="s">
        <v>7</v>
      </c>
      <c r="E849" s="50" t="s">
        <v>244</v>
      </c>
      <c r="F849" s="50" t="s">
        <v>27</v>
      </c>
      <c r="G849" s="51"/>
    </row>
    <row r="850" spans="1:7" s="50" customFormat="1" ns3:dyDescent="0.2">
      <c r="A850" s="50" t="s">
        <v>214</v>
      </c>
      <c r="B850" s="51">
        <v>1.4950573426573428E-8</v>
      </c>
      <c r="D850" s="50" t="s">
        <v>7</v>
      </c>
      <c r="E850" s="50" t="s">
        <v>244</v>
      </c>
      <c r="F850" s="50" t="s">
        <v>27</v>
      </c>
      <c r="G850" s="51"/>
    </row>
    <row r="851" spans="1:7" s="50" customFormat="1" ns3:dyDescent="0.2">
      <c r="A851" s="50" t="s">
        <v>215</v>
      </c>
      <c r="B851" s="51">
        <v>5.0286713286713293E-4</v>
      </c>
      <c r="D851" s="50" t="s">
        <v>7</v>
      </c>
      <c r="E851" s="50" t="s">
        <v>244</v>
      </c>
      <c r="F851" s="50" t="s">
        <v>27</v>
      </c>
      <c r="G851" s="51"/>
    </row>
    <row r="852" spans="1:7" s="50" customFormat="1" ns3:dyDescent="0.2">
      <c r="A852" s="50" t="s">
        <v>216</v>
      </c>
      <c r="B852" s="51">
        <v>1.2508867132867133E-5</v>
      </c>
      <c r="D852" s="50" t="s">
        <v>7</v>
      </c>
      <c r="E852" s="50" t="s">
        <v>244</v>
      </c>
      <c r="F852" s="50" t="s">
        <v>27</v>
      </c>
      <c r="G852" s="51"/>
    </row>
    <row r="853" spans="1:7" s="50" customFormat="1" ns3:dyDescent="0.2">
      <c r="A853" s="50" t="s">
        <v>217</v>
      </c>
      <c r="B853" s="51">
        <v>6.2859020979020983E-8</v>
      </c>
      <c r="D853" s="50" t="s">
        <v>7</v>
      </c>
      <c r="E853" s="50" t="s">
        <v>244</v>
      </c>
      <c r="F853" s="50" t="s">
        <v>27</v>
      </c>
      <c r="G853" s="51"/>
    </row>
    <row r="854" spans="1:7" s="50" customFormat="1" ns3:dyDescent="0.2">
      <c r="A854" s="50" t="s">
        <v>218</v>
      </c>
      <c r="B854" s="51">
        <v>4.5626853146853149E-11</v>
      </c>
      <c r="D854" s="50" t="s">
        <v>7</v>
      </c>
      <c r="E854" s="50" t="s">
        <v>244</v>
      </c>
      <c r="F854" s="50" t="s">
        <v>27</v>
      </c>
      <c r="G854" s="51"/>
    </row>
    <row r="855" spans="1:7" s="50" customFormat="1" ns3:dyDescent="0.2">
      <c r="A855" s="50" t="s">
        <v>254</v>
      </c>
      <c r="B855" s="51">
        <v>2.5215104895104896E-6</v>
      </c>
      <c r="D855" s="50" t="s">
        <v>7</v>
      </c>
      <c r="E855" s="50" t="s">
        <v>244</v>
      </c>
      <c r="F855" s="50" t="s">
        <v>27</v>
      </c>
      <c r="G855" s="51"/>
    </row>
    <row r="856" spans="1:7" s="50" customFormat="1" ns3:dyDescent="0.2">
      <c r="A856" s="50" t="s">
        <v>255</v>
      </c>
      <c r="B856" s="51">
        <v>3.796867132867133E-5</v>
      </c>
      <c r="D856" s="50" t="s">
        <v>7</v>
      </c>
      <c r="E856" s="50" t="s">
        <v>244</v>
      </c>
      <c r="F856" s="50" t="s">
        <v>27</v>
      </c>
      <c r="G856" s="51"/>
    </row>
    <row r="857" spans="1:7" s="50" customFormat="1" ns3:dyDescent="0.2">
      <c r="A857" s="50" t="s">
        <v>219</v>
      </c>
      <c r="B857" s="51">
        <v>1.3091412587412588E-8</v>
      </c>
      <c r="D857" s="50" t="s">
        <v>7</v>
      </c>
      <c r="E857" s="50" t="s">
        <v>244</v>
      </c>
      <c r="F857" s="50" t="s">
        <v>27</v>
      </c>
      <c r="G857" s="51"/>
    </row>
    <row r="858" spans="1:7" s="50" customFormat="1" ns3:dyDescent="0.2">
      <c r="A858" s="50" t="s">
        <v>239</v>
      </c>
      <c r="B858" s="51">
        <v>1.3673202797202796E-7</v>
      </c>
      <c r="D858" s="50" t="s">
        <v>7</v>
      </c>
      <c r="E858" s="50" t="s">
        <v>244</v>
      </c>
      <c r="F858" s="50" t="s">
        <v>27</v>
      </c>
      <c r="G858" s="51"/>
    </row>
    <row r="859" spans="1:7" s="50" customFormat="1" ns3:dyDescent="0.2">
      <c r="A859" s="50" t="s">
        <v>220</v>
      </c>
      <c r="B859" s="51">
        <v>2.7042797202797204E-5</v>
      </c>
      <c r="D859" s="50" t="s">
        <v>7</v>
      </c>
      <c r="E859" s="50" t="s">
        <v>244</v>
      </c>
      <c r="F859" s="50" t="s">
        <v>27</v>
      </c>
      <c r="G859" s="51"/>
    </row>
    <row r="860" spans="1:7" s="50" customFormat="1" ns3:dyDescent="0.2">
      <c r="A860" s="50" t="s">
        <v>222</v>
      </c>
      <c r="B860" s="51">
        <v>3.5010629370629369E-5</v>
      </c>
      <c r="D860" s="50" t="s">
        <v>7</v>
      </c>
      <c r="E860" s="50" t="s">
        <v>244</v>
      </c>
      <c r="F860" s="50" t="s">
        <v>27</v>
      </c>
      <c r="G860" s="51"/>
    </row>
    <row r="861" spans="1:7" s="50" customFormat="1" ns3:dyDescent="0.2">
      <c r="A861" s="50" t="s">
        <v>224</v>
      </c>
      <c r="B861" s="51">
        <v>1.1468895104895105E-11</v>
      </c>
      <c r="D861" s="50" t="s">
        <v>7</v>
      </c>
      <c r="E861" s="50" t="s">
        <v>244</v>
      </c>
      <c r="F861" s="50" t="s">
        <v>27</v>
      </c>
      <c r="G861" s="51"/>
    </row>
    <row r="862" spans="1:7" s="50" customFormat="1" ns3:dyDescent="0.2">
      <c r="A862" s="50" t="s">
        <v>226</v>
      </c>
      <c r="B862" s="51">
        <v>2.0954265734265734E-7</v>
      </c>
      <c r="D862" s="50" t="s">
        <v>7</v>
      </c>
      <c r="E862" s="50" t="s">
        <v>244</v>
      </c>
      <c r="F862" s="50" t="s">
        <v>27</v>
      </c>
      <c r="G862" s="51"/>
    </row>
    <row r="863" spans="1:7" s="50" customFormat="1" ns3:dyDescent="0.2">
      <c r="A863" s="50" t="s">
        <v>227</v>
      </c>
      <c r="B863" s="51">
        <v>1.3964223776223776E-7</v>
      </c>
      <c r="D863" s="50" t="s">
        <v>7</v>
      </c>
      <c r="E863" s="50" t="s">
        <v>244</v>
      </c>
      <c r="F863" s="50" t="s">
        <v>27</v>
      </c>
      <c r="G863" s="51"/>
    </row>
    <row r="864" spans="1:7" s="50" customFormat="1" ns3:dyDescent="0.2">
      <c r="A864" s="50" t="s">
        <v>228</v>
      </c>
      <c r="B864" s="51">
        <v>3.4107583216783218E-3</v>
      </c>
      <c r="D864" s="50" t="s">
        <v>37</v>
      </c>
      <c r="E864" s="50" t="s">
        <v>244</v>
      </c>
      <c r="F864" s="50" t="s">
        <v>27</v>
      </c>
      <c r="G864" s="51"/>
    </row>
    <row r="865" spans="1:7" s="50" customFormat="1" ns3:dyDescent="0.2">
      <c r="A865" s="50" t="s">
        <v>229</v>
      </c>
      <c r="B865" s="51">
        <v>8.571524475524476E-8</v>
      </c>
      <c r="D865" s="50" t="s">
        <v>7</v>
      </c>
      <c r="E865" s="50" t="s">
        <v>244</v>
      </c>
      <c r="F865" s="50" t="s">
        <v>27</v>
      </c>
      <c r="G865" s="51"/>
    </row>
    <row r="866" spans="1:7" s="50" customFormat="1" ns3:dyDescent="0.2">
      <c r="A866" s="50" t="s">
        <v>188</v>
      </c>
      <c r="B866" s="51">
        <v>1.6942909090909092E-2</v>
      </c>
      <c r="D866" s="50" t="s">
        <v>7</v>
      </c>
      <c r="E866" s="50" t="s">
        <v>245</v>
      </c>
      <c r="F866" s="50" t="s">
        <v>27</v>
      </c>
      <c r="G866" s="51"/>
    </row>
    <row r="867" spans="1:7" s="50" customFormat="1" ns3:dyDescent="0.2">
      <c r="A867" s="50" t="s">
        <v>188</v>
      </c>
      <c r="B867" s="51">
        <v>1.6301454545454547E-6</v>
      </c>
      <c r="D867" s="50" t="s">
        <v>7</v>
      </c>
      <c r="E867" s="50" t="s">
        <v>246</v>
      </c>
      <c r="F867" s="50" t="s">
        <v>27</v>
      </c>
      <c r="G867" s="51"/>
    </row>
    <row r="868" spans="1:7" s="50" customFormat="1" ns3:dyDescent="0.2">
      <c r="A868" s="50" t="s">
        <v>190</v>
      </c>
      <c r="B868" s="51">
        <v>2.0326909090909091E-9</v>
      </c>
      <c r="D868" s="50" t="s">
        <v>7</v>
      </c>
      <c r="E868" s="50" t="s">
        <v>245</v>
      </c>
      <c r="F868" s="50" t="s">
        <v>27</v>
      </c>
      <c r="G868" s="51"/>
    </row>
    <row r="869" spans="1:7" s="50" customFormat="1" ns3:dyDescent="0.2">
      <c r="A869" s="50" t="s">
        <v>190</v>
      </c>
      <c r="B869" s="51">
        <v>1.1073650349650351E-9</v>
      </c>
      <c r="D869" s="50" t="s">
        <v>7</v>
      </c>
      <c r="E869" s="50" t="s">
        <v>246</v>
      </c>
      <c r="F869" s="50" t="s">
        <v>27</v>
      </c>
      <c r="G869" s="51"/>
    </row>
    <row r="870" spans="1:7" s="50" customFormat="1" ns3:dyDescent="0.2">
      <c r="A870" s="50" t="s">
        <v>191</v>
      </c>
      <c r="B870" s="51">
        <v>2.6773426573426577E-6</v>
      </c>
      <c r="D870" s="50" t="s">
        <v>7</v>
      </c>
      <c r="E870" s="50" t="s">
        <v>245</v>
      </c>
      <c r="F870" s="50" t="s">
        <v>27</v>
      </c>
      <c r="G870" s="51"/>
    </row>
    <row r="871" spans="1:7" s="50" customFormat="1" ns3:dyDescent="0.2">
      <c r="A871" s="50" t="s">
        <v>191</v>
      </c>
      <c r="B871" s="51">
        <v>1.7638741258741259E-6</v>
      </c>
      <c r="D871" s="50" t="s">
        <v>7</v>
      </c>
      <c r="E871" s="50" t="s">
        <v>246</v>
      </c>
      <c r="F871" s="50" t="s">
        <v>27</v>
      </c>
      <c r="G871" s="51"/>
    </row>
    <row r="872" spans="1:7" s="50" customFormat="1" ns3:dyDescent="0.2">
      <c r="A872" s="50" t="s">
        <v>230</v>
      </c>
      <c r="B872" s="51">
        <v>8.6437762237762247E-4</v>
      </c>
      <c r="D872" s="50" t="s">
        <v>7</v>
      </c>
      <c r="E872" s="50" t="s">
        <v>245</v>
      </c>
      <c r="F872" s="50" t="s">
        <v>27</v>
      </c>
      <c r="G872" s="51"/>
    </row>
    <row r="873" spans="1:7" s="50" customFormat="1" ns3:dyDescent="0.2">
      <c r="A873" s="50" t="s">
        <v>230</v>
      </c>
      <c r="B873" s="51">
        <v>2.652923076923077E-4</v>
      </c>
      <c r="D873" s="50" t="s">
        <v>7</v>
      </c>
      <c r="E873" s="50" t="s">
        <v>246</v>
      </c>
      <c r="F873" s="50" t="s">
        <v>27</v>
      </c>
      <c r="G873" s="51"/>
    </row>
    <row r="874" spans="1:7" s="50" customFormat="1" ns3:dyDescent="0.2">
      <c r="A874" s="50" t="s">
        <v>256</v>
      </c>
      <c r="B874" s="51">
        <v>1.8568195804195807E-5</v>
      </c>
      <c r="D874" s="50" t="s">
        <v>7</v>
      </c>
      <c r="E874" s="50" t="s">
        <v>245</v>
      </c>
      <c r="F874" s="50" t="s">
        <v>27</v>
      </c>
      <c r="G874" s="51"/>
    </row>
    <row r="875" spans="1:7" s="50" customFormat="1" ns3:dyDescent="0.2">
      <c r="A875" s="50" t="s">
        <v>256</v>
      </c>
      <c r="B875" s="51">
        <v>2.3289230769230768E-7</v>
      </c>
      <c r="D875" s="50" t="s">
        <v>7</v>
      </c>
      <c r="E875" s="50" t="s">
        <v>246</v>
      </c>
      <c r="F875" s="50" t="s">
        <v>27</v>
      </c>
      <c r="G875" s="51"/>
    </row>
    <row r="876" spans="1:7" s="50" customFormat="1" ns3:dyDescent="0.2">
      <c r="A876" s="50" t="s">
        <v>196</v>
      </c>
      <c r="B876" s="51">
        <v>6.8299300699300701E-7</v>
      </c>
      <c r="D876" s="50" t="s">
        <v>7</v>
      </c>
      <c r="E876" s="50" t="s">
        <v>245</v>
      </c>
      <c r="F876" s="50" t="s">
        <v>27</v>
      </c>
      <c r="G876" s="51"/>
    </row>
    <row r="877" spans="1:7" s="50" customFormat="1" ns3:dyDescent="0.2">
      <c r="A877" s="50" t="s">
        <v>196</v>
      </c>
      <c r="B877" s="51">
        <v>1.2225146853146853E-5</v>
      </c>
      <c r="D877" s="50" t="s">
        <v>7</v>
      </c>
      <c r="E877" s="50" t="s">
        <v>246</v>
      </c>
      <c r="F877" s="50" t="s">
        <v>27</v>
      </c>
      <c r="G877" s="51"/>
    </row>
    <row r="878" spans="1:7" s="50" customFormat="1" ns3:dyDescent="0.2">
      <c r="A878" s="50" t="s">
        <v>232</v>
      </c>
      <c r="B878" s="51">
        <v>2.6426013986013985E-3</v>
      </c>
      <c r="D878" s="50" t="s">
        <v>7</v>
      </c>
      <c r="E878" s="50" t="s">
        <v>245</v>
      </c>
      <c r="F878" s="50" t="s">
        <v>27</v>
      </c>
      <c r="G878" s="51"/>
    </row>
    <row r="879" spans="1:7" s="50" customFormat="1" ns3:dyDescent="0.2">
      <c r="A879" s="50" t="s">
        <v>232</v>
      </c>
      <c r="B879" s="51">
        <v>2.7108251748251747E-4</v>
      </c>
      <c r="D879" s="50" t="s">
        <v>7</v>
      </c>
      <c r="E879" s="50" t="s">
        <v>246</v>
      </c>
      <c r="F879" s="50" t="s">
        <v>27</v>
      </c>
      <c r="G879" s="51"/>
    </row>
    <row r="880" spans="1:7" s="50" customFormat="1" ns3:dyDescent="0.2">
      <c r="A880" s="50" t="s">
        <v>197</v>
      </c>
      <c r="B880" s="51">
        <v>4.8599999999999998E-8</v>
      </c>
      <c r="D880" s="50" t="s">
        <v>7</v>
      </c>
      <c r="E880" s="50" t="s">
        <v>245</v>
      </c>
      <c r="F880" s="50" t="s">
        <v>27</v>
      </c>
      <c r="G880" s="51"/>
    </row>
    <row r="881" spans="1:7" s="50" customFormat="1" ns3:dyDescent="0.2">
      <c r="A881" s="50" t="s">
        <v>197</v>
      </c>
      <c r="B881" s="51">
        <v>5.3889230769230771E-11</v>
      </c>
      <c r="D881" s="50" t="s">
        <v>7</v>
      </c>
      <c r="E881" s="50" t="s">
        <v>246</v>
      </c>
      <c r="F881" s="50" t="s">
        <v>27</v>
      </c>
      <c r="G881" s="51"/>
    </row>
    <row r="882" spans="1:7" s="50" customFormat="1" ns3:dyDescent="0.2">
      <c r="A882" s="50" t="s">
        <v>233</v>
      </c>
      <c r="B882" s="51">
        <v>4.0634685314685309E-2</v>
      </c>
      <c r="D882" s="50" t="s">
        <v>7</v>
      </c>
      <c r="E882" s="50" t="s">
        <v>245</v>
      </c>
      <c r="F882" s="50" t="s">
        <v>27</v>
      </c>
      <c r="G882" s="51"/>
    </row>
    <row r="883" spans="1:7" s="50" customFormat="1" ns3:dyDescent="0.2">
      <c r="A883" s="50" t="s">
        <v>233</v>
      </c>
      <c r="B883" s="51">
        <v>8.6037482517482518E-4</v>
      </c>
      <c r="D883" s="50" t="s">
        <v>7</v>
      </c>
      <c r="E883" s="50" t="s">
        <v>246</v>
      </c>
      <c r="F883" s="50" t="s">
        <v>27</v>
      </c>
      <c r="G883" s="51"/>
    </row>
    <row r="884" spans="1:7" s="50" customFormat="1" ns3:dyDescent="0.2">
      <c r="A884" s="50" t="s">
        <v>234</v>
      </c>
      <c r="B884" s="51">
        <v>1.1063580419580421E-3</v>
      </c>
      <c r="D884" s="50" t="s">
        <v>7</v>
      </c>
      <c r="E884" s="50" t="s">
        <v>245</v>
      </c>
      <c r="F884" s="50" t="s">
        <v>27</v>
      </c>
      <c r="G884" s="51"/>
    </row>
    <row r="885" spans="1:7" s="50" customFormat="1" ns3:dyDescent="0.2">
      <c r="A885" s="50" t="s">
        <v>234</v>
      </c>
      <c r="B885" s="51">
        <v>7.4603076923076932E-3</v>
      </c>
      <c r="D885" s="50" t="s">
        <v>7</v>
      </c>
      <c r="E885" s="50" t="s">
        <v>246</v>
      </c>
      <c r="F885" s="50" t="s">
        <v>27</v>
      </c>
      <c r="G885" s="51"/>
    </row>
    <row r="886" spans="1:7" s="50" customFormat="1" ns3:dyDescent="0.2">
      <c r="A886" s="50" t="s">
        <v>199</v>
      </c>
      <c r="B886" s="51">
        <v>2.2805622377622377E-9</v>
      </c>
      <c r="D886" s="50" t="s">
        <v>7</v>
      </c>
      <c r="E886" s="50" t="s">
        <v>246</v>
      </c>
      <c r="F886" s="50" t="s">
        <v>27</v>
      </c>
      <c r="G886" s="51"/>
    </row>
    <row r="887" spans="1:7" s="50" customFormat="1" ns3:dyDescent="0.2">
      <c r="A887" s="50" t="s">
        <v>235</v>
      </c>
      <c r="B887" s="51">
        <v>1.0012027972027972E-6</v>
      </c>
      <c r="D887" s="50" t="s">
        <v>7</v>
      </c>
      <c r="E887" s="50" t="s">
        <v>245</v>
      </c>
      <c r="F887" s="50" t="s">
        <v>27</v>
      </c>
      <c r="G887" s="51"/>
    </row>
    <row r="888" spans="1:7" s="50" customFormat="1" ns3:dyDescent="0.2">
      <c r="A888" s="50" t="s">
        <v>235</v>
      </c>
      <c r="B888" s="51">
        <v>2.9024055944055941E-7</v>
      </c>
      <c r="D888" s="50" t="s">
        <v>7</v>
      </c>
      <c r="E888" s="50" t="s">
        <v>246</v>
      </c>
      <c r="F888" s="50" t="s">
        <v>27</v>
      </c>
      <c r="G888" s="51"/>
    </row>
    <row r="889" spans="1:7" s="50" customFormat="1" ns3:dyDescent="0.2">
      <c r="A889" s="50" t="s">
        <v>200</v>
      </c>
      <c r="B889" s="51">
        <v>9.6140139860139865E-6</v>
      </c>
      <c r="D889" s="50" t="s">
        <v>7</v>
      </c>
      <c r="E889" s="50" t="s">
        <v>245</v>
      </c>
      <c r="F889" s="50" t="s">
        <v>27</v>
      </c>
      <c r="G889" s="51"/>
    </row>
    <row r="890" spans="1:7" s="50" customFormat="1" ns3:dyDescent="0.2">
      <c r="A890" s="50" t="s">
        <v>200</v>
      </c>
      <c r="B890" s="51">
        <v>1.8245202797202798E-9</v>
      </c>
      <c r="D890" s="50" t="s">
        <v>7</v>
      </c>
      <c r="E890" s="50" t="s">
        <v>246</v>
      </c>
      <c r="F890" s="50" t="s">
        <v>27</v>
      </c>
      <c r="G890" s="51"/>
    </row>
    <row r="891" spans="1:7" s="50" customFormat="1" ns3:dyDescent="0.2">
      <c r="A891" s="50" t="s">
        <v>201</v>
      </c>
      <c r="B891" s="51">
        <v>3.7241118881118882E-5</v>
      </c>
      <c r="D891" s="50" t="s">
        <v>7</v>
      </c>
      <c r="E891" s="50" t="s">
        <v>245</v>
      </c>
      <c r="F891" s="50" t="s">
        <v>27</v>
      </c>
      <c r="G891" s="51"/>
    </row>
    <row r="892" spans="1:7" s="50" customFormat="1" ns3:dyDescent="0.2">
      <c r="A892" s="50" t="s">
        <v>201</v>
      </c>
      <c r="B892" s="51">
        <v>3.428055944055944E-9</v>
      </c>
      <c r="D892" s="50" t="s">
        <v>7</v>
      </c>
      <c r="E892" s="50" t="s">
        <v>246</v>
      </c>
      <c r="F892" s="50" t="s">
        <v>27</v>
      </c>
      <c r="G892" s="51"/>
    </row>
    <row r="893" spans="1:7" s="50" customFormat="1" ns3:dyDescent="0.2">
      <c r="A893" s="50" t="s">
        <v>236</v>
      </c>
      <c r="B893" s="51">
        <v>1.0456615384615384E-3</v>
      </c>
      <c r="D893" s="50" t="s">
        <v>7</v>
      </c>
      <c r="E893" s="50" t="s">
        <v>245</v>
      </c>
      <c r="F893" s="50" t="s">
        <v>27</v>
      </c>
      <c r="G893" s="51"/>
    </row>
    <row r="894" spans="1:7" s="50" customFormat="1" ns3:dyDescent="0.2">
      <c r="A894" s="50" t="s">
        <v>236</v>
      </c>
      <c r="B894" s="51">
        <v>1.1824363636363636E-4</v>
      </c>
      <c r="D894" s="50" t="s">
        <v>7</v>
      </c>
      <c r="E894" s="50" t="s">
        <v>246</v>
      </c>
      <c r="F894" s="50" t="s">
        <v>27</v>
      </c>
      <c r="G894" s="51"/>
    </row>
    <row r="895" spans="1:7" s="50" customFormat="1" ns3:dyDescent="0.2">
      <c r="A895" s="50" t="s">
        <v>237</v>
      </c>
      <c r="B895" s="51">
        <v>2.9298461538461538E-4</v>
      </c>
      <c r="D895" s="50" t="s">
        <v>7</v>
      </c>
      <c r="E895" s="50" t="s">
        <v>245</v>
      </c>
      <c r="F895" s="50" t="s">
        <v>27</v>
      </c>
      <c r="G895" s="51"/>
    </row>
    <row r="896" spans="1:7" s="50" customFormat="1" ns3:dyDescent="0.2">
      <c r="A896" s="50" t="s">
        <v>237</v>
      </c>
      <c r="B896" s="51">
        <v>1.278151048951049E-4</v>
      </c>
      <c r="D896" s="50" t="s">
        <v>7</v>
      </c>
      <c r="E896" s="50" t="s">
        <v>246</v>
      </c>
      <c r="F896" s="50" t="s">
        <v>27</v>
      </c>
      <c r="G896" s="51"/>
    </row>
    <row r="897" spans="1:7" s="50" customFormat="1" ns3:dyDescent="0.2">
      <c r="A897" s="50" t="s">
        <v>205</v>
      </c>
      <c r="B897" s="51">
        <v>3.7538181818181822</v>
      </c>
      <c r="D897" s="50" t="s">
        <v>17</v>
      </c>
      <c r="E897" s="50" t="s">
        <v>246</v>
      </c>
      <c r="F897" s="50" t="s">
        <v>27</v>
      </c>
      <c r="G897" s="51"/>
    </row>
    <row r="898" spans="1:7" s="50" customFormat="1" ns3:dyDescent="0.2">
      <c r="A898" s="50" t="s">
        <v>257</v>
      </c>
      <c r="B898" s="51">
        <v>2.2649034965034967E-15</v>
      </c>
      <c r="D898" s="50" t="s">
        <v>7</v>
      </c>
      <c r="E898" s="50" t="s">
        <v>245</v>
      </c>
      <c r="F898" s="50" t="s">
        <v>27</v>
      </c>
      <c r="G898" s="51"/>
    </row>
    <row r="899" spans="1:7" s="50" customFormat="1" ns3:dyDescent="0.2">
      <c r="A899" s="50" t="s">
        <v>257</v>
      </c>
      <c r="B899" s="51">
        <v>1.1779048951048952E-7</v>
      </c>
      <c r="D899" s="50" t="s">
        <v>7</v>
      </c>
      <c r="E899" s="50" t="s">
        <v>246</v>
      </c>
      <c r="F899" s="50" t="s">
        <v>27</v>
      </c>
      <c r="G899" s="51"/>
    </row>
    <row r="900" spans="1:7" s="50" customFormat="1" ns3:dyDescent="0.2">
      <c r="A900" s="50" t="s">
        <v>208</v>
      </c>
      <c r="B900" s="51">
        <v>6.756671328671329E-4</v>
      </c>
      <c r="D900" s="50" t="s">
        <v>7</v>
      </c>
      <c r="E900" s="50" t="s">
        <v>245</v>
      </c>
      <c r="F900" s="50" t="s">
        <v>27</v>
      </c>
      <c r="G900" s="51"/>
    </row>
    <row r="901" spans="1:7" s="50" customFormat="1" ns3:dyDescent="0.2">
      <c r="A901" s="50" t="s">
        <v>208</v>
      </c>
      <c r="B901" s="51">
        <v>2.7735104895104896E-8</v>
      </c>
      <c r="D901" s="50" t="s">
        <v>7</v>
      </c>
      <c r="E901" s="50" t="s">
        <v>246</v>
      </c>
      <c r="F901" s="50" t="s">
        <v>27</v>
      </c>
      <c r="G901" s="51"/>
    </row>
    <row r="902" spans="1:7" s="50" customFormat="1" ns3:dyDescent="0.2">
      <c r="A902" s="50" t="s">
        <v>209</v>
      </c>
      <c r="B902" s="51">
        <v>2.8694265734265735E-5</v>
      </c>
      <c r="D902" s="50" t="s">
        <v>7</v>
      </c>
      <c r="E902" s="50" t="s">
        <v>245</v>
      </c>
      <c r="F902" s="50" t="s">
        <v>27</v>
      </c>
      <c r="G902" s="51"/>
    </row>
    <row r="903" spans="1:7" s="50" customFormat="1" ns3:dyDescent="0.2">
      <c r="A903" s="50" t="s">
        <v>209</v>
      </c>
      <c r="B903" s="51">
        <v>2.7767832167832169E-9</v>
      </c>
      <c r="D903" s="50" t="s">
        <v>7</v>
      </c>
      <c r="E903" s="50" t="s">
        <v>246</v>
      </c>
      <c r="F903" s="50" t="s">
        <v>27</v>
      </c>
      <c r="G903" s="51"/>
    </row>
    <row r="904" spans="1:7" s="50" customFormat="1" ns3:dyDescent="0.2">
      <c r="A904" s="50" t="s">
        <v>251</v>
      </c>
      <c r="B904" s="51">
        <v>5.7670489510489508E-3</v>
      </c>
      <c r="D904" s="50" t="s">
        <v>7</v>
      </c>
      <c r="E904" s="50" t="s">
        <v>245</v>
      </c>
      <c r="F904" s="50" t="s">
        <v>27</v>
      </c>
      <c r="G904" s="51"/>
    </row>
    <row r="905" spans="1:7" s="50" customFormat="1" ns3:dyDescent="0.2">
      <c r="A905" s="50" t="s">
        <v>251</v>
      </c>
      <c r="B905" s="51">
        <v>4.6883076923076929E-5</v>
      </c>
      <c r="D905" s="50" t="s">
        <v>7</v>
      </c>
      <c r="E905" s="50" t="s">
        <v>246</v>
      </c>
      <c r="F905" s="50" t="s">
        <v>27</v>
      </c>
      <c r="G905" s="51"/>
    </row>
    <row r="906" spans="1:7" s="50" customFormat="1" ns3:dyDescent="0.2">
      <c r="A906" s="50" t="s">
        <v>210</v>
      </c>
      <c r="B906" s="51">
        <v>7.5036083916083917E-6</v>
      </c>
      <c r="D906" s="50" t="s">
        <v>7</v>
      </c>
      <c r="E906" s="50" t="s">
        <v>245</v>
      </c>
      <c r="F906" s="50" t="s">
        <v>27</v>
      </c>
      <c r="G906" s="51"/>
    </row>
    <row r="907" spans="1:7" s="50" customFormat="1" ns3:dyDescent="0.2">
      <c r="A907" s="50" t="s">
        <v>210</v>
      </c>
      <c r="B907" s="51">
        <v>1.1830405594405597E-9</v>
      </c>
      <c r="D907" s="50" t="s">
        <v>7</v>
      </c>
      <c r="E907" s="50" t="s">
        <v>246</v>
      </c>
      <c r="F907" s="50" t="s">
        <v>27</v>
      </c>
      <c r="G907" s="51"/>
    </row>
    <row r="908" spans="1:7" s="50" customFormat="1" ns3:dyDescent="0.2">
      <c r="A908" s="50" t="s">
        <v>211</v>
      </c>
      <c r="B908" s="51">
        <v>3.2294265734265737E-8</v>
      </c>
      <c r="D908" s="50" t="s">
        <v>7</v>
      </c>
      <c r="E908" s="50" t="s">
        <v>245</v>
      </c>
      <c r="F908" s="50" t="s">
        <v>27</v>
      </c>
      <c r="G908" s="51"/>
    </row>
    <row r="909" spans="1:7" s="50" customFormat="1" ns3:dyDescent="0.2">
      <c r="A909" s="50" t="s">
        <v>211</v>
      </c>
      <c r="B909" s="51">
        <v>8.1790489510489511E-10</v>
      </c>
      <c r="D909" s="50" t="s">
        <v>7</v>
      </c>
      <c r="E909" s="50" t="s">
        <v>246</v>
      </c>
      <c r="F909" s="50" t="s">
        <v>27</v>
      </c>
      <c r="G909" s="51"/>
    </row>
    <row r="910" spans="1:7" s="50" customFormat="1" ns3:dyDescent="0.2">
      <c r="A910" s="50" t="s">
        <v>253</v>
      </c>
      <c r="B910" s="51">
        <v>6.7717762237762231E-7</v>
      </c>
      <c r="D910" s="50" t="s">
        <v>7</v>
      </c>
      <c r="E910" s="50" t="s">
        <v>245</v>
      </c>
      <c r="F910" s="50" t="s">
        <v>27</v>
      </c>
      <c r="G910" s="51"/>
    </row>
    <row r="911" spans="1:7" s="50" customFormat="1" ns3:dyDescent="0.2">
      <c r="A911" s="50" t="s">
        <v>253</v>
      </c>
      <c r="B911" s="51">
        <v>1.4614741258741259E-7</v>
      </c>
      <c r="D911" s="50" t="s">
        <v>7</v>
      </c>
      <c r="E911" s="50" t="s">
        <v>246</v>
      </c>
      <c r="F911" s="50" t="s">
        <v>27</v>
      </c>
      <c r="G911" s="51"/>
    </row>
    <row r="912" spans="1:7" s="50" customFormat="1" ns3:dyDescent="0.2">
      <c r="A912" s="50" t="s">
        <v>214</v>
      </c>
      <c r="B912" s="51">
        <v>1.1745062937062937E-5</v>
      </c>
      <c r="D912" s="50" t="s">
        <v>7</v>
      </c>
      <c r="E912" s="50" t="s">
        <v>245</v>
      </c>
      <c r="F912" s="50" t="s">
        <v>27</v>
      </c>
      <c r="G912" s="51"/>
    </row>
    <row r="913" spans="1:7" s="50" customFormat="1" ns3:dyDescent="0.2">
      <c r="A913" s="50" t="s">
        <v>214</v>
      </c>
      <c r="B913" s="51">
        <v>8.059972027972029E-9</v>
      </c>
      <c r="D913" s="50" t="s">
        <v>7</v>
      </c>
      <c r="E913" s="50" t="s">
        <v>246</v>
      </c>
      <c r="F913" s="50" t="s">
        <v>27</v>
      </c>
      <c r="G913" s="51"/>
    </row>
    <row r="914" spans="1:7" s="50" customFormat="1" ns3:dyDescent="0.2">
      <c r="A914" s="50" t="s">
        <v>238</v>
      </c>
      <c r="B914" s="51">
        <v>3.1501258741258742E-4</v>
      </c>
      <c r="D914" s="50" t="s">
        <v>7</v>
      </c>
      <c r="E914" s="50" t="s">
        <v>245</v>
      </c>
      <c r="F914" s="50" t="s">
        <v>27</v>
      </c>
      <c r="G914" s="51"/>
    </row>
    <row r="915" spans="1:7" s="50" customFormat="1" ns3:dyDescent="0.2">
      <c r="A915" s="50" t="s">
        <v>238</v>
      </c>
      <c r="B915" s="51">
        <v>1.1284363636363638E-4</v>
      </c>
      <c r="D915" s="50" t="s">
        <v>7</v>
      </c>
      <c r="E915" s="50" t="s">
        <v>246</v>
      </c>
      <c r="F915" s="50" t="s">
        <v>27</v>
      </c>
      <c r="G915" s="51"/>
    </row>
    <row r="916" spans="1:7" s="50" customFormat="1" ns3:dyDescent="0.2">
      <c r="A916" s="50" t="s">
        <v>258</v>
      </c>
      <c r="B916" s="51">
        <v>2.2315216783216782E-4</v>
      </c>
      <c r="D916" s="50" t="s">
        <v>7</v>
      </c>
      <c r="E916" s="50" t="s">
        <v>245</v>
      </c>
      <c r="F916" s="50" t="s">
        <v>27</v>
      </c>
      <c r="G916" s="51"/>
    </row>
    <row r="917" spans="1:7" s="50" customFormat="1" ns3:dyDescent="0.2">
      <c r="A917" s="50" t="s">
        <v>258</v>
      </c>
      <c r="B917" s="51">
        <v>3.6944055944055944E-6</v>
      </c>
      <c r="D917" s="50" t="s">
        <v>7</v>
      </c>
      <c r="E917" s="50" t="s">
        <v>246</v>
      </c>
      <c r="F917" s="50" t="s">
        <v>27</v>
      </c>
      <c r="G917" s="51"/>
    </row>
    <row r="918" spans="1:7" s="50" customFormat="1" ns3:dyDescent="0.2">
      <c r="A918" s="50" t="s">
        <v>255</v>
      </c>
      <c r="B918" s="51">
        <v>5.5145454545454551E-3</v>
      </c>
      <c r="D918" s="50" t="s">
        <v>7</v>
      </c>
      <c r="E918" s="50" t="s">
        <v>245</v>
      </c>
      <c r="F918" s="50" t="s">
        <v>27</v>
      </c>
      <c r="G918" s="51"/>
    </row>
    <row r="919" spans="1:7" s="50" customFormat="1" ns3:dyDescent="0.2">
      <c r="A919" s="50" t="s">
        <v>255</v>
      </c>
      <c r="B919" s="51">
        <v>2.0839972027972028E-3</v>
      </c>
      <c r="D919" s="50" t="s">
        <v>7</v>
      </c>
      <c r="E919" s="50" t="s">
        <v>246</v>
      </c>
      <c r="F919" s="50" t="s">
        <v>27</v>
      </c>
      <c r="G919" s="51"/>
    </row>
    <row r="920" spans="1:7" s="50" customFormat="1" ns3:dyDescent="0.2">
      <c r="A920" s="50" t="s">
        <v>219</v>
      </c>
      <c r="B920" s="51">
        <v>8.4209790209790204E-7</v>
      </c>
      <c r="D920" s="50" t="s">
        <v>7</v>
      </c>
      <c r="E920" s="50" t="s">
        <v>245</v>
      </c>
      <c r="F920" s="50" t="s">
        <v>27</v>
      </c>
      <c r="G920" s="51"/>
    </row>
    <row r="921" spans="1:7" s="50" customFormat="1" ns3:dyDescent="0.2">
      <c r="A921" s="50" t="s">
        <v>219</v>
      </c>
      <c r="B921" s="51">
        <v>2.1863832167832167E-7</v>
      </c>
      <c r="D921" s="50" t="s">
        <v>7</v>
      </c>
      <c r="E921" s="50" t="s">
        <v>246</v>
      </c>
      <c r="F921" s="50" t="s">
        <v>27</v>
      </c>
      <c r="G921" s="51"/>
    </row>
    <row r="922" spans="1:7" s="50" customFormat="1" ns3:dyDescent="0.2">
      <c r="A922" s="50" t="s">
        <v>239</v>
      </c>
      <c r="B922" s="51">
        <v>6.4825174825174827E-3</v>
      </c>
      <c r="D922" s="50" t="s">
        <v>7</v>
      </c>
      <c r="E922" s="50" t="s">
        <v>245</v>
      </c>
      <c r="F922" s="50" t="s">
        <v>27</v>
      </c>
      <c r="G922" s="51"/>
    </row>
    <row r="923" spans="1:7" s="50" customFormat="1" ns3:dyDescent="0.2">
      <c r="A923" s="50" t="s">
        <v>239</v>
      </c>
      <c r="B923" s="51">
        <v>2.0803972027972029E-5</v>
      </c>
      <c r="D923" s="50" t="s">
        <v>7</v>
      </c>
      <c r="E923" s="50" t="s">
        <v>246</v>
      </c>
      <c r="F923" s="50" t="s">
        <v>27</v>
      </c>
      <c r="G923" s="51"/>
    </row>
    <row r="924" spans="1:7" s="50" customFormat="1" ns3:dyDescent="0.2">
      <c r="A924" s="50" t="s">
        <v>240</v>
      </c>
      <c r="B924" s="51">
        <v>2.1556699300699302E-3</v>
      </c>
      <c r="D924" s="50" t="s">
        <v>7</v>
      </c>
      <c r="E924" s="50" t="s">
        <v>245</v>
      </c>
      <c r="F924" s="50" t="s">
        <v>27</v>
      </c>
      <c r="G924" s="51"/>
    </row>
    <row r="925" spans="1:7" s="50" customFormat="1" ns3:dyDescent="0.2">
      <c r="A925" s="50" t="s">
        <v>240</v>
      </c>
      <c r="B925" s="51">
        <v>1.0839524475524476E-3</v>
      </c>
      <c r="D925" s="50" t="s">
        <v>7</v>
      </c>
      <c r="E925" s="50" t="s">
        <v>246</v>
      </c>
      <c r="F925" s="50" t="s">
        <v>27</v>
      </c>
      <c r="G925" s="51"/>
    </row>
    <row r="926" spans="1:7" s="50" customFormat="1" ns3:dyDescent="0.2">
      <c r="A926" s="50" t="s">
        <v>241</v>
      </c>
      <c r="B926" s="51">
        <v>7.8711608391608401E-3</v>
      </c>
      <c r="D926" s="50" t="s">
        <v>7</v>
      </c>
      <c r="E926" s="50" t="s">
        <v>245</v>
      </c>
      <c r="F926" s="50" t="s">
        <v>27</v>
      </c>
      <c r="G926" s="51"/>
    </row>
    <row r="927" spans="1:7" s="50" customFormat="1" ns3:dyDescent="0.2">
      <c r="A927" s="50" t="s">
        <v>241</v>
      </c>
      <c r="B927" s="51">
        <v>1.3452923076923077E-3</v>
      </c>
      <c r="D927" s="50" t="s">
        <v>7</v>
      </c>
      <c r="E927" s="50" t="s">
        <v>246</v>
      </c>
      <c r="F927" s="50" t="s">
        <v>27</v>
      </c>
      <c r="G927" s="51"/>
    </row>
    <row r="928" spans="1:7" s="50" customFormat="1" ns3:dyDescent="0.2">
      <c r="A928" s="50" t="s">
        <v>242</v>
      </c>
      <c r="B928" s="51">
        <v>1.0456615384615384E-3</v>
      </c>
      <c r="D928" s="50" t="s">
        <v>7</v>
      </c>
      <c r="E928" s="50" t="s">
        <v>245</v>
      </c>
      <c r="F928" s="50" t="s">
        <v>27</v>
      </c>
      <c r="G928" s="51"/>
    </row>
    <row r="929" spans="1:7" s="50" customFormat="1" ns3:dyDescent="0.2">
      <c r="A929" s="50" t="s">
        <v>242</v>
      </c>
      <c r="B929" s="51">
        <v>1.1824363636363636E-4</v>
      </c>
      <c r="D929" s="50" t="s">
        <v>7</v>
      </c>
      <c r="E929" s="50" t="s">
        <v>246</v>
      </c>
      <c r="F929" s="50" t="s">
        <v>27</v>
      </c>
      <c r="G929" s="51"/>
    </row>
    <row r="930" spans="1:7" s="50" customFormat="1" ns3:dyDescent="0.2">
      <c r="A930" s="50" t="s">
        <v>223</v>
      </c>
      <c r="B930" s="51">
        <v>2.4847804195804196E-9</v>
      </c>
      <c r="D930" s="50" t="s">
        <v>7</v>
      </c>
      <c r="E930" s="50" t="s">
        <v>245</v>
      </c>
      <c r="F930" s="50" t="s">
        <v>27</v>
      </c>
      <c r="G930" s="51"/>
    </row>
    <row r="931" spans="1:7" s="50" customFormat="1" ns3:dyDescent="0.2">
      <c r="A931" s="50" t="s">
        <v>223</v>
      </c>
      <c r="B931" s="51">
        <v>4.1483076923076925E-12</v>
      </c>
      <c r="D931" s="50" t="s">
        <v>7</v>
      </c>
      <c r="E931" s="50" t="s">
        <v>246</v>
      </c>
      <c r="F931" s="50" t="s">
        <v>27</v>
      </c>
      <c r="G931" s="51"/>
    </row>
    <row r="932" spans="1:7" s="50" customFormat="1" ns3:dyDescent="0.2">
      <c r="A932" s="50" t="s">
        <v>224</v>
      </c>
      <c r="B932" s="51">
        <v>1.1653426573426574E-5</v>
      </c>
      <c r="D932" s="50" t="s">
        <v>7</v>
      </c>
      <c r="E932" s="50" t="s">
        <v>245</v>
      </c>
      <c r="F932" s="50" t="s">
        <v>27</v>
      </c>
      <c r="G932" s="51"/>
    </row>
    <row r="933" spans="1:7" s="50" customFormat="1" ns3:dyDescent="0.2">
      <c r="A933" s="50" t="s">
        <v>224</v>
      </c>
      <c r="B933" s="51">
        <v>1.5872475524475522E-8</v>
      </c>
      <c r="D933" s="50" t="s">
        <v>7</v>
      </c>
      <c r="E933" s="50" t="s">
        <v>246</v>
      </c>
      <c r="F933" s="50" t="s">
        <v>27</v>
      </c>
      <c r="G933" s="51"/>
    </row>
    <row r="934" spans="1:7" s="50" customFormat="1" ns3:dyDescent="0.2">
      <c r="A934" s="50" t="s">
        <v>227</v>
      </c>
      <c r="B934" s="51">
        <v>2.5718601398601402E-6</v>
      </c>
      <c r="D934" s="50" t="s">
        <v>7</v>
      </c>
      <c r="E934" s="50" t="s">
        <v>245</v>
      </c>
      <c r="F934" s="50" t="s">
        <v>27</v>
      </c>
      <c r="G934" s="51"/>
    </row>
    <row r="935" spans="1:7" s="50" customFormat="1" ns3:dyDescent="0.2">
      <c r="A935" s="50" t="s">
        <v>227</v>
      </c>
      <c r="B935" s="51">
        <v>9.6709090909090917E-9</v>
      </c>
      <c r="D935" s="50" t="s">
        <v>7</v>
      </c>
      <c r="E935" s="50" t="s">
        <v>246</v>
      </c>
      <c r="F935" s="50" t="s">
        <v>27</v>
      </c>
      <c r="G935" s="51"/>
    </row>
    <row r="936" spans="1:7" s="50" customFormat="1" ns3:dyDescent="0.2">
      <c r="A936" s="50" t="s">
        <v>228</v>
      </c>
      <c r="B936" s="51">
        <v>7.3078993006993006E-4</v>
      </c>
      <c r="D936" s="50" t="s">
        <v>37</v>
      </c>
      <c r="E936" s="50" t="s">
        <v>246</v>
      </c>
      <c r="F936" s="50" t="s">
        <v>27</v>
      </c>
      <c r="G936" s="51"/>
    </row>
    <row r="937" spans="1:7" s="50" customFormat="1" ns3:dyDescent="0.2">
      <c r="A937" s="50" t="s">
        <v>229</v>
      </c>
      <c r="B937" s="51">
        <v>5.7428811188811191E-5</v>
      </c>
      <c r="D937" s="50" t="s">
        <v>7</v>
      </c>
      <c r="E937" s="50" t="s">
        <v>245</v>
      </c>
      <c r="F937" s="50" t="s">
        <v>27</v>
      </c>
      <c r="G937" s="51"/>
    </row>
    <row r="938" spans="1:7" s="50" customFormat="1" ns3:dyDescent="0.2">
      <c r="A938" s="50" t="s">
        <v>229</v>
      </c>
      <c r="B938" s="51">
        <v>7.8240839160839163E-9</v>
      </c>
      <c r="D938" s="50" t="s">
        <v>7</v>
      </c>
      <c r="E938" s="50" t="s">
        <v>246</v>
      </c>
      <c r="F938" s="50" t="s">
        <v>27</v>
      </c>
      <c r="G938" s="51"/>
    </row>
    <row r="939" spans="1:7" s="50" customFormat="1" ns3:dyDescent="0.2">
      <c r="A939" s="50" t="s">
        <v>243</v>
      </c>
      <c r="B939" s="51">
        <v>1.2098517482517483</v>
      </c>
      <c r="D939" s="50" t="s">
        <v>7</v>
      </c>
      <c r="E939" s="50" t="s">
        <v>111</v>
      </c>
      <c r="F939" s="50" t="s">
        <v>27</v>
      </c>
      <c r="G939" s="51"/>
    </row>
    <row r="940" spans="1:7" s="50" customFormat="1" ns3:dyDescent="0.2">
      <c r="A940" s="50" t="s">
        <v>35</v>
      </c>
      <c r="B940" s="51">
        <f>(1/0.42)*0.29*6.09</f>
        <v>4.2050000000000001</v>
      </c>
      <c r="D940" s="50" t="s">
        <v>17</v>
      </c>
      <c r="E940" s="50" t="s">
        <v>36</v>
      </c>
      <c r="F940" s="50" t="s">
        <v>27</v>
      </c>
      <c r="G940" s="51"/>
    </row>
    <row r="941" spans="1:7" s="50" customFormat="1" ns3:dyDescent="0.2">
      <c r="B941" s="52"/>
    </row>
    <row r="942" spans="1:7" s="50" customFormat="1" ht="16" ns3:dyDescent="0.2">
      <c r="A942" s="49" t="s">
        <v>0</v>
      </c>
      <c r="B942" s="49" t="s">
        <v>137</v>
      </c>
    </row>
    <row r="943" spans="1:7" s="50" customFormat="1" ns3:dyDescent="0.2">
      <c r="A943" s="50" t="s">
        <v>1</v>
      </c>
      <c r="B943" s="50" t="s">
        <v>104</v>
      </c>
    </row>
    <row r="944" spans="1:7" s="50" customFormat="1" ns3:dyDescent="0.2">
      <c r="A944" s="50" t="s">
        <v>2</v>
      </c>
      <c r="B944" s="50">
        <v>1</v>
      </c>
    </row>
    <row r="945" spans="1:8" s="50" customFormat="1" ns3:dyDescent="0.2">
      <c r="A945" s="50" t="s">
        <v>9</v>
      </c>
      <c r="B945" s="50" t="s">
        <v>133</v>
      </c>
    </row>
    <row r="946" spans="1:8" s="50" customFormat="1" ns3:dyDescent="0.2">
      <c r="A946" s="50" t="s">
        <v>3</v>
      </c>
      <c r="B946" s="3" t="s">
        <v>132</v>
      </c>
    </row>
    <row r="947" spans="1:8" s="50" customFormat="1" ns3:dyDescent="0.2">
      <c r="A947" s="50" t="s">
        <v>4</v>
      </c>
      <c r="B947" s="50" t="s">
        <v>5</v>
      </c>
    </row>
    <row r="948" spans="1:8" ns3:dyDescent="0.2">
      <c r="A948" t="s">
        <v>261</v>
      </c>
      <c r="B948" s="23">
        <f>0.33*29%*90%</f>
        <v>8.6129999999999998E-2</v>
      </c>
    </row>
    <row r="949" spans="1:8" s="50" customFormat="1" ns3:dyDescent="0.2">
      <c r="A949" s="50" t="s">
        <v>6</v>
      </c>
      <c r="B949" s="50" t="s">
        <v>126</v>
      </c>
    </row>
    <row r="950" spans="1:8" s="50" customFormat="1" ht="16" ns3:dyDescent="0.2">
      <c r="A950" s="49" t="s">
        <v>10</v>
      </c>
    </row>
    <row r="951" spans="1:8" s="50" customFormat="1" ns3:dyDescent="0.2">
      <c r="A951" s="50" t="s">
        <v>11</v>
      </c>
      <c r="B951" s="50" t="s">
        <v>12</v>
      </c>
      <c r="C951" s="50" t="s">
        <v>1</v>
      </c>
      <c r="D951" s="50" t="s">
        <v>6</v>
      </c>
      <c r="E951" s="50" t="s">
        <v>13</v>
      </c>
      <c r="F951" s="50" t="s">
        <v>4</v>
      </c>
      <c r="G951" s="50" t="s">
        <v>9</v>
      </c>
      <c r="H951" s="50" t="s">
        <v>3</v>
      </c>
    </row>
    <row r="952" spans="1:8" s="50" customFormat="1" ns3:dyDescent="0.2">
      <c r="A952" s="50" t="str">
        <f>B942</f>
        <v>electricity production, at co-generation biowaste-fired power plant, post, pipeline 200km, storage 1000m</v>
      </c>
      <c r="B952" s="50">
        <v>1</v>
      </c>
      <c r="C952" s="50" t="str">
        <f>B943</f>
        <v>CH</v>
      </c>
      <c r="D952" s="50" t="s">
        <v>126</v>
      </c>
      <c r="F952" s="50" t="s">
        <v>15</v>
      </c>
      <c r="G952" s="50" t="s">
        <v>16</v>
      </c>
      <c r="H952" s="51" t="str">
        <f>B946</f>
        <v>electricity, from biowaste, municipal incineration, energy allocation</v>
      </c>
    </row>
    <row r="953" spans="1:8" s="50" customFormat="1" ns3:dyDescent="0.2">
      <c r="A953" s="50" t="s">
        <v>134</v>
      </c>
      <c r="B953" s="50">
        <f>0.9*1.42931076923077</f>
        <v>1.2863796923076931</v>
      </c>
      <c r="C953" s="50" t="s">
        <v>103</v>
      </c>
      <c r="D953" s="50" t="s">
        <v>7</v>
      </c>
      <c r="F953" s="50" t="s">
        <v>18</v>
      </c>
      <c r="H953" s="50" t="s">
        <v>134</v>
      </c>
    </row>
    <row r="954" spans="1:8" s="50" customFormat="1" ns3:dyDescent="0.2">
      <c r="A954" s="50" t="s">
        <v>110</v>
      </c>
      <c r="B954" s="51">
        <v>1.4293107692307701</v>
      </c>
      <c r="D954" s="50" t="s">
        <v>7</v>
      </c>
      <c r="E954" s="50" t="s">
        <v>111</v>
      </c>
      <c r="F954" s="50" t="s">
        <v>27</v>
      </c>
      <c r="G954" s="52"/>
    </row>
    <row r="955" spans="1:8" s="50" customFormat="1" ns3:dyDescent="0.2">
      <c r="A955" s="50" t="s">
        <v>149</v>
      </c>
      <c r="B955" s="51">
        <v>1.4856646153846155E-3</v>
      </c>
      <c r="C955" s="50" t="s">
        <v>103</v>
      </c>
      <c r="D955" s="50" t="s">
        <v>7</v>
      </c>
      <c r="F955" t="s">
        <v>18</v>
      </c>
      <c r="G955" s="51"/>
      <c r="H955" s="50" t="s">
        <v>170</v>
      </c>
    </row>
    <row r="956" spans="1:8" s="50" customFormat="1" ns3:dyDescent="0.2">
      <c r="A956" s="50" t="s">
        <v>150</v>
      </c>
      <c r="B956" s="51">
        <v>8.5691076923076925E-7</v>
      </c>
      <c r="C956" s="50" t="s">
        <v>103</v>
      </c>
      <c r="D956" s="50" t="s">
        <v>7</v>
      </c>
      <c r="F956" t="s">
        <v>18</v>
      </c>
      <c r="G956" s="51"/>
      <c r="H956" s="50" t="s">
        <v>171</v>
      </c>
    </row>
    <row r="957" spans="1:8" s="50" customFormat="1" ns3:dyDescent="0.2">
      <c r="A957" s="50" t="s">
        <v>168</v>
      </c>
      <c r="B957" s="51">
        <v>1.4626800000000002E-2</v>
      </c>
      <c r="C957" s="50" t="s">
        <v>104</v>
      </c>
      <c r="D957" s="50" t="s">
        <v>7</v>
      </c>
      <c r="F957" t="s">
        <v>18</v>
      </c>
      <c r="G957" s="51"/>
      <c r="H957" s="50" t="s">
        <v>186</v>
      </c>
    </row>
    <row r="958" spans="1:8" s="50" customFormat="1" ns3:dyDescent="0.2">
      <c r="A958" s="50" t="s">
        <v>151</v>
      </c>
      <c r="B958" s="51">
        <v>2.0071107692307694E-4</v>
      </c>
      <c r="C958" s="50" t="s">
        <v>24</v>
      </c>
      <c r="D958" s="50" t="s">
        <v>7</v>
      </c>
      <c r="F958" t="s">
        <v>18</v>
      </c>
      <c r="G958" s="51"/>
      <c r="H958" s="50" t="s">
        <v>172</v>
      </c>
    </row>
    <row r="959" spans="1:8" s="50" customFormat="1" ns3:dyDescent="0.2">
      <c r="A959" s="50" t="s">
        <v>152</v>
      </c>
      <c r="B959" s="51">
        <v>1.5524584615384618E-6</v>
      </c>
      <c r="C959" s="50" t="s">
        <v>24</v>
      </c>
      <c r="D959" s="50" t="s">
        <v>7</v>
      </c>
      <c r="F959" t="s">
        <v>18</v>
      </c>
      <c r="G959" s="51"/>
      <c r="H959" s="50" t="s">
        <v>173</v>
      </c>
    </row>
    <row r="960" spans="1:8" s="50" customFormat="1" ns3:dyDescent="0.2">
      <c r="A960" t="s">
        <v>493</v>
      </c>
      <c r="B960" s="51">
        <v>1.8996092307692309E-6</v>
      </c>
      <c r="C960" s="50" t="s">
        <v>24</v>
      </c>
      <c r="D960" s="50" t="s">
        <v>7</v>
      </c>
      <c r="F960" t="s">
        <v>18</v>
      </c>
      <c r="G960" s="51"/>
      <c r="H960" t="s">
        <v>494</v>
      </c>
    </row>
    <row r="961" spans="1:8" s="50" customFormat="1" ns3:dyDescent="0.2">
      <c r="A961" s="50" t="s">
        <v>169</v>
      </c>
      <c r="B961" s="51">
        <v>0.27780923076923081</v>
      </c>
      <c r="C961" s="50" t="s">
        <v>104</v>
      </c>
      <c r="D961" s="50" t="s">
        <v>17</v>
      </c>
      <c r="F961" t="s">
        <v>18</v>
      </c>
      <c r="G961" s="51"/>
      <c r="H961" s="50" t="s">
        <v>187</v>
      </c>
    </row>
    <row r="962" spans="1:8" s="50" customFormat="1" ns3:dyDescent="0.2">
      <c r="A962" s="50" t="s">
        <v>153</v>
      </c>
      <c r="B962" s="51">
        <v>1.0662369230769232E-3</v>
      </c>
      <c r="C962" s="50" t="s">
        <v>103</v>
      </c>
      <c r="D962" s="50" t="s">
        <v>7</v>
      </c>
      <c r="F962" t="s">
        <v>18</v>
      </c>
      <c r="G962" s="51"/>
      <c r="H962" s="50" t="s">
        <v>174</v>
      </c>
    </row>
    <row r="963" spans="1:8" s="50" customFormat="1" ns3:dyDescent="0.2">
      <c r="A963" s="50" t="s">
        <v>154</v>
      </c>
      <c r="B963" s="51">
        <v>2.5794830769230773E-3</v>
      </c>
      <c r="C963" s="50" t="s">
        <v>103</v>
      </c>
      <c r="D963" s="50" t="s">
        <v>7</v>
      </c>
      <c r="F963" t="s">
        <v>18</v>
      </c>
      <c r="G963" s="51"/>
      <c r="H963" s="50" t="s">
        <v>175</v>
      </c>
    </row>
    <row r="964" spans="1:8" s="50" customFormat="1" ns3:dyDescent="0.2">
      <c r="A964" s="50" t="s">
        <v>155</v>
      </c>
      <c r="B964" s="51">
        <v>3.0120923076923081E-6</v>
      </c>
      <c r="C964" s="50" t="s">
        <v>24</v>
      </c>
      <c r="D964" s="50" t="s">
        <v>7</v>
      </c>
      <c r="F964" t="s">
        <v>18</v>
      </c>
      <c r="G964" s="51"/>
      <c r="H964" t="s">
        <v>474</v>
      </c>
    </row>
    <row r="965" spans="1:8" s="50" customFormat="1" ns3:dyDescent="0.2">
      <c r="A965" s="50" t="s">
        <v>156</v>
      </c>
      <c r="B965" s="51">
        <v>-8.0249538461538462E-3</v>
      </c>
      <c r="C965" s="50" t="s">
        <v>24</v>
      </c>
      <c r="D965" s="50" t="s">
        <v>7</v>
      </c>
      <c r="F965" t="s">
        <v>18</v>
      </c>
      <c r="G965" s="51"/>
      <c r="H965" s="50" t="s">
        <v>176</v>
      </c>
    </row>
    <row r="966" spans="1:8" s="50" customFormat="1" ns3:dyDescent="0.2">
      <c r="A966" s="50" t="s">
        <v>157</v>
      </c>
      <c r="B966" s="51">
        <v>6.9230769230769237E-10</v>
      </c>
      <c r="C966" s="50" t="s">
        <v>104</v>
      </c>
      <c r="D966" s="50" t="s">
        <v>6</v>
      </c>
      <c r="F966" t="s">
        <v>18</v>
      </c>
      <c r="G966" s="51"/>
      <c r="H966" s="50" t="s">
        <v>177</v>
      </c>
    </row>
    <row r="967" spans="1:8" s="50" customFormat="1" ns3:dyDescent="0.2">
      <c r="A967" s="50" t="s">
        <v>158</v>
      </c>
      <c r="B967" s="51">
        <v>7.290553846153848E-2</v>
      </c>
      <c r="C967" s="50" t="s">
        <v>104</v>
      </c>
      <c r="D967" s="50" t="s">
        <v>7</v>
      </c>
      <c r="F967" t="s">
        <v>18</v>
      </c>
      <c r="G967" s="51"/>
      <c r="H967" s="50" t="s">
        <v>158</v>
      </c>
    </row>
    <row r="968" spans="1:8" s="50" customFormat="1" ns3:dyDescent="0.2">
      <c r="A968" s="50" t="s">
        <v>159</v>
      </c>
      <c r="B968" s="51">
        <v>0.39508615384615386</v>
      </c>
      <c r="C968" s="50" t="s">
        <v>104</v>
      </c>
      <c r="D968" s="50" t="s">
        <v>7</v>
      </c>
      <c r="F968" t="s">
        <v>18</v>
      </c>
      <c r="G968" s="51"/>
      <c r="H968" s="50" t="s">
        <v>159</v>
      </c>
    </row>
    <row r="969" spans="1:8" s="50" customFormat="1" ns3:dyDescent="0.2">
      <c r="A969" s="50" t="s">
        <v>160</v>
      </c>
      <c r="B969" s="51">
        <v>3.8215384615384617E-3</v>
      </c>
      <c r="C969" s="50" t="s">
        <v>103</v>
      </c>
      <c r="D969" s="50" t="s">
        <v>7</v>
      </c>
      <c r="F969" t="s">
        <v>18</v>
      </c>
      <c r="G969" s="51"/>
      <c r="H969" s="50" t="s">
        <v>178</v>
      </c>
    </row>
    <row r="970" spans="1:8" s="50" customFormat="1" ns3:dyDescent="0.2">
      <c r="A970" s="50" t="s">
        <v>161</v>
      </c>
      <c r="B970" s="51">
        <v>1.5188676923076925E-10</v>
      </c>
      <c r="C970" s="50" t="s">
        <v>104</v>
      </c>
      <c r="D970" s="50" t="s">
        <v>6</v>
      </c>
      <c r="F970" t="s">
        <v>18</v>
      </c>
      <c r="G970" s="51"/>
      <c r="H970" s="50" t="s">
        <v>179</v>
      </c>
    </row>
    <row r="971" spans="1:8" s="50" customFormat="1" ns3:dyDescent="0.2">
      <c r="A971" s="50" t="s">
        <v>162</v>
      </c>
      <c r="B971" s="51">
        <v>7.0236000000000004E-10</v>
      </c>
      <c r="C971" s="50" t="s">
        <v>104</v>
      </c>
      <c r="D971" s="50" t="s">
        <v>6</v>
      </c>
      <c r="F971" t="s">
        <v>18</v>
      </c>
      <c r="G971" s="51"/>
      <c r="H971" s="50" t="s">
        <v>180</v>
      </c>
    </row>
    <row r="972" spans="1:8" s="50" customFormat="1" ns3:dyDescent="0.2">
      <c r="A972" s="50" t="s">
        <v>163</v>
      </c>
      <c r="B972" s="51">
        <v>2.9932615384615389E-3</v>
      </c>
      <c r="C972" s="3" t="s">
        <v>267</v>
      </c>
      <c r="D972" s="50" t="s">
        <v>7</v>
      </c>
      <c r="F972" t="s">
        <v>18</v>
      </c>
      <c r="G972" s="51"/>
      <c r="H972" s="50" t="s">
        <v>181</v>
      </c>
    </row>
    <row r="973" spans="1:8" s="50" customFormat="1" ns3:dyDescent="0.2">
      <c r="A973" s="50" t="s">
        <v>164</v>
      </c>
      <c r="B973" s="51">
        <v>-9.0199384615384619E-7</v>
      </c>
      <c r="C973" s="50" t="s">
        <v>24</v>
      </c>
      <c r="D973" s="50" t="s">
        <v>7</v>
      </c>
      <c r="F973" t="s">
        <v>18</v>
      </c>
      <c r="G973" s="51"/>
      <c r="H973" s="50" t="s">
        <v>182</v>
      </c>
    </row>
    <row r="974" spans="1:8" s="50" customFormat="1" ns3:dyDescent="0.2">
      <c r="A974" s="50" t="s">
        <v>165</v>
      </c>
      <c r="B974" s="51">
        <v>9.3082153846153848E-5</v>
      </c>
      <c r="C974" s="50" t="s">
        <v>103</v>
      </c>
      <c r="D974" s="50" t="s">
        <v>7</v>
      </c>
      <c r="F974" t="s">
        <v>18</v>
      </c>
      <c r="G974" s="51"/>
      <c r="H974" s="50" t="s">
        <v>183</v>
      </c>
    </row>
    <row r="975" spans="1:8" s="50" customFormat="1" ns3:dyDescent="0.2">
      <c r="A975" s="50" t="s">
        <v>81</v>
      </c>
      <c r="B975" s="51">
        <v>1.8080861538461539E-2</v>
      </c>
      <c r="C975" s="50" t="s">
        <v>103</v>
      </c>
      <c r="D975" s="50" t="s">
        <v>28</v>
      </c>
      <c r="F975" t="s">
        <v>18</v>
      </c>
      <c r="G975" s="51"/>
      <c r="H975" s="50" t="s">
        <v>82</v>
      </c>
    </row>
    <row r="976" spans="1:8" s="50" customFormat="1" ns3:dyDescent="0.2">
      <c r="A976" s="50" t="s">
        <v>166</v>
      </c>
      <c r="B976" s="51">
        <v>-3.6567692307692308E-2</v>
      </c>
      <c r="C976" s="50" t="s">
        <v>104</v>
      </c>
      <c r="D976" s="50" t="s">
        <v>7</v>
      </c>
      <c r="F976" t="s">
        <v>18</v>
      </c>
      <c r="G976" s="51"/>
      <c r="H976" s="50" t="s">
        <v>184</v>
      </c>
    </row>
    <row r="977" spans="1:8" s="50" customFormat="1" ns3:dyDescent="0.2">
      <c r="A977" s="50" t="s">
        <v>167</v>
      </c>
      <c r="B977" s="51">
        <v>2.3794061538461539</v>
      </c>
      <c r="C977" s="50" t="s">
        <v>104</v>
      </c>
      <c r="D977" s="50" t="s">
        <v>7</v>
      </c>
      <c r="F977" t="s">
        <v>18</v>
      </c>
      <c r="G977" s="51"/>
      <c r="H977" s="50" t="s">
        <v>185</v>
      </c>
    </row>
    <row r="978" spans="1:8" s="50" customFormat="1" ns3:dyDescent="0.2">
      <c r="A978" s="50" t="s">
        <v>188</v>
      </c>
      <c r="B978" s="51">
        <v>1.9683415384615385E-8</v>
      </c>
      <c r="D978" s="50" t="s">
        <v>7</v>
      </c>
      <c r="E978" s="50" t="s">
        <v>244</v>
      </c>
      <c r="F978" s="50" t="s">
        <v>27</v>
      </c>
      <c r="G978" s="51"/>
    </row>
    <row r="979" spans="1:8" s="50" customFormat="1" ns3:dyDescent="0.2">
      <c r="A979" s="50" t="s">
        <v>189</v>
      </c>
      <c r="B979" s="51">
        <v>1.7467753846153849E-6</v>
      </c>
      <c r="D979" s="50" t="s">
        <v>7</v>
      </c>
      <c r="E979" s="50" t="s">
        <v>244</v>
      </c>
      <c r="F979" s="50" t="s">
        <v>27</v>
      </c>
      <c r="G979" s="51"/>
    </row>
    <row r="980" spans="1:8" s="50" customFormat="1" ns3:dyDescent="0.2">
      <c r="A980" s="50" t="s">
        <v>191</v>
      </c>
      <c r="B980" s="51">
        <v>3.784153846153846E-8</v>
      </c>
      <c r="D980" s="50" t="s">
        <v>7</v>
      </c>
      <c r="E980" s="50" t="s">
        <v>244</v>
      </c>
      <c r="F980" s="50" t="s">
        <v>27</v>
      </c>
      <c r="G980" s="51"/>
    </row>
    <row r="981" spans="1:8" s="50" customFormat="1" ns3:dyDescent="0.2">
      <c r="A981" s="50" t="s">
        <v>193</v>
      </c>
      <c r="B981" s="51">
        <v>1.1524984615384617E-7</v>
      </c>
      <c r="D981" s="50" t="s">
        <v>7</v>
      </c>
      <c r="E981" s="50" t="s">
        <v>244</v>
      </c>
      <c r="F981" s="50" t="s">
        <v>27</v>
      </c>
      <c r="G981" s="51"/>
    </row>
    <row r="982" spans="1:8" s="50" customFormat="1" ns3:dyDescent="0.2">
      <c r="A982" s="50" t="s">
        <v>194</v>
      </c>
      <c r="B982" s="51">
        <v>2.409812307692308E-10</v>
      </c>
      <c r="D982" s="50" t="s">
        <v>7</v>
      </c>
      <c r="E982" s="50" t="s">
        <v>244</v>
      </c>
      <c r="F982" s="50" t="s">
        <v>27</v>
      </c>
      <c r="G982" s="51"/>
    </row>
    <row r="983" spans="1:8" s="50" customFormat="1" ns3:dyDescent="0.2">
      <c r="A983" t="s">
        <v>477</v>
      </c>
      <c r="B983" s="51">
        <v>6.0889846153846164E-10</v>
      </c>
      <c r="D983" s="50" t="s">
        <v>7</v>
      </c>
      <c r="E983" s="50" t="s">
        <v>244</v>
      </c>
      <c r="F983" s="50" t="s">
        <v>27</v>
      </c>
      <c r="G983" s="51"/>
    </row>
    <row r="984" spans="1:8" s="50" customFormat="1" ns3:dyDescent="0.2">
      <c r="A984" s="50" t="s">
        <v>195</v>
      </c>
      <c r="B984" s="51">
        <v>2.5646676923076926E-12</v>
      </c>
      <c r="D984" s="50" t="s">
        <v>7</v>
      </c>
      <c r="E984" s="50" t="s">
        <v>244</v>
      </c>
      <c r="F984" s="50" t="s">
        <v>27</v>
      </c>
      <c r="G984" s="51"/>
    </row>
    <row r="985" spans="1:8" s="50" customFormat="1" ns3:dyDescent="0.2">
      <c r="A985" s="50" t="s">
        <v>196</v>
      </c>
      <c r="B985" s="51">
        <v>7.2387692307692315E-9</v>
      </c>
      <c r="D985" s="50" t="s">
        <v>7</v>
      </c>
      <c r="E985" s="50" t="s">
        <v>244</v>
      </c>
      <c r="F985" s="50" t="s">
        <v>27</v>
      </c>
      <c r="G985" s="51"/>
    </row>
    <row r="986" spans="1:8" s="50" customFormat="1" ns3:dyDescent="0.2">
      <c r="A986" s="50" t="s">
        <v>197</v>
      </c>
      <c r="B986" s="51">
        <v>1.6989784615384617E-10</v>
      </c>
      <c r="D986" s="50" t="s">
        <v>7</v>
      </c>
      <c r="E986" s="50" t="s">
        <v>244</v>
      </c>
      <c r="F986" s="50" t="s">
        <v>27</v>
      </c>
      <c r="G986" s="51"/>
    </row>
    <row r="987" spans="1:8" s="50" customFormat="1" ns3:dyDescent="0.2">
      <c r="A987" s="50" t="s">
        <v>248</v>
      </c>
      <c r="B987" s="51">
        <v>4.143876923076924E-4</v>
      </c>
      <c r="D987" s="50" t="s">
        <v>7</v>
      </c>
      <c r="E987" s="50" t="s">
        <v>244</v>
      </c>
      <c r="F987" s="50" t="s">
        <v>27</v>
      </c>
      <c r="G987" s="51"/>
    </row>
    <row r="988" spans="1:8" s="50" customFormat="1" ns3:dyDescent="0.2">
      <c r="A988" s="50" t="s">
        <v>135</v>
      </c>
      <c r="B988" s="51">
        <f>1.42931076923077-B953</f>
        <v>0.14293107692307694</v>
      </c>
      <c r="D988" s="50" t="s">
        <v>7</v>
      </c>
      <c r="E988" s="50" t="s">
        <v>244</v>
      </c>
      <c r="F988" s="50" t="s">
        <v>27</v>
      </c>
      <c r="G988" s="51"/>
    </row>
    <row r="989" spans="1:8" s="50" customFormat="1" ns3:dyDescent="0.2">
      <c r="A989" s="50" t="s">
        <v>249</v>
      </c>
      <c r="B989" s="51">
        <v>1.9590923076923079E-4</v>
      </c>
      <c r="D989" s="50" t="s">
        <v>7</v>
      </c>
      <c r="E989" s="50" t="s">
        <v>244</v>
      </c>
      <c r="F989" s="50" t="s">
        <v>27</v>
      </c>
      <c r="G989" s="51"/>
    </row>
    <row r="990" spans="1:8" s="50" customFormat="1" ns3:dyDescent="0.2">
      <c r="A990" s="50" t="s">
        <v>199</v>
      </c>
      <c r="B990" s="51">
        <v>1.6873200000000002E-8</v>
      </c>
      <c r="D990" s="50" t="s">
        <v>7</v>
      </c>
      <c r="E990" s="50" t="s">
        <v>244</v>
      </c>
      <c r="F990" s="50" t="s">
        <v>27</v>
      </c>
      <c r="G990" s="51"/>
    </row>
    <row r="991" spans="1:8" s="50" customFormat="1" ns3:dyDescent="0.2">
      <c r="A991" s="50" t="s">
        <v>200</v>
      </c>
      <c r="B991" s="51">
        <v>2.1963876923076926E-8</v>
      </c>
      <c r="D991" s="50" t="s">
        <v>7</v>
      </c>
      <c r="E991" s="50" t="s">
        <v>244</v>
      </c>
      <c r="F991" s="50" t="s">
        <v>27</v>
      </c>
      <c r="G991" s="51"/>
    </row>
    <row r="992" spans="1:8" s="50" customFormat="1" ns3:dyDescent="0.2">
      <c r="A992" s="50" t="s">
        <v>201</v>
      </c>
      <c r="B992" s="51">
        <v>3.9821538461538467E-9</v>
      </c>
      <c r="D992" s="50" t="s">
        <v>7</v>
      </c>
      <c r="E992" s="50" t="s">
        <v>244</v>
      </c>
      <c r="F992" s="50" t="s">
        <v>27</v>
      </c>
      <c r="G992" s="51"/>
    </row>
    <row r="993" spans="1:7" s="50" customFormat="1" ns3:dyDescent="0.2">
      <c r="A993" s="50" t="s">
        <v>202</v>
      </c>
      <c r="B993" s="51">
        <v>3.0957230769230766E-5</v>
      </c>
      <c r="D993" s="50" t="s">
        <v>7</v>
      </c>
      <c r="E993" s="50" t="s">
        <v>244</v>
      </c>
      <c r="F993" s="50" t="s">
        <v>27</v>
      </c>
      <c r="G993" s="51"/>
    </row>
    <row r="994" spans="1:7" s="50" customFormat="1" ns3:dyDescent="0.2">
      <c r="A994" s="50" t="s">
        <v>203</v>
      </c>
      <c r="B994" s="51">
        <v>1.4409969230769231E-4</v>
      </c>
      <c r="D994" s="50" t="s">
        <v>7</v>
      </c>
      <c r="E994" s="50" t="s">
        <v>244</v>
      </c>
      <c r="F994" s="50" t="s">
        <v>27</v>
      </c>
      <c r="G994" s="51"/>
    </row>
    <row r="995" spans="1:7" s="50" customFormat="1" ns3:dyDescent="0.2">
      <c r="A995" s="50" t="s">
        <v>204</v>
      </c>
      <c r="B995" s="51">
        <v>2.3048307692307694E-13</v>
      </c>
      <c r="D995" s="50" t="s">
        <v>7</v>
      </c>
      <c r="E995" s="50" t="s">
        <v>244</v>
      </c>
      <c r="F995" s="50" t="s">
        <v>27</v>
      </c>
      <c r="G995" s="51"/>
    </row>
    <row r="996" spans="1:7" s="50" customFormat="1" ns3:dyDescent="0.2">
      <c r="A996" s="50" t="s">
        <v>205</v>
      </c>
      <c r="B996" s="51">
        <v>12.305353846153848</v>
      </c>
      <c r="D996" s="50" t="s">
        <v>17</v>
      </c>
      <c r="E996" s="50" t="s">
        <v>244</v>
      </c>
      <c r="F996" s="50" t="s">
        <v>27</v>
      </c>
      <c r="G996" s="51"/>
    </row>
    <row r="997" spans="1:7" s="50" customFormat="1" ns3:dyDescent="0.2">
      <c r="A997" s="50" t="s">
        <v>206</v>
      </c>
      <c r="B997" s="51">
        <v>5.5132615384615392E-6</v>
      </c>
      <c r="D997" s="50" t="s">
        <v>7</v>
      </c>
      <c r="E997" s="50" t="s">
        <v>244</v>
      </c>
      <c r="F997" s="50" t="s">
        <v>27</v>
      </c>
      <c r="G997" s="51"/>
    </row>
    <row r="998" spans="1:7" s="50" customFormat="1" ns3:dyDescent="0.2">
      <c r="A998" s="50" t="s">
        <v>207</v>
      </c>
      <c r="B998" s="51">
        <v>3.2591076923076926E-6</v>
      </c>
      <c r="D998" s="50" t="s">
        <v>7</v>
      </c>
      <c r="E998" s="50" t="s">
        <v>244</v>
      </c>
      <c r="F998" s="50" t="s">
        <v>27</v>
      </c>
      <c r="G998" s="51"/>
    </row>
    <row r="999" spans="1:7" s="50" customFormat="1" ns3:dyDescent="0.2">
      <c r="A999" s="50" t="s">
        <v>250</v>
      </c>
      <c r="B999" s="51">
        <v>7.3730769230769237E-11</v>
      </c>
      <c r="D999" s="50" t="s">
        <v>7</v>
      </c>
      <c r="E999" s="50" t="s">
        <v>244</v>
      </c>
      <c r="F999" s="50" t="s">
        <v>27</v>
      </c>
      <c r="G999" s="51"/>
    </row>
    <row r="1000" spans="1:7" s="50" customFormat="1" ns3:dyDescent="0.2">
      <c r="A1000" s="50" t="s">
        <v>208</v>
      </c>
      <c r="B1000" s="51">
        <v>2.5972615384615388E-9</v>
      </c>
      <c r="D1000" s="50" t="s">
        <v>7</v>
      </c>
      <c r="E1000" s="50" t="s">
        <v>244</v>
      </c>
      <c r="F1000" s="50" t="s">
        <v>27</v>
      </c>
      <c r="G1000" s="51"/>
    </row>
    <row r="1001" spans="1:7" s="50" customFormat="1" ns3:dyDescent="0.2">
      <c r="A1001" s="50" t="s">
        <v>209</v>
      </c>
      <c r="B1001" s="51">
        <v>3.6933230769230774E-9</v>
      </c>
      <c r="D1001" s="50" t="s">
        <v>7</v>
      </c>
      <c r="E1001" s="50" t="s">
        <v>244</v>
      </c>
      <c r="F1001" s="50" t="s">
        <v>27</v>
      </c>
      <c r="G1001" s="51"/>
    </row>
    <row r="1002" spans="1:7" s="50" customFormat="1" ns3:dyDescent="0.2">
      <c r="A1002" s="50" t="s">
        <v>251</v>
      </c>
      <c r="B1002" s="51">
        <v>7.1844923076923085E-6</v>
      </c>
      <c r="D1002" s="50" t="s">
        <v>7</v>
      </c>
      <c r="E1002" s="50" t="s">
        <v>244</v>
      </c>
      <c r="F1002" s="50" t="s">
        <v>27</v>
      </c>
      <c r="G1002" s="51"/>
    </row>
    <row r="1003" spans="1:7" s="50" customFormat="1" ns3:dyDescent="0.2">
      <c r="A1003" s="50" t="s">
        <v>210</v>
      </c>
      <c r="B1003" s="51">
        <v>1.9835169230769234E-9</v>
      </c>
      <c r="D1003" s="50" t="s">
        <v>7</v>
      </c>
      <c r="E1003" s="50" t="s">
        <v>244</v>
      </c>
      <c r="F1003" s="50" t="s">
        <v>27</v>
      </c>
      <c r="G1003" s="51"/>
    </row>
    <row r="1004" spans="1:7" s="50" customFormat="1" ns3:dyDescent="0.2">
      <c r="A1004" s="50" t="s">
        <v>211</v>
      </c>
      <c r="B1004" s="51">
        <v>4.7938153846153849E-9</v>
      </c>
      <c r="D1004" s="50" t="s">
        <v>7</v>
      </c>
      <c r="E1004" s="50" t="s">
        <v>244</v>
      </c>
      <c r="F1004" s="50" t="s">
        <v>27</v>
      </c>
      <c r="G1004" s="51"/>
    </row>
    <row r="1005" spans="1:7" s="50" customFormat="1" ns3:dyDescent="0.2">
      <c r="A1005" s="50" t="s">
        <v>252</v>
      </c>
      <c r="B1005" s="51">
        <v>1.7287476923076924E-6</v>
      </c>
      <c r="D1005" s="50" t="s">
        <v>7</v>
      </c>
      <c r="E1005" s="50" t="s">
        <v>244</v>
      </c>
      <c r="F1005" s="50" t="s">
        <v>27</v>
      </c>
      <c r="G1005" s="51"/>
    </row>
    <row r="1006" spans="1:7" s="50" customFormat="1" ns3:dyDescent="0.2">
      <c r="A1006" s="50" t="s">
        <v>253</v>
      </c>
      <c r="B1006" s="51">
        <v>1.271243076923077E-9</v>
      </c>
      <c r="D1006" s="50" t="s">
        <v>7</v>
      </c>
      <c r="E1006" s="50" t="s">
        <v>244</v>
      </c>
      <c r="F1006" s="50" t="s">
        <v>27</v>
      </c>
      <c r="G1006" s="51"/>
    </row>
    <row r="1007" spans="1:7" s="50" customFormat="1" ns3:dyDescent="0.2">
      <c r="A1007" s="50" t="s">
        <v>213</v>
      </c>
      <c r="B1007" s="51">
        <v>5.2449230769230768E-6</v>
      </c>
      <c r="D1007" s="50" t="s">
        <v>7</v>
      </c>
      <c r="E1007" s="50" t="s">
        <v>244</v>
      </c>
      <c r="F1007" s="50" t="s">
        <v>27</v>
      </c>
      <c r="G1007" s="51"/>
    </row>
    <row r="1008" spans="1:7" s="50" customFormat="1" ns3:dyDescent="0.2">
      <c r="A1008" s="50" t="s">
        <v>214</v>
      </c>
      <c r="B1008" s="51">
        <v>1.6445630769230772E-8</v>
      </c>
      <c r="D1008" s="50" t="s">
        <v>7</v>
      </c>
      <c r="E1008" s="50" t="s">
        <v>244</v>
      </c>
      <c r="F1008" s="50" t="s">
        <v>27</v>
      </c>
      <c r="G1008" s="51"/>
    </row>
    <row r="1009" spans="1:7" s="50" customFormat="1" ns3:dyDescent="0.2">
      <c r="A1009" s="50" t="s">
        <v>215</v>
      </c>
      <c r="B1009" s="51">
        <v>5.5315384615384623E-4</v>
      </c>
      <c r="D1009" s="50" t="s">
        <v>7</v>
      </c>
      <c r="E1009" s="50" t="s">
        <v>244</v>
      </c>
      <c r="F1009" s="50" t="s">
        <v>27</v>
      </c>
      <c r="G1009" s="51"/>
    </row>
    <row r="1010" spans="1:7" s="50" customFormat="1" ns3:dyDescent="0.2">
      <c r="A1010" s="50" t="s">
        <v>216</v>
      </c>
      <c r="B1010" s="51">
        <v>1.3759753846153847E-5</v>
      </c>
      <c r="D1010" s="50" t="s">
        <v>7</v>
      </c>
      <c r="E1010" s="50" t="s">
        <v>244</v>
      </c>
      <c r="F1010" s="50" t="s">
        <v>27</v>
      </c>
      <c r="G1010" s="51"/>
    </row>
    <row r="1011" spans="1:7" s="50" customFormat="1" ns3:dyDescent="0.2">
      <c r="A1011" s="50" t="s">
        <v>217</v>
      </c>
      <c r="B1011" s="51">
        <v>6.9144923076923085E-8</v>
      </c>
      <c r="D1011" s="50" t="s">
        <v>7</v>
      </c>
      <c r="E1011" s="50" t="s">
        <v>244</v>
      </c>
      <c r="F1011" s="50" t="s">
        <v>27</v>
      </c>
      <c r="G1011" s="51"/>
    </row>
    <row r="1012" spans="1:7" s="50" customFormat="1" ns3:dyDescent="0.2">
      <c r="A1012" s="50" t="s">
        <v>218</v>
      </c>
      <c r="B1012" s="51">
        <v>5.0189538461538465E-11</v>
      </c>
      <c r="D1012" s="50" t="s">
        <v>7</v>
      </c>
      <c r="E1012" s="50" t="s">
        <v>244</v>
      </c>
      <c r="F1012" s="50" t="s">
        <v>27</v>
      </c>
      <c r="G1012" s="51"/>
    </row>
    <row r="1013" spans="1:7" s="50" customFormat="1" ns3:dyDescent="0.2">
      <c r="A1013" s="50" t="s">
        <v>254</v>
      </c>
      <c r="B1013" s="51">
        <v>2.7736615384615388E-6</v>
      </c>
      <c r="D1013" s="50" t="s">
        <v>7</v>
      </c>
      <c r="E1013" s="50" t="s">
        <v>244</v>
      </c>
      <c r="F1013" s="50" t="s">
        <v>27</v>
      </c>
      <c r="G1013" s="51"/>
    </row>
    <row r="1014" spans="1:7" s="50" customFormat="1" ns3:dyDescent="0.2">
      <c r="A1014" s="50" t="s">
        <v>255</v>
      </c>
      <c r="B1014" s="51">
        <v>4.1765538461538464E-5</v>
      </c>
      <c r="D1014" s="50" t="s">
        <v>7</v>
      </c>
      <c r="E1014" s="50" t="s">
        <v>244</v>
      </c>
      <c r="F1014" s="50" t="s">
        <v>27</v>
      </c>
      <c r="G1014" s="51"/>
    </row>
    <row r="1015" spans="1:7" s="50" customFormat="1" ns3:dyDescent="0.2">
      <c r="A1015" s="50" t="s">
        <v>219</v>
      </c>
      <c r="B1015" s="51">
        <v>1.4400553846153849E-8</v>
      </c>
      <c r="D1015" s="50" t="s">
        <v>7</v>
      </c>
      <c r="E1015" s="50" t="s">
        <v>244</v>
      </c>
      <c r="F1015" s="50" t="s">
        <v>27</v>
      </c>
      <c r="G1015" s="51"/>
    </row>
    <row r="1016" spans="1:7" s="50" customFormat="1" ns3:dyDescent="0.2">
      <c r="A1016" s="50" t="s">
        <v>239</v>
      </c>
      <c r="B1016" s="51">
        <v>1.5040523076923076E-7</v>
      </c>
      <c r="D1016" s="50" t="s">
        <v>7</v>
      </c>
      <c r="E1016" s="50" t="s">
        <v>244</v>
      </c>
      <c r="F1016" s="50" t="s">
        <v>27</v>
      </c>
      <c r="G1016" s="51"/>
    </row>
    <row r="1017" spans="1:7" s="50" customFormat="1" ns3:dyDescent="0.2">
      <c r="A1017" s="50" t="s">
        <v>220</v>
      </c>
      <c r="B1017" s="51">
        <v>2.9747076923076925E-5</v>
      </c>
      <c r="D1017" s="50" t="s">
        <v>7</v>
      </c>
      <c r="E1017" s="50" t="s">
        <v>244</v>
      </c>
      <c r="F1017" s="50" t="s">
        <v>27</v>
      </c>
      <c r="G1017" s="51"/>
    </row>
    <row r="1018" spans="1:7" s="50" customFormat="1" ns3:dyDescent="0.2">
      <c r="A1018" s="50" t="s">
        <v>222</v>
      </c>
      <c r="B1018" s="51">
        <v>3.8511692307692312E-5</v>
      </c>
      <c r="D1018" s="50" t="s">
        <v>7</v>
      </c>
      <c r="E1018" s="50" t="s">
        <v>244</v>
      </c>
      <c r="F1018" s="50" t="s">
        <v>27</v>
      </c>
      <c r="G1018" s="51"/>
    </row>
    <row r="1019" spans="1:7" s="50" customFormat="1" ns3:dyDescent="0.2">
      <c r="A1019" s="50" t="s">
        <v>224</v>
      </c>
      <c r="B1019" s="51">
        <v>1.2615784615384616E-11</v>
      </c>
      <c r="D1019" s="50" t="s">
        <v>7</v>
      </c>
      <c r="E1019" s="50" t="s">
        <v>244</v>
      </c>
      <c r="F1019" s="50" t="s">
        <v>27</v>
      </c>
      <c r="G1019" s="51"/>
    </row>
    <row r="1020" spans="1:7" s="50" customFormat="1" ns3:dyDescent="0.2">
      <c r="A1020" s="50" t="s">
        <v>226</v>
      </c>
      <c r="B1020" s="51">
        <v>2.304969230769231E-7</v>
      </c>
      <c r="D1020" s="50" t="s">
        <v>7</v>
      </c>
      <c r="E1020" s="50" t="s">
        <v>244</v>
      </c>
      <c r="F1020" s="50" t="s">
        <v>27</v>
      </c>
      <c r="G1020" s="51"/>
    </row>
    <row r="1021" spans="1:7" s="50" customFormat="1" ns3:dyDescent="0.2">
      <c r="A1021" s="50" t="s">
        <v>227</v>
      </c>
      <c r="B1021" s="51">
        <v>1.5360646153846155E-7</v>
      </c>
      <c r="D1021" s="50" t="s">
        <v>7</v>
      </c>
      <c r="E1021" s="50" t="s">
        <v>244</v>
      </c>
      <c r="F1021" s="50" t="s">
        <v>27</v>
      </c>
      <c r="G1021" s="51"/>
    </row>
    <row r="1022" spans="1:7" s="50" customFormat="1" ns3:dyDescent="0.2">
      <c r="A1022" s="50" t="s">
        <v>228</v>
      </c>
      <c r="B1022" s="51">
        <v>3.7518341538461545E-3</v>
      </c>
      <c r="D1022" s="50" t="s">
        <v>37</v>
      </c>
      <c r="E1022" s="50" t="s">
        <v>244</v>
      </c>
      <c r="F1022" s="50" t="s">
        <v>27</v>
      </c>
      <c r="G1022" s="51"/>
    </row>
    <row r="1023" spans="1:7" s="50" customFormat="1" ns3:dyDescent="0.2">
      <c r="A1023" s="50" t="s">
        <v>229</v>
      </c>
      <c r="B1023" s="51">
        <v>9.4286769230769241E-8</v>
      </c>
      <c r="D1023" s="50" t="s">
        <v>7</v>
      </c>
      <c r="E1023" s="50" t="s">
        <v>244</v>
      </c>
      <c r="F1023" s="50" t="s">
        <v>27</v>
      </c>
      <c r="G1023" s="51"/>
    </row>
    <row r="1024" spans="1:7" s="50" customFormat="1" ns3:dyDescent="0.2">
      <c r="A1024" s="50" t="s">
        <v>188</v>
      </c>
      <c r="B1024" s="51">
        <v>1.8637200000000003E-2</v>
      </c>
      <c r="D1024" s="50" t="s">
        <v>7</v>
      </c>
      <c r="E1024" s="50" t="s">
        <v>245</v>
      </c>
      <c r="F1024" s="50" t="s">
        <v>27</v>
      </c>
      <c r="G1024" s="51"/>
    </row>
    <row r="1025" spans="1:7" s="50" customFormat="1" ns3:dyDescent="0.2">
      <c r="A1025" s="50" t="s">
        <v>188</v>
      </c>
      <c r="B1025" s="51">
        <v>1.7931600000000002E-6</v>
      </c>
      <c r="D1025" s="50" t="s">
        <v>7</v>
      </c>
      <c r="E1025" s="50" t="s">
        <v>246</v>
      </c>
      <c r="F1025" s="50" t="s">
        <v>27</v>
      </c>
      <c r="G1025" s="51"/>
    </row>
    <row r="1026" spans="1:7" s="50" customFormat="1" ns3:dyDescent="0.2">
      <c r="A1026" s="50" t="s">
        <v>190</v>
      </c>
      <c r="B1026" s="51">
        <v>2.2359600000000002E-9</v>
      </c>
      <c r="D1026" s="50" t="s">
        <v>7</v>
      </c>
      <c r="E1026" s="50" t="s">
        <v>245</v>
      </c>
      <c r="F1026" s="50" t="s">
        <v>27</v>
      </c>
      <c r="G1026" s="51"/>
    </row>
    <row r="1027" spans="1:7" s="50" customFormat="1" ns3:dyDescent="0.2">
      <c r="A1027" s="50" t="s">
        <v>190</v>
      </c>
      <c r="B1027" s="51">
        <v>1.2181015384615386E-9</v>
      </c>
      <c r="D1027" s="50" t="s">
        <v>7</v>
      </c>
      <c r="E1027" s="50" t="s">
        <v>246</v>
      </c>
      <c r="F1027" s="50" t="s">
        <v>27</v>
      </c>
      <c r="G1027" s="51"/>
    </row>
    <row r="1028" spans="1:7" s="50" customFormat="1" ns3:dyDescent="0.2">
      <c r="A1028" s="50" t="s">
        <v>191</v>
      </c>
      <c r="B1028" s="51">
        <v>2.9450769230769235E-6</v>
      </c>
      <c r="D1028" s="50" t="s">
        <v>7</v>
      </c>
      <c r="E1028" s="50" t="s">
        <v>245</v>
      </c>
      <c r="F1028" s="50" t="s">
        <v>27</v>
      </c>
      <c r="G1028" s="51"/>
    </row>
    <row r="1029" spans="1:7" s="50" customFormat="1" ns3:dyDescent="0.2">
      <c r="A1029" s="50" t="s">
        <v>191</v>
      </c>
      <c r="B1029" s="51">
        <v>1.9402615384615388E-6</v>
      </c>
      <c r="D1029" s="50" t="s">
        <v>7</v>
      </c>
      <c r="E1029" s="50" t="s">
        <v>246</v>
      </c>
      <c r="F1029" s="50" t="s">
        <v>27</v>
      </c>
      <c r="G1029" s="51"/>
    </row>
    <row r="1030" spans="1:7" s="50" customFormat="1" ns3:dyDescent="0.2">
      <c r="A1030" s="50" t="s">
        <v>230</v>
      </c>
      <c r="B1030" s="51">
        <v>9.5081538461538483E-4</v>
      </c>
      <c r="D1030" s="50" t="s">
        <v>7</v>
      </c>
      <c r="E1030" s="50" t="s">
        <v>245</v>
      </c>
      <c r="F1030" s="50" t="s">
        <v>27</v>
      </c>
      <c r="G1030" s="51"/>
    </row>
    <row r="1031" spans="1:7" s="50" customFormat="1" ns3:dyDescent="0.2">
      <c r="A1031" s="50" t="s">
        <v>230</v>
      </c>
      <c r="B1031" s="51">
        <v>2.9182153846153848E-4</v>
      </c>
      <c r="D1031" s="50" t="s">
        <v>7</v>
      </c>
      <c r="E1031" s="50" t="s">
        <v>246</v>
      </c>
      <c r="F1031" s="50" t="s">
        <v>27</v>
      </c>
      <c r="G1031" s="51"/>
    </row>
    <row r="1032" spans="1:7" s="50" customFormat="1" ns3:dyDescent="0.2">
      <c r="A1032" s="50" t="s">
        <v>256</v>
      </c>
      <c r="B1032" s="51">
        <v>2.0425015384615391E-5</v>
      </c>
      <c r="D1032" s="50" t="s">
        <v>7</v>
      </c>
      <c r="E1032" s="50" t="s">
        <v>245</v>
      </c>
      <c r="F1032" s="50" t="s">
        <v>27</v>
      </c>
      <c r="G1032" s="51"/>
    </row>
    <row r="1033" spans="1:7" s="50" customFormat="1" ns3:dyDescent="0.2">
      <c r="A1033" s="50" t="s">
        <v>256</v>
      </c>
      <c r="B1033" s="51">
        <v>2.5618153846153849E-7</v>
      </c>
      <c r="D1033" s="50" t="s">
        <v>7</v>
      </c>
      <c r="E1033" s="50" t="s">
        <v>246</v>
      </c>
      <c r="F1033" s="50" t="s">
        <v>27</v>
      </c>
      <c r="G1033" s="51"/>
    </row>
    <row r="1034" spans="1:7" s="50" customFormat="1" ns3:dyDescent="0.2">
      <c r="A1034" s="50" t="s">
        <v>196</v>
      </c>
      <c r="B1034" s="51">
        <v>7.5129230769230772E-7</v>
      </c>
      <c r="D1034" s="50" t="s">
        <v>7</v>
      </c>
      <c r="E1034" s="50" t="s">
        <v>245</v>
      </c>
      <c r="F1034" s="50" t="s">
        <v>27</v>
      </c>
      <c r="G1034" s="51"/>
    </row>
    <row r="1035" spans="1:7" s="50" customFormat="1" ns3:dyDescent="0.2">
      <c r="A1035" s="50" t="s">
        <v>196</v>
      </c>
      <c r="B1035" s="51">
        <v>1.344766153846154E-5</v>
      </c>
      <c r="D1035" s="50" t="s">
        <v>7</v>
      </c>
      <c r="E1035" s="50" t="s">
        <v>246</v>
      </c>
      <c r="F1035" s="50" t="s">
        <v>27</v>
      </c>
      <c r="G1035" s="51"/>
    </row>
    <row r="1036" spans="1:7" s="50" customFormat="1" ns3:dyDescent="0.2">
      <c r="A1036" s="50" t="s">
        <v>232</v>
      </c>
      <c r="B1036" s="51">
        <v>2.9068615384615385E-3</v>
      </c>
      <c r="D1036" s="50" t="s">
        <v>7</v>
      </c>
      <c r="E1036" s="50" t="s">
        <v>245</v>
      </c>
      <c r="F1036" s="50" t="s">
        <v>27</v>
      </c>
      <c r="G1036" s="51"/>
    </row>
    <row r="1037" spans="1:7" s="50" customFormat="1" ns3:dyDescent="0.2">
      <c r="A1037" s="50" t="s">
        <v>232</v>
      </c>
      <c r="B1037" s="51">
        <v>2.9819076923076924E-4</v>
      </c>
      <c r="D1037" s="50" t="s">
        <v>7</v>
      </c>
      <c r="E1037" s="50" t="s">
        <v>246</v>
      </c>
      <c r="F1037" s="50" t="s">
        <v>27</v>
      </c>
      <c r="G1037" s="51"/>
    </row>
    <row r="1038" spans="1:7" s="50" customFormat="1" ns3:dyDescent="0.2">
      <c r="A1038" s="50" t="s">
        <v>197</v>
      </c>
      <c r="B1038" s="51">
        <v>5.3460000000000004E-8</v>
      </c>
      <c r="D1038" s="50" t="s">
        <v>7</v>
      </c>
      <c r="E1038" s="50" t="s">
        <v>245</v>
      </c>
      <c r="F1038" s="50" t="s">
        <v>27</v>
      </c>
      <c r="G1038" s="51"/>
    </row>
    <row r="1039" spans="1:7" s="50" customFormat="1" ns3:dyDescent="0.2">
      <c r="A1039" s="50" t="s">
        <v>197</v>
      </c>
      <c r="B1039" s="51">
        <v>5.9278153846153849E-11</v>
      </c>
      <c r="D1039" s="50" t="s">
        <v>7</v>
      </c>
      <c r="E1039" s="50" t="s">
        <v>246</v>
      </c>
      <c r="F1039" s="50" t="s">
        <v>27</v>
      </c>
      <c r="G1039" s="51"/>
    </row>
    <row r="1040" spans="1:7" s="50" customFormat="1" ns3:dyDescent="0.2">
      <c r="A1040" s="50" t="s">
        <v>233</v>
      </c>
      <c r="B1040" s="51">
        <v>4.4698153846153846E-2</v>
      </c>
      <c r="D1040" s="50" t="s">
        <v>7</v>
      </c>
      <c r="E1040" s="50" t="s">
        <v>245</v>
      </c>
      <c r="F1040" s="50" t="s">
        <v>27</v>
      </c>
      <c r="G1040" s="51"/>
    </row>
    <row r="1041" spans="1:7" s="50" customFormat="1" ns3:dyDescent="0.2">
      <c r="A1041" s="50" t="s">
        <v>233</v>
      </c>
      <c r="B1041" s="51">
        <v>9.4641230769230782E-4</v>
      </c>
      <c r="D1041" s="50" t="s">
        <v>7</v>
      </c>
      <c r="E1041" s="50" t="s">
        <v>246</v>
      </c>
      <c r="F1041" s="50" t="s">
        <v>27</v>
      </c>
      <c r="G1041" s="51"/>
    </row>
    <row r="1042" spans="1:7" s="50" customFormat="1" ns3:dyDescent="0.2">
      <c r="A1042" s="50" t="s">
        <v>234</v>
      </c>
      <c r="B1042" s="51">
        <v>1.2169938461538464E-3</v>
      </c>
      <c r="D1042" s="50" t="s">
        <v>7</v>
      </c>
      <c r="E1042" s="50" t="s">
        <v>245</v>
      </c>
      <c r="F1042" s="50" t="s">
        <v>27</v>
      </c>
      <c r="G1042" s="51"/>
    </row>
    <row r="1043" spans="1:7" s="50" customFormat="1" ns3:dyDescent="0.2">
      <c r="A1043" s="50" t="s">
        <v>234</v>
      </c>
      <c r="B1043" s="51">
        <v>8.2063384615384625E-3</v>
      </c>
      <c r="D1043" s="50" t="s">
        <v>7</v>
      </c>
      <c r="E1043" s="50" t="s">
        <v>246</v>
      </c>
      <c r="F1043" s="50" t="s">
        <v>27</v>
      </c>
      <c r="G1043" s="51"/>
    </row>
    <row r="1044" spans="1:7" s="50" customFormat="1" ns3:dyDescent="0.2">
      <c r="A1044" s="50" t="s">
        <v>199</v>
      </c>
      <c r="B1044" s="51">
        <v>2.5086184615384618E-9</v>
      </c>
      <c r="D1044" s="50" t="s">
        <v>7</v>
      </c>
      <c r="E1044" s="50" t="s">
        <v>246</v>
      </c>
      <c r="F1044" s="50" t="s">
        <v>27</v>
      </c>
      <c r="G1044" s="51"/>
    </row>
    <row r="1045" spans="1:7" s="50" customFormat="1" ns3:dyDescent="0.2">
      <c r="A1045" s="50" t="s">
        <v>235</v>
      </c>
      <c r="B1045" s="51">
        <v>1.101323076923077E-6</v>
      </c>
      <c r="D1045" s="50" t="s">
        <v>7</v>
      </c>
      <c r="E1045" s="50" t="s">
        <v>245</v>
      </c>
      <c r="F1045" s="50" t="s">
        <v>27</v>
      </c>
      <c r="G1045" s="51"/>
    </row>
    <row r="1046" spans="1:7" s="50" customFormat="1" ns3:dyDescent="0.2">
      <c r="A1046" s="50" t="s">
        <v>235</v>
      </c>
      <c r="B1046" s="51">
        <v>3.192646153846154E-7</v>
      </c>
      <c r="D1046" s="50" t="s">
        <v>7</v>
      </c>
      <c r="E1046" s="50" t="s">
        <v>246</v>
      </c>
      <c r="F1046" s="50" t="s">
        <v>27</v>
      </c>
      <c r="G1046" s="51"/>
    </row>
    <row r="1047" spans="1:7" s="50" customFormat="1" ns3:dyDescent="0.2">
      <c r="A1047" s="50" t="s">
        <v>200</v>
      </c>
      <c r="B1047" s="51">
        <v>1.0575415384615386E-5</v>
      </c>
      <c r="D1047" s="50" t="s">
        <v>7</v>
      </c>
      <c r="E1047" s="50" t="s">
        <v>245</v>
      </c>
      <c r="F1047" s="50" t="s">
        <v>27</v>
      </c>
      <c r="G1047" s="51"/>
    </row>
    <row r="1048" spans="1:7" s="50" customFormat="1" ns3:dyDescent="0.2">
      <c r="A1048" s="50" t="s">
        <v>200</v>
      </c>
      <c r="B1048" s="51">
        <v>2.0069723076923078E-9</v>
      </c>
      <c r="D1048" s="50" t="s">
        <v>7</v>
      </c>
      <c r="E1048" s="50" t="s">
        <v>246</v>
      </c>
      <c r="F1048" s="50" t="s">
        <v>27</v>
      </c>
      <c r="G1048" s="51"/>
    </row>
    <row r="1049" spans="1:7" s="50" customFormat="1" ns3:dyDescent="0.2">
      <c r="A1049" s="50" t="s">
        <v>201</v>
      </c>
      <c r="B1049" s="51">
        <v>4.0965230769230776E-5</v>
      </c>
      <c r="D1049" s="50" t="s">
        <v>7</v>
      </c>
      <c r="E1049" s="50" t="s">
        <v>245</v>
      </c>
      <c r="F1049" s="50" t="s">
        <v>27</v>
      </c>
      <c r="G1049" s="51"/>
    </row>
    <row r="1050" spans="1:7" s="50" customFormat="1" ns3:dyDescent="0.2">
      <c r="A1050" s="50" t="s">
        <v>201</v>
      </c>
      <c r="B1050" s="51">
        <v>3.7708615384615385E-9</v>
      </c>
      <c r="D1050" s="50" t="s">
        <v>7</v>
      </c>
      <c r="E1050" s="50" t="s">
        <v>246</v>
      </c>
      <c r="F1050" s="50" t="s">
        <v>27</v>
      </c>
      <c r="G1050" s="51"/>
    </row>
    <row r="1051" spans="1:7" s="50" customFormat="1" ns3:dyDescent="0.2">
      <c r="A1051" s="50" t="s">
        <v>236</v>
      </c>
      <c r="B1051" s="51">
        <v>1.1502276923076923E-3</v>
      </c>
      <c r="D1051" s="50" t="s">
        <v>7</v>
      </c>
      <c r="E1051" s="50" t="s">
        <v>245</v>
      </c>
      <c r="F1051" s="50" t="s">
        <v>27</v>
      </c>
      <c r="G1051" s="51"/>
    </row>
    <row r="1052" spans="1:7" s="50" customFormat="1" ns3:dyDescent="0.2">
      <c r="A1052" s="50" t="s">
        <v>236</v>
      </c>
      <c r="B1052" s="51">
        <v>1.30068E-4</v>
      </c>
      <c r="D1052" s="50" t="s">
        <v>7</v>
      </c>
      <c r="E1052" s="50" t="s">
        <v>246</v>
      </c>
      <c r="F1052" s="50" t="s">
        <v>27</v>
      </c>
      <c r="G1052" s="51"/>
    </row>
    <row r="1053" spans="1:7" s="50" customFormat="1" ns3:dyDescent="0.2">
      <c r="A1053" s="50" t="s">
        <v>237</v>
      </c>
      <c r="B1053" s="51">
        <v>3.2228307692307693E-4</v>
      </c>
      <c r="D1053" s="50" t="s">
        <v>7</v>
      </c>
      <c r="E1053" s="50" t="s">
        <v>245</v>
      </c>
      <c r="F1053" s="50" t="s">
        <v>27</v>
      </c>
      <c r="G1053" s="51"/>
    </row>
    <row r="1054" spans="1:7" s="50" customFormat="1" ns3:dyDescent="0.2">
      <c r="A1054" s="50" t="s">
        <v>237</v>
      </c>
      <c r="B1054" s="51">
        <v>1.4059661538461541E-4</v>
      </c>
      <c r="D1054" s="50" t="s">
        <v>7</v>
      </c>
      <c r="E1054" s="50" t="s">
        <v>246</v>
      </c>
      <c r="F1054" s="50" t="s">
        <v>27</v>
      </c>
      <c r="G1054" s="51"/>
    </row>
    <row r="1055" spans="1:7" s="50" customFormat="1" ns3:dyDescent="0.2">
      <c r="A1055" s="50" t="s">
        <v>205</v>
      </c>
      <c r="B1055" s="51">
        <v>4.1292000000000009</v>
      </c>
      <c r="D1055" s="50" t="s">
        <v>17</v>
      </c>
      <c r="E1055" s="50" t="s">
        <v>246</v>
      </c>
      <c r="F1055" s="50" t="s">
        <v>27</v>
      </c>
      <c r="G1055" s="51"/>
    </row>
    <row r="1056" spans="1:7" s="50" customFormat="1" ns3:dyDescent="0.2">
      <c r="A1056" s="50" t="s">
        <v>257</v>
      </c>
      <c r="B1056" s="51">
        <v>2.4913938461538465E-15</v>
      </c>
      <c r="D1056" s="50" t="s">
        <v>7</v>
      </c>
      <c r="E1056" s="50" t="s">
        <v>245</v>
      </c>
      <c r="F1056" s="50" t="s">
        <v>27</v>
      </c>
      <c r="G1056" s="51"/>
    </row>
    <row r="1057" spans="1:7" s="50" customFormat="1" ns3:dyDescent="0.2">
      <c r="A1057" s="50" t="s">
        <v>257</v>
      </c>
      <c r="B1057" s="51">
        <v>1.2956953846153849E-7</v>
      </c>
      <c r="D1057" s="50" t="s">
        <v>7</v>
      </c>
      <c r="E1057" s="50" t="s">
        <v>246</v>
      </c>
      <c r="F1057" s="50" t="s">
        <v>27</v>
      </c>
      <c r="G1057" s="51"/>
    </row>
    <row r="1058" spans="1:7" s="50" customFormat="1" ns3:dyDescent="0.2">
      <c r="A1058" s="50" t="s">
        <v>208</v>
      </c>
      <c r="B1058" s="51">
        <v>7.4323384615384625E-4</v>
      </c>
      <c r="D1058" s="50" t="s">
        <v>7</v>
      </c>
      <c r="E1058" s="50" t="s">
        <v>245</v>
      </c>
      <c r="F1058" s="50" t="s">
        <v>27</v>
      </c>
      <c r="G1058" s="51"/>
    </row>
    <row r="1059" spans="1:7" s="50" customFormat="1" ns3:dyDescent="0.2">
      <c r="A1059" s="50" t="s">
        <v>208</v>
      </c>
      <c r="B1059" s="51">
        <v>3.0508615384615385E-8</v>
      </c>
      <c r="D1059" s="50" t="s">
        <v>7</v>
      </c>
      <c r="E1059" s="50" t="s">
        <v>246</v>
      </c>
      <c r="F1059" s="50" t="s">
        <v>27</v>
      </c>
      <c r="G1059" s="51"/>
    </row>
    <row r="1060" spans="1:7" s="50" customFormat="1" ns3:dyDescent="0.2">
      <c r="A1060" s="50" t="s">
        <v>209</v>
      </c>
      <c r="B1060" s="51">
        <v>3.156369230769231E-5</v>
      </c>
      <c r="D1060" s="50" t="s">
        <v>7</v>
      </c>
      <c r="E1060" s="50" t="s">
        <v>245</v>
      </c>
      <c r="F1060" s="50" t="s">
        <v>27</v>
      </c>
      <c r="G1060" s="51"/>
    </row>
    <row r="1061" spans="1:7" s="50" customFormat="1" ns3:dyDescent="0.2">
      <c r="A1061" s="50" t="s">
        <v>209</v>
      </c>
      <c r="B1061" s="51">
        <v>3.0544615384615388E-9</v>
      </c>
      <c r="D1061" s="50" t="s">
        <v>7</v>
      </c>
      <c r="E1061" s="50" t="s">
        <v>246</v>
      </c>
      <c r="F1061" s="50" t="s">
        <v>27</v>
      </c>
      <c r="G1061" s="51"/>
    </row>
    <row r="1062" spans="1:7" s="50" customFormat="1" ns3:dyDescent="0.2">
      <c r="A1062" s="50" t="s">
        <v>251</v>
      </c>
      <c r="B1062" s="51">
        <v>6.3437538461538464E-3</v>
      </c>
      <c r="D1062" s="50" t="s">
        <v>7</v>
      </c>
      <c r="E1062" s="50" t="s">
        <v>245</v>
      </c>
      <c r="F1062" s="50" t="s">
        <v>27</v>
      </c>
      <c r="G1062" s="51"/>
    </row>
    <row r="1063" spans="1:7" s="50" customFormat="1" ns3:dyDescent="0.2">
      <c r="A1063" s="50" t="s">
        <v>251</v>
      </c>
      <c r="B1063" s="51">
        <v>5.1571384615384624E-5</v>
      </c>
      <c r="D1063" s="50" t="s">
        <v>7</v>
      </c>
      <c r="E1063" s="50" t="s">
        <v>246</v>
      </c>
      <c r="F1063" s="50" t="s">
        <v>27</v>
      </c>
      <c r="G1063" s="51"/>
    </row>
    <row r="1064" spans="1:7" s="50" customFormat="1" ns3:dyDescent="0.2">
      <c r="A1064" s="50" t="s">
        <v>210</v>
      </c>
      <c r="B1064" s="51">
        <v>8.2539692307692318E-6</v>
      </c>
      <c r="D1064" s="50" t="s">
        <v>7</v>
      </c>
      <c r="E1064" s="50" t="s">
        <v>245</v>
      </c>
      <c r="F1064" s="50" t="s">
        <v>27</v>
      </c>
      <c r="G1064" s="51"/>
    </row>
    <row r="1065" spans="1:7" s="50" customFormat="1" ns3:dyDescent="0.2">
      <c r="A1065" s="50" t="s">
        <v>210</v>
      </c>
      <c r="B1065" s="51">
        <v>1.3013446153846158E-9</v>
      </c>
      <c r="D1065" s="50" t="s">
        <v>7</v>
      </c>
      <c r="E1065" s="50" t="s">
        <v>246</v>
      </c>
      <c r="F1065" s="50" t="s">
        <v>27</v>
      </c>
      <c r="G1065" s="51"/>
    </row>
    <row r="1066" spans="1:7" s="50" customFormat="1" ns3:dyDescent="0.2">
      <c r="A1066" s="50" t="s">
        <v>211</v>
      </c>
      <c r="B1066" s="51">
        <v>3.552369230769231E-8</v>
      </c>
      <c r="D1066" s="50" t="s">
        <v>7</v>
      </c>
      <c r="E1066" s="50" t="s">
        <v>245</v>
      </c>
      <c r="F1066" s="50" t="s">
        <v>27</v>
      </c>
      <c r="G1066" s="51"/>
    </row>
    <row r="1067" spans="1:7" s="50" customFormat="1" ns3:dyDescent="0.2">
      <c r="A1067" s="50" t="s">
        <v>211</v>
      </c>
      <c r="B1067" s="51">
        <v>8.9969538461538472E-10</v>
      </c>
      <c r="D1067" s="50" t="s">
        <v>7</v>
      </c>
      <c r="E1067" s="50" t="s">
        <v>246</v>
      </c>
      <c r="F1067" s="50" t="s">
        <v>27</v>
      </c>
      <c r="G1067" s="51"/>
    </row>
    <row r="1068" spans="1:7" s="50" customFormat="1" ns3:dyDescent="0.2">
      <c r="A1068" s="50" t="s">
        <v>253</v>
      </c>
      <c r="B1068" s="51">
        <v>7.4489538461538462E-7</v>
      </c>
      <c r="D1068" s="50" t="s">
        <v>7</v>
      </c>
      <c r="E1068" s="50" t="s">
        <v>245</v>
      </c>
      <c r="F1068" s="50" t="s">
        <v>27</v>
      </c>
      <c r="G1068" s="51"/>
    </row>
    <row r="1069" spans="1:7" s="50" customFormat="1" ns3:dyDescent="0.2">
      <c r="A1069" s="50" t="s">
        <v>253</v>
      </c>
      <c r="B1069" s="51">
        <v>1.6076215384615385E-7</v>
      </c>
      <c r="D1069" s="50" t="s">
        <v>7</v>
      </c>
      <c r="E1069" s="50" t="s">
        <v>246</v>
      </c>
      <c r="F1069" s="50" t="s">
        <v>27</v>
      </c>
      <c r="G1069" s="51"/>
    </row>
    <row r="1070" spans="1:7" s="50" customFormat="1" ns3:dyDescent="0.2">
      <c r="A1070" s="50" t="s">
        <v>214</v>
      </c>
      <c r="B1070" s="51">
        <v>1.2919569230769232E-5</v>
      </c>
      <c r="D1070" s="50" t="s">
        <v>7</v>
      </c>
      <c r="E1070" s="50" t="s">
        <v>245</v>
      </c>
      <c r="F1070" s="50" t="s">
        <v>27</v>
      </c>
      <c r="G1070" s="51"/>
    </row>
    <row r="1071" spans="1:7" s="50" customFormat="1" ns3:dyDescent="0.2">
      <c r="A1071" s="50" t="s">
        <v>214</v>
      </c>
      <c r="B1071" s="51">
        <v>8.8659692307692327E-9</v>
      </c>
      <c r="D1071" s="50" t="s">
        <v>7</v>
      </c>
      <c r="E1071" s="50" t="s">
        <v>246</v>
      </c>
      <c r="F1071" s="50" t="s">
        <v>27</v>
      </c>
      <c r="G1071" s="51"/>
    </row>
    <row r="1072" spans="1:7" s="50" customFormat="1" ns3:dyDescent="0.2">
      <c r="A1072" s="50" t="s">
        <v>238</v>
      </c>
      <c r="B1072" s="51">
        <v>3.4651384615384616E-4</v>
      </c>
      <c r="D1072" s="50" t="s">
        <v>7</v>
      </c>
      <c r="E1072" s="50" t="s">
        <v>245</v>
      </c>
      <c r="F1072" s="50" t="s">
        <v>27</v>
      </c>
      <c r="G1072" s="51"/>
    </row>
    <row r="1073" spans="1:7" s="50" customFormat="1" ns3:dyDescent="0.2">
      <c r="A1073" s="50" t="s">
        <v>238</v>
      </c>
      <c r="B1073" s="51">
        <v>1.2412800000000002E-4</v>
      </c>
      <c r="D1073" s="50" t="s">
        <v>7</v>
      </c>
      <c r="E1073" s="50" t="s">
        <v>246</v>
      </c>
      <c r="F1073" s="50" t="s">
        <v>27</v>
      </c>
      <c r="G1073" s="51"/>
    </row>
    <row r="1074" spans="1:7" s="50" customFormat="1" ns3:dyDescent="0.2">
      <c r="A1074" s="50" t="s">
        <v>258</v>
      </c>
      <c r="B1074" s="51">
        <v>2.454673846153846E-4</v>
      </c>
      <c r="D1074" s="50" t="s">
        <v>7</v>
      </c>
      <c r="E1074" s="50" t="s">
        <v>245</v>
      </c>
      <c r="F1074" s="50" t="s">
        <v>27</v>
      </c>
      <c r="G1074" s="51"/>
    </row>
    <row r="1075" spans="1:7" s="50" customFormat="1" ns3:dyDescent="0.2">
      <c r="A1075" s="50" t="s">
        <v>258</v>
      </c>
      <c r="B1075" s="51">
        <v>4.0638461538461546E-6</v>
      </c>
      <c r="D1075" s="50" t="s">
        <v>7</v>
      </c>
      <c r="E1075" s="50" t="s">
        <v>246</v>
      </c>
      <c r="F1075" s="50" t="s">
        <v>27</v>
      </c>
      <c r="G1075" s="51"/>
    </row>
    <row r="1076" spans="1:7" s="50" customFormat="1" ns3:dyDescent="0.2">
      <c r="A1076" s="50" t="s">
        <v>255</v>
      </c>
      <c r="B1076" s="51">
        <v>6.0660000000000011E-3</v>
      </c>
      <c r="D1076" s="50" t="s">
        <v>7</v>
      </c>
      <c r="E1076" s="50" t="s">
        <v>245</v>
      </c>
      <c r="F1076" s="50" t="s">
        <v>27</v>
      </c>
      <c r="G1076" s="51"/>
    </row>
    <row r="1077" spans="1:7" s="50" customFormat="1" ns3:dyDescent="0.2">
      <c r="A1077" s="50" t="s">
        <v>255</v>
      </c>
      <c r="B1077" s="51">
        <v>2.2923969230769234E-3</v>
      </c>
      <c r="D1077" s="50" t="s">
        <v>7</v>
      </c>
      <c r="E1077" s="50" t="s">
        <v>246</v>
      </c>
      <c r="F1077" s="50" t="s">
        <v>27</v>
      </c>
      <c r="G1077" s="51"/>
    </row>
    <row r="1078" spans="1:7" s="50" customFormat="1" ns3:dyDescent="0.2">
      <c r="A1078" s="50" t="s">
        <v>219</v>
      </c>
      <c r="B1078" s="51">
        <v>9.2630769230769232E-7</v>
      </c>
      <c r="D1078" s="50" t="s">
        <v>7</v>
      </c>
      <c r="E1078" s="50" t="s">
        <v>245</v>
      </c>
      <c r="F1078" s="50" t="s">
        <v>27</v>
      </c>
      <c r="G1078" s="51"/>
    </row>
    <row r="1079" spans="1:7" s="50" customFormat="1" ns3:dyDescent="0.2">
      <c r="A1079" s="50" t="s">
        <v>219</v>
      </c>
      <c r="B1079" s="51">
        <v>2.4050215384615388E-7</v>
      </c>
      <c r="D1079" s="50" t="s">
        <v>7</v>
      </c>
      <c r="E1079" s="50" t="s">
        <v>246</v>
      </c>
      <c r="F1079" s="50" t="s">
        <v>27</v>
      </c>
      <c r="G1079" s="51"/>
    </row>
    <row r="1080" spans="1:7" s="50" customFormat="1" ns3:dyDescent="0.2">
      <c r="A1080" s="50" t="s">
        <v>239</v>
      </c>
      <c r="B1080" s="51">
        <v>7.1307692307692313E-3</v>
      </c>
      <c r="D1080" s="50" t="s">
        <v>7</v>
      </c>
      <c r="E1080" s="50" t="s">
        <v>245</v>
      </c>
      <c r="F1080" s="50" t="s">
        <v>27</v>
      </c>
      <c r="G1080" s="51"/>
    </row>
    <row r="1081" spans="1:7" s="50" customFormat="1" ns3:dyDescent="0.2">
      <c r="A1081" s="50" t="s">
        <v>239</v>
      </c>
      <c r="B1081" s="51">
        <v>2.2884369230769233E-5</v>
      </c>
      <c r="D1081" s="50" t="s">
        <v>7</v>
      </c>
      <c r="E1081" s="50" t="s">
        <v>246</v>
      </c>
      <c r="F1081" s="50" t="s">
        <v>27</v>
      </c>
      <c r="G1081" s="51"/>
    </row>
    <row r="1082" spans="1:7" s="50" customFormat="1" ns3:dyDescent="0.2">
      <c r="A1082" s="50" t="s">
        <v>240</v>
      </c>
      <c r="B1082" s="51">
        <v>2.3712369230769236E-3</v>
      </c>
      <c r="D1082" s="50" t="s">
        <v>7</v>
      </c>
      <c r="E1082" s="50" t="s">
        <v>245</v>
      </c>
      <c r="F1082" s="50" t="s">
        <v>27</v>
      </c>
      <c r="G1082" s="51"/>
    </row>
    <row r="1083" spans="1:7" s="50" customFormat="1" ns3:dyDescent="0.2">
      <c r="A1083" s="50" t="s">
        <v>240</v>
      </c>
      <c r="B1083" s="51">
        <v>1.1923476923076924E-3</v>
      </c>
      <c r="D1083" s="50" t="s">
        <v>7</v>
      </c>
      <c r="E1083" s="50" t="s">
        <v>246</v>
      </c>
      <c r="F1083" s="50" t="s">
        <v>27</v>
      </c>
      <c r="G1083" s="51"/>
    </row>
    <row r="1084" spans="1:7" s="50" customFormat="1" ns3:dyDescent="0.2">
      <c r="A1084" s="50" t="s">
        <v>241</v>
      </c>
      <c r="B1084" s="51">
        <v>8.6582769230769251E-3</v>
      </c>
      <c r="D1084" s="50" t="s">
        <v>7</v>
      </c>
      <c r="E1084" s="50" t="s">
        <v>245</v>
      </c>
      <c r="F1084" s="50" t="s">
        <v>27</v>
      </c>
      <c r="G1084" s="51"/>
    </row>
    <row r="1085" spans="1:7" s="50" customFormat="1" ns3:dyDescent="0.2">
      <c r="A1085" s="50" t="s">
        <v>241</v>
      </c>
      <c r="B1085" s="51">
        <v>1.4798215384615387E-3</v>
      </c>
      <c r="D1085" s="50" t="s">
        <v>7</v>
      </c>
      <c r="E1085" s="50" t="s">
        <v>246</v>
      </c>
      <c r="F1085" s="50" t="s">
        <v>27</v>
      </c>
      <c r="G1085" s="51"/>
    </row>
    <row r="1086" spans="1:7" s="50" customFormat="1" ns3:dyDescent="0.2">
      <c r="A1086" s="50" t="s">
        <v>242</v>
      </c>
      <c r="B1086" s="51">
        <v>1.1502276923076923E-3</v>
      </c>
      <c r="D1086" s="50" t="s">
        <v>7</v>
      </c>
      <c r="E1086" s="50" t="s">
        <v>245</v>
      </c>
      <c r="F1086" s="50" t="s">
        <v>27</v>
      </c>
      <c r="G1086" s="51"/>
    </row>
    <row r="1087" spans="1:7" s="50" customFormat="1" ns3:dyDescent="0.2">
      <c r="A1087" s="50" t="s">
        <v>242</v>
      </c>
      <c r="B1087" s="51">
        <v>1.30068E-4</v>
      </c>
      <c r="D1087" s="50" t="s">
        <v>7</v>
      </c>
      <c r="E1087" s="50" t="s">
        <v>246</v>
      </c>
      <c r="F1087" s="50" t="s">
        <v>27</v>
      </c>
      <c r="G1087" s="51"/>
    </row>
    <row r="1088" spans="1:7" s="50" customFormat="1" ns3:dyDescent="0.2">
      <c r="A1088" s="50" t="s">
        <v>223</v>
      </c>
      <c r="B1088" s="51">
        <v>2.7332584615384619E-9</v>
      </c>
      <c r="D1088" s="50" t="s">
        <v>7</v>
      </c>
      <c r="E1088" s="50" t="s">
        <v>245</v>
      </c>
      <c r="F1088" s="50" t="s">
        <v>27</v>
      </c>
      <c r="G1088" s="51"/>
    </row>
    <row r="1089" spans="1:7" s="50" customFormat="1" ns3:dyDescent="0.2">
      <c r="A1089" s="50" t="s">
        <v>223</v>
      </c>
      <c r="B1089" s="51">
        <v>4.5631384615384617E-12</v>
      </c>
      <c r="D1089" s="50" t="s">
        <v>7</v>
      </c>
      <c r="E1089" s="50" t="s">
        <v>246</v>
      </c>
      <c r="F1089" s="50" t="s">
        <v>27</v>
      </c>
      <c r="G1089" s="51"/>
    </row>
    <row r="1090" spans="1:7" s="50" customFormat="1" ns3:dyDescent="0.2">
      <c r="A1090" s="50" t="s">
        <v>224</v>
      </c>
      <c r="B1090" s="51">
        <v>1.2818769230769233E-5</v>
      </c>
      <c r="D1090" s="50" t="s">
        <v>7</v>
      </c>
      <c r="E1090" s="50" t="s">
        <v>245</v>
      </c>
      <c r="F1090" s="50" t="s">
        <v>27</v>
      </c>
      <c r="G1090" s="51"/>
    </row>
    <row r="1091" spans="1:7" s="50" customFormat="1" ns3:dyDescent="0.2">
      <c r="A1091" s="50" t="s">
        <v>224</v>
      </c>
      <c r="B1091" s="51">
        <v>1.7459723076923075E-8</v>
      </c>
      <c r="D1091" s="50" t="s">
        <v>7</v>
      </c>
      <c r="E1091" s="50" t="s">
        <v>246</v>
      </c>
      <c r="F1091" s="50" t="s">
        <v>27</v>
      </c>
      <c r="G1091" s="51"/>
    </row>
    <row r="1092" spans="1:7" s="50" customFormat="1" ns3:dyDescent="0.2">
      <c r="A1092" s="50" t="s">
        <v>227</v>
      </c>
      <c r="B1092" s="51">
        <v>2.8290461538461545E-6</v>
      </c>
      <c r="D1092" s="50" t="s">
        <v>7</v>
      </c>
      <c r="E1092" s="50" t="s">
        <v>245</v>
      </c>
      <c r="F1092" s="50" t="s">
        <v>27</v>
      </c>
      <c r="G1092" s="51"/>
    </row>
    <row r="1093" spans="1:7" s="50" customFormat="1" ns3:dyDescent="0.2">
      <c r="A1093" s="50" t="s">
        <v>227</v>
      </c>
      <c r="B1093" s="51">
        <v>1.0638000000000002E-8</v>
      </c>
      <c r="D1093" s="50" t="s">
        <v>7</v>
      </c>
      <c r="E1093" s="50" t="s">
        <v>246</v>
      </c>
      <c r="F1093" s="50" t="s">
        <v>27</v>
      </c>
      <c r="G1093" s="51"/>
    </row>
    <row r="1094" spans="1:7" s="50" customFormat="1" ns3:dyDescent="0.2">
      <c r="A1094" s="50" t="s">
        <v>228</v>
      </c>
      <c r="B1094" s="51">
        <v>8.0386892307692318E-4</v>
      </c>
      <c r="D1094" s="50" t="s">
        <v>37</v>
      </c>
      <c r="E1094" s="50" t="s">
        <v>246</v>
      </c>
      <c r="F1094" s="50" t="s">
        <v>27</v>
      </c>
      <c r="G1094" s="51"/>
    </row>
    <row r="1095" spans="1:7" s="50" customFormat="1" ns3:dyDescent="0.2">
      <c r="A1095" s="50" t="s">
        <v>229</v>
      </c>
      <c r="B1095" s="51">
        <v>6.3171692307692316E-5</v>
      </c>
      <c r="D1095" s="50" t="s">
        <v>7</v>
      </c>
      <c r="E1095" s="50" t="s">
        <v>245</v>
      </c>
      <c r="F1095" s="50" t="s">
        <v>27</v>
      </c>
      <c r="G1095" s="51"/>
    </row>
    <row r="1096" spans="1:7" s="50" customFormat="1" ns3:dyDescent="0.2">
      <c r="A1096" s="50" t="s">
        <v>229</v>
      </c>
      <c r="B1096" s="51">
        <v>8.6064923076923091E-9</v>
      </c>
      <c r="D1096" s="50" t="s">
        <v>7</v>
      </c>
      <c r="E1096" s="50" t="s">
        <v>246</v>
      </c>
      <c r="F1096" s="50" t="s">
        <v>27</v>
      </c>
      <c r="G1096" s="51"/>
    </row>
    <row r="1097" spans="1:7" s="50" customFormat="1" ns3:dyDescent="0.2">
      <c r="A1097" s="50" t="s">
        <v>243</v>
      </c>
      <c r="B1097" s="51">
        <v>1.3308369230769233</v>
      </c>
      <c r="D1097" s="50" t="s">
        <v>7</v>
      </c>
      <c r="E1097" s="50" t="s">
        <v>111</v>
      </c>
      <c r="F1097" s="50" t="s">
        <v>27</v>
      </c>
      <c r="G1097" s="51"/>
    </row>
    <row r="1098" spans="1:7" s="50" customFormat="1" ns3:dyDescent="0.2">
      <c r="A1098" s="50" t="s">
        <v>35</v>
      </c>
      <c r="B1098" s="51">
        <f>(1/0.42)*0.29*6.09*1.1</f>
        <v>4.6255000000000006</v>
      </c>
      <c r="D1098" s="50" t="s">
        <v>17</v>
      </c>
      <c r="E1098" s="50" t="s">
        <v>36</v>
      </c>
      <c r="F1098" s="50" t="s">
        <v>27</v>
      </c>
      <c r="G1098" s="51"/>
    </row>
    <row r="1099" spans="1:7" s="50" customFormat="1" ns3:dyDescent="0.2"/>
    <row r="1100" spans="1:7" s="50" customFormat="1" ht="16" ns3:dyDescent="0.2">
      <c r="A1100" s="49" t="s">
        <v>0</v>
      </c>
      <c r="B1100" s="49" t="s">
        <v>138</v>
      </c>
    </row>
    <row r="1101" spans="1:7" s="50" customFormat="1" ns3:dyDescent="0.2">
      <c r="A1101" s="50" t="s">
        <v>1</v>
      </c>
      <c r="B1101" s="50" t="s">
        <v>104</v>
      </c>
    </row>
    <row r="1102" spans="1:7" s="50" customFormat="1" ns3:dyDescent="0.2">
      <c r="A1102" s="50" t="s">
        <v>2</v>
      </c>
      <c r="B1102" s="50">
        <v>1</v>
      </c>
    </row>
    <row r="1103" spans="1:7" s="50" customFormat="1" ns3:dyDescent="0.2">
      <c r="A1103" s="50" t="s">
        <v>3</v>
      </c>
      <c r="B1103" s="3" t="s">
        <v>139</v>
      </c>
    </row>
    <row r="1104" spans="1:7" s="50" customFormat="1" ns3:dyDescent="0.2">
      <c r="A1104" s="50" t="s">
        <v>4</v>
      </c>
      <c r="B1104" s="50" t="s">
        <v>5</v>
      </c>
    </row>
    <row r="1105" spans="1:8" s="50" customFormat="1" ns3:dyDescent="0.2">
      <c r="A1105" s="50" t="s">
        <v>6</v>
      </c>
      <c r="B1105" s="50" t="s">
        <v>17</v>
      </c>
    </row>
    <row r="1106" spans="1:8" ns3:dyDescent="0.2">
      <c r="A1106" t="s">
        <v>261</v>
      </c>
      <c r="B1106" s="23">
        <f>0.33*71%*90%</f>
        <v>0.21087</v>
      </c>
    </row>
    <row r="1107" spans="1:8" s="50" customFormat="1" ns3:dyDescent="0.2">
      <c r="A1107" s="50" t="s">
        <v>9</v>
      </c>
      <c r="B1107" s="50" t="s">
        <v>133</v>
      </c>
    </row>
    <row r="1108" spans="1:8" s="50" customFormat="1" ht="16" ns3:dyDescent="0.2">
      <c r="A1108" s="49" t="s">
        <v>10</v>
      </c>
    </row>
    <row r="1109" spans="1:8" s="50" customFormat="1" ns3:dyDescent="0.2">
      <c r="A1109" s="50" t="s">
        <v>11</v>
      </c>
      <c r="B1109" s="50" t="s">
        <v>12</v>
      </c>
      <c r="C1109" s="50" t="s">
        <v>1</v>
      </c>
      <c r="D1109" s="50" t="s">
        <v>6</v>
      </c>
      <c r="E1109" s="50" t="s">
        <v>13</v>
      </c>
      <c r="F1109" s="50" t="s">
        <v>4</v>
      </c>
      <c r="G1109" s="50" t="s">
        <v>9</v>
      </c>
      <c r="H1109" s="50" t="s">
        <v>3</v>
      </c>
    </row>
    <row r="1110" spans="1:8" s="50" customFormat="1" ns3:dyDescent="0.2">
      <c r="A1110" s="50" t="str">
        <f>B1100</f>
        <v>heat production, at co-generation biowaste-fired power plant, post, pipeline 200km, storage 1000m</v>
      </c>
      <c r="B1110" s="50">
        <v>1</v>
      </c>
      <c r="C1110" s="50" t="str">
        <f>B1101</f>
        <v>CH</v>
      </c>
      <c r="D1110" s="50" t="s">
        <v>17</v>
      </c>
      <c r="F1110" s="50" t="s">
        <v>15</v>
      </c>
      <c r="G1110" s="50" t="s">
        <v>16</v>
      </c>
      <c r="H1110" s="51" t="str">
        <f>B1103</f>
        <v>heat, from biowaste, municipal incineration, energy allocation</v>
      </c>
    </row>
    <row r="1111" spans="1:8" s="50" customFormat="1" ns3:dyDescent="0.2">
      <c r="A1111" s="50" t="s">
        <v>134</v>
      </c>
      <c r="B1111" s="50">
        <f>0.9*0.397030769230769</f>
        <v>0.35732769230769212</v>
      </c>
      <c r="C1111" s="50" t="s">
        <v>103</v>
      </c>
      <c r="D1111" s="50" t="s">
        <v>7</v>
      </c>
      <c r="F1111" s="50" t="s">
        <v>18</v>
      </c>
      <c r="H1111" s="50" t="s">
        <v>134</v>
      </c>
    </row>
    <row r="1112" spans="1:8" s="50" customFormat="1" ns3:dyDescent="0.2">
      <c r="A1112" s="50" t="s">
        <v>110</v>
      </c>
      <c r="B1112" s="51">
        <v>0.39703076923076902</v>
      </c>
      <c r="D1112" s="50" t="s">
        <v>7</v>
      </c>
      <c r="E1112" s="50" t="s">
        <v>111</v>
      </c>
      <c r="F1112" s="50" t="s">
        <v>27</v>
      </c>
      <c r="G1112" s="52"/>
    </row>
    <row r="1113" spans="1:8" s="50" customFormat="1" ns3:dyDescent="0.2">
      <c r="A1113" s="50" t="s">
        <v>149</v>
      </c>
      <c r="B1113" s="51">
        <v>4.1268461538461552E-4</v>
      </c>
      <c r="C1113" s="50" t="s">
        <v>103</v>
      </c>
      <c r="D1113" s="50" t="s">
        <v>7</v>
      </c>
      <c r="F1113" t="s">
        <v>18</v>
      </c>
      <c r="G1113" s="51"/>
      <c r="H1113" s="50" t="s">
        <v>170</v>
      </c>
    </row>
    <row r="1114" spans="1:8" s="50" customFormat="1" ns3:dyDescent="0.2">
      <c r="A1114" s="50" t="s">
        <v>150</v>
      </c>
      <c r="B1114" s="51">
        <v>2.3803076923076926E-7</v>
      </c>
      <c r="C1114" s="50" t="s">
        <v>103</v>
      </c>
      <c r="D1114" s="50" t="s">
        <v>7</v>
      </c>
      <c r="F1114" t="s">
        <v>18</v>
      </c>
      <c r="G1114" s="51"/>
      <c r="H1114" s="50" t="s">
        <v>171</v>
      </c>
    </row>
    <row r="1115" spans="1:8" s="50" customFormat="1" ns3:dyDescent="0.2">
      <c r="A1115" s="50" t="s">
        <v>168</v>
      </c>
      <c r="B1115" s="51">
        <v>4.0630000000000006E-3</v>
      </c>
      <c r="C1115" s="50" t="s">
        <v>104</v>
      </c>
      <c r="D1115" s="50" t="s">
        <v>7</v>
      </c>
      <c r="F1115" t="s">
        <v>18</v>
      </c>
      <c r="G1115" s="51"/>
      <c r="H1115" s="50" t="s">
        <v>186</v>
      </c>
    </row>
    <row r="1116" spans="1:8" s="50" customFormat="1" ns3:dyDescent="0.2">
      <c r="A1116" s="50" t="s">
        <v>151</v>
      </c>
      <c r="B1116" s="51">
        <v>5.575307692307693E-5</v>
      </c>
      <c r="C1116" s="50" t="s">
        <v>24</v>
      </c>
      <c r="D1116" s="50" t="s">
        <v>7</v>
      </c>
      <c r="F1116" t="s">
        <v>18</v>
      </c>
      <c r="G1116" s="51"/>
      <c r="H1116" s="50" t="s">
        <v>172</v>
      </c>
    </row>
    <row r="1117" spans="1:8" s="50" customFormat="1" ns3:dyDescent="0.2">
      <c r="A1117" s="50" t="s">
        <v>152</v>
      </c>
      <c r="B1117" s="51">
        <v>4.3123846153846167E-7</v>
      </c>
      <c r="C1117" s="50" t="s">
        <v>24</v>
      </c>
      <c r="D1117" s="50" t="s">
        <v>7</v>
      </c>
      <c r="F1117" t="s">
        <v>18</v>
      </c>
      <c r="G1117" s="51"/>
      <c r="H1117" s="50" t="s">
        <v>173</v>
      </c>
    </row>
    <row r="1118" spans="1:8" s="50" customFormat="1" ns3:dyDescent="0.2">
      <c r="A1118" t="s">
        <v>493</v>
      </c>
      <c r="B1118" s="51">
        <v>5.2766923076923077E-7</v>
      </c>
      <c r="C1118" s="50" t="s">
        <v>24</v>
      </c>
      <c r="D1118" s="50" t="s">
        <v>7</v>
      </c>
      <c r="F1118" t="s">
        <v>18</v>
      </c>
      <c r="G1118" s="51"/>
      <c r="H1118" t="s">
        <v>494</v>
      </c>
    </row>
    <row r="1119" spans="1:8" s="50" customFormat="1" ns3:dyDescent="0.2">
      <c r="A1119" s="50" t="s">
        <v>169</v>
      </c>
      <c r="B1119" s="51">
        <v>7.7169230769230782E-2</v>
      </c>
      <c r="C1119" s="50" t="s">
        <v>104</v>
      </c>
      <c r="D1119" s="50" t="s">
        <v>17</v>
      </c>
      <c r="F1119" t="s">
        <v>18</v>
      </c>
      <c r="G1119" s="51"/>
      <c r="H1119" s="50" t="s">
        <v>187</v>
      </c>
    </row>
    <row r="1120" spans="1:8" s="50" customFormat="1" ns3:dyDescent="0.2">
      <c r="A1120" s="50" t="s">
        <v>153</v>
      </c>
      <c r="B1120" s="51">
        <v>2.9617692307692316E-4</v>
      </c>
      <c r="C1120" s="50" t="s">
        <v>103</v>
      </c>
      <c r="D1120" s="50" t="s">
        <v>7</v>
      </c>
      <c r="F1120" t="s">
        <v>18</v>
      </c>
      <c r="G1120" s="51"/>
      <c r="H1120" s="50" t="s">
        <v>174</v>
      </c>
    </row>
    <row r="1121" spans="1:8" s="50" customFormat="1" ns3:dyDescent="0.2">
      <c r="A1121" s="50" t="s">
        <v>154</v>
      </c>
      <c r="B1121" s="51">
        <v>7.1652307692307712E-4</v>
      </c>
      <c r="C1121" s="50" t="s">
        <v>103</v>
      </c>
      <c r="D1121" s="50" t="s">
        <v>7</v>
      </c>
      <c r="F1121" t="s">
        <v>18</v>
      </c>
      <c r="G1121" s="51"/>
      <c r="H1121" s="50" t="s">
        <v>175</v>
      </c>
    </row>
    <row r="1122" spans="1:8" s="50" customFormat="1" ns3:dyDescent="0.2">
      <c r="A1122" s="50" t="s">
        <v>155</v>
      </c>
      <c r="B1122" s="51">
        <v>8.3669230769230778E-7</v>
      </c>
      <c r="C1122" s="50" t="s">
        <v>24</v>
      </c>
      <c r="D1122" s="50" t="s">
        <v>7</v>
      </c>
      <c r="F1122" t="s">
        <v>18</v>
      </c>
      <c r="G1122" s="51"/>
      <c r="H1122" t="s">
        <v>474</v>
      </c>
    </row>
    <row r="1123" spans="1:8" s="50" customFormat="1" ns3:dyDescent="0.2">
      <c r="A1123" s="50" t="s">
        <v>156</v>
      </c>
      <c r="B1123" s="51">
        <v>-2.2291538461538469E-3</v>
      </c>
      <c r="C1123" s="50" t="s">
        <v>24</v>
      </c>
      <c r="D1123" s="50" t="s">
        <v>7</v>
      </c>
      <c r="F1123" t="s">
        <v>18</v>
      </c>
      <c r="G1123" s="51"/>
      <c r="H1123" s="50" t="s">
        <v>176</v>
      </c>
    </row>
    <row r="1124" spans="1:8" s="50" customFormat="1" ns3:dyDescent="0.2">
      <c r="A1124" s="50" t="s">
        <v>157</v>
      </c>
      <c r="B1124" s="51">
        <v>1.9230769230769236E-10</v>
      </c>
      <c r="C1124" s="50" t="s">
        <v>104</v>
      </c>
      <c r="D1124" s="50" t="s">
        <v>6</v>
      </c>
      <c r="F1124" t="s">
        <v>18</v>
      </c>
      <c r="G1124" s="51"/>
      <c r="H1124" s="50" t="s">
        <v>177</v>
      </c>
    </row>
    <row r="1125" spans="1:8" s="50" customFormat="1" ns3:dyDescent="0.2">
      <c r="A1125" s="50" t="s">
        <v>158</v>
      </c>
      <c r="B1125" s="51">
        <v>2.0251538461538467E-2</v>
      </c>
      <c r="C1125" s="50" t="s">
        <v>104</v>
      </c>
      <c r="D1125" s="50" t="s">
        <v>7</v>
      </c>
      <c r="F1125" t="s">
        <v>18</v>
      </c>
      <c r="G1125" s="51"/>
      <c r="H1125" s="50" t="s">
        <v>158</v>
      </c>
    </row>
    <row r="1126" spans="1:8" s="50" customFormat="1" ns3:dyDescent="0.2">
      <c r="A1126" s="50" t="s">
        <v>159</v>
      </c>
      <c r="B1126" s="51">
        <v>0.10974615384615387</v>
      </c>
      <c r="C1126" s="50" t="s">
        <v>104</v>
      </c>
      <c r="D1126" s="50" t="s">
        <v>7</v>
      </c>
      <c r="F1126" t="s">
        <v>18</v>
      </c>
      <c r="G1126" s="51"/>
      <c r="H1126" s="50" t="s">
        <v>159</v>
      </c>
    </row>
    <row r="1127" spans="1:8" s="50" customFormat="1" ns3:dyDescent="0.2">
      <c r="A1127" s="50" t="s">
        <v>160</v>
      </c>
      <c r="B1127" s="51">
        <v>1.0615384615384616E-3</v>
      </c>
      <c r="C1127" s="50" t="s">
        <v>103</v>
      </c>
      <c r="D1127" s="50" t="s">
        <v>7</v>
      </c>
      <c r="F1127" t="s">
        <v>18</v>
      </c>
      <c r="G1127" s="51"/>
      <c r="H1127" s="50" t="s">
        <v>178</v>
      </c>
    </row>
    <row r="1128" spans="1:8" s="50" customFormat="1" ns3:dyDescent="0.2">
      <c r="A1128" s="50" t="s">
        <v>161</v>
      </c>
      <c r="B1128" s="51">
        <v>4.2190769230769235E-11</v>
      </c>
      <c r="C1128" s="50" t="s">
        <v>104</v>
      </c>
      <c r="D1128" s="50" t="s">
        <v>6</v>
      </c>
      <c r="F1128" t="s">
        <v>18</v>
      </c>
      <c r="G1128" s="51"/>
      <c r="H1128" s="50" t="s">
        <v>179</v>
      </c>
    </row>
    <row r="1129" spans="1:8" s="50" customFormat="1" ns3:dyDescent="0.2">
      <c r="A1129" s="50" t="s">
        <v>162</v>
      </c>
      <c r="B1129" s="51">
        <v>1.9510000000000003E-10</v>
      </c>
      <c r="C1129" s="50" t="s">
        <v>104</v>
      </c>
      <c r="D1129" s="50" t="s">
        <v>6</v>
      </c>
      <c r="F1129" t="s">
        <v>18</v>
      </c>
      <c r="G1129" s="51"/>
      <c r="H1129" s="50" t="s">
        <v>180</v>
      </c>
    </row>
    <row r="1130" spans="1:8" s="50" customFormat="1" ns3:dyDescent="0.2">
      <c r="A1130" s="50" t="s">
        <v>163</v>
      </c>
      <c r="B1130" s="51">
        <v>8.3146153846153873E-4</v>
      </c>
      <c r="C1130" s="3" t="s">
        <v>267</v>
      </c>
      <c r="D1130" s="50" t="s">
        <v>7</v>
      </c>
      <c r="F1130" t="s">
        <v>18</v>
      </c>
      <c r="G1130" s="51"/>
      <c r="H1130" s="50" t="s">
        <v>181</v>
      </c>
    </row>
    <row r="1131" spans="1:8" s="50" customFormat="1" ns3:dyDescent="0.2">
      <c r="A1131" s="50" t="s">
        <v>164</v>
      </c>
      <c r="B1131" s="51">
        <v>-2.5055384615384618E-7</v>
      </c>
      <c r="C1131" s="50" t="s">
        <v>24</v>
      </c>
      <c r="D1131" s="50" t="s">
        <v>7</v>
      </c>
      <c r="F1131" t="s">
        <v>18</v>
      </c>
      <c r="G1131" s="51"/>
      <c r="H1131" s="50" t="s">
        <v>182</v>
      </c>
    </row>
    <row r="1132" spans="1:8" s="50" customFormat="1" ns3:dyDescent="0.2">
      <c r="A1132" s="50" t="s">
        <v>165</v>
      </c>
      <c r="B1132" s="51">
        <v>2.5856153846153849E-5</v>
      </c>
      <c r="C1132" s="50" t="s">
        <v>103</v>
      </c>
      <c r="D1132" s="50" t="s">
        <v>7</v>
      </c>
      <c r="F1132" t="s">
        <v>18</v>
      </c>
      <c r="G1132" s="51"/>
      <c r="H1132" s="50" t="s">
        <v>183</v>
      </c>
    </row>
    <row r="1133" spans="1:8" s="50" customFormat="1" ns3:dyDescent="0.2">
      <c r="A1133" s="50" t="s">
        <v>81</v>
      </c>
      <c r="B1133" s="51">
        <v>5.022461538461539E-3</v>
      </c>
      <c r="C1133" s="50" t="s">
        <v>103</v>
      </c>
      <c r="D1133" s="50" t="s">
        <v>28</v>
      </c>
      <c r="F1133" t="s">
        <v>18</v>
      </c>
      <c r="G1133" s="51"/>
      <c r="H1133" s="50" t="s">
        <v>82</v>
      </c>
    </row>
    <row r="1134" spans="1:8" s="50" customFormat="1" ns3:dyDescent="0.2">
      <c r="A1134" s="50" t="s">
        <v>166</v>
      </c>
      <c r="B1134" s="51">
        <v>-1.015769230769231E-2</v>
      </c>
      <c r="C1134" s="50" t="s">
        <v>104</v>
      </c>
      <c r="D1134" s="50" t="s">
        <v>7</v>
      </c>
      <c r="F1134" t="s">
        <v>18</v>
      </c>
      <c r="G1134" s="51"/>
      <c r="H1134" s="50" t="s">
        <v>184</v>
      </c>
    </row>
    <row r="1135" spans="1:8" s="50" customFormat="1" ns3:dyDescent="0.2">
      <c r="A1135" s="50" t="s">
        <v>167</v>
      </c>
      <c r="B1135" s="51">
        <v>0.66094615384615407</v>
      </c>
      <c r="C1135" s="50" t="s">
        <v>104</v>
      </c>
      <c r="D1135" s="50" t="s">
        <v>7</v>
      </c>
      <c r="F1135" t="s">
        <v>18</v>
      </c>
      <c r="G1135" s="51"/>
      <c r="H1135" s="50" t="s">
        <v>185</v>
      </c>
    </row>
    <row r="1136" spans="1:8" s="50" customFormat="1" ns3:dyDescent="0.2">
      <c r="A1136" s="50" t="s">
        <v>188</v>
      </c>
      <c r="B1136" s="51">
        <v>5.4676153846153856E-9</v>
      </c>
      <c r="D1136" s="50" t="s">
        <v>7</v>
      </c>
      <c r="E1136" s="50" t="s">
        <v>244</v>
      </c>
      <c r="F1136" s="50" t="s">
        <v>27</v>
      </c>
      <c r="G1136" s="51"/>
    </row>
    <row r="1137" spans="1:7" s="50" customFormat="1" ns3:dyDescent="0.2">
      <c r="A1137" s="50" t="s">
        <v>189</v>
      </c>
      <c r="B1137" s="51">
        <v>4.8521538461538472E-7</v>
      </c>
      <c r="D1137" s="50" t="s">
        <v>7</v>
      </c>
      <c r="E1137" s="50" t="s">
        <v>244</v>
      </c>
      <c r="F1137" s="50" t="s">
        <v>27</v>
      </c>
      <c r="G1137" s="51"/>
    </row>
    <row r="1138" spans="1:7" s="50" customFormat="1" ns3:dyDescent="0.2">
      <c r="A1138" s="50" t="s">
        <v>191</v>
      </c>
      <c r="B1138" s="51">
        <v>1.0511538461538464E-8</v>
      </c>
      <c r="D1138" s="50" t="s">
        <v>7</v>
      </c>
      <c r="E1138" s="50" t="s">
        <v>244</v>
      </c>
      <c r="F1138" s="50" t="s">
        <v>27</v>
      </c>
      <c r="G1138" s="51"/>
    </row>
    <row r="1139" spans="1:7" s="50" customFormat="1" ns3:dyDescent="0.2">
      <c r="A1139" s="50" t="s">
        <v>193</v>
      </c>
      <c r="B1139" s="51">
        <v>3.2013846153846166E-8</v>
      </c>
      <c r="D1139" s="50" t="s">
        <v>7</v>
      </c>
      <c r="E1139" s="50" t="s">
        <v>244</v>
      </c>
      <c r="F1139" s="50" t="s">
        <v>27</v>
      </c>
      <c r="G1139" s="51"/>
    </row>
    <row r="1140" spans="1:7" s="50" customFormat="1" ns3:dyDescent="0.2">
      <c r="A1140" s="50" t="s">
        <v>194</v>
      </c>
      <c r="B1140" s="51">
        <v>6.693923076923078E-11</v>
      </c>
      <c r="D1140" s="50" t="s">
        <v>7</v>
      </c>
      <c r="E1140" s="50" t="s">
        <v>244</v>
      </c>
      <c r="F1140" s="50" t="s">
        <v>27</v>
      </c>
      <c r="G1140" s="51"/>
    </row>
    <row r="1141" spans="1:7" s="50" customFormat="1" ns3:dyDescent="0.2">
      <c r="A1141" t="s">
        <v>477</v>
      </c>
      <c r="B1141" s="51">
        <v>1.6913846153846155E-10</v>
      </c>
      <c r="D1141" s="50" t="s">
        <v>7</v>
      </c>
      <c r="E1141" s="50" t="s">
        <v>244</v>
      </c>
      <c r="F1141" s="50" t="s">
        <v>27</v>
      </c>
      <c r="G1141" s="51"/>
    </row>
    <row r="1142" spans="1:7" s="50" customFormat="1" ns3:dyDescent="0.2">
      <c r="A1142" s="50" t="s">
        <v>195</v>
      </c>
      <c r="B1142" s="51">
        <v>7.1240769230769254E-13</v>
      </c>
      <c r="D1142" s="50" t="s">
        <v>7</v>
      </c>
      <c r="E1142" s="50" t="s">
        <v>244</v>
      </c>
      <c r="F1142" s="50" t="s">
        <v>27</v>
      </c>
      <c r="G1142" s="51"/>
    </row>
    <row r="1143" spans="1:7" s="50" customFormat="1" ns3:dyDescent="0.2">
      <c r="A1143" s="50" t="s">
        <v>196</v>
      </c>
      <c r="B1143" s="51">
        <v>2.010769230769231E-9</v>
      </c>
      <c r="D1143" s="50" t="s">
        <v>7</v>
      </c>
      <c r="E1143" s="50" t="s">
        <v>244</v>
      </c>
      <c r="F1143" s="50" t="s">
        <v>27</v>
      </c>
      <c r="G1143" s="51"/>
    </row>
    <row r="1144" spans="1:7" s="50" customFormat="1" ns3:dyDescent="0.2">
      <c r="A1144" s="50" t="s">
        <v>197</v>
      </c>
      <c r="B1144" s="51">
        <v>4.719384615384617E-11</v>
      </c>
      <c r="D1144" s="50" t="s">
        <v>7</v>
      </c>
      <c r="E1144" s="50" t="s">
        <v>244</v>
      </c>
      <c r="F1144" s="50" t="s">
        <v>27</v>
      </c>
      <c r="G1144" s="51"/>
    </row>
    <row r="1145" spans="1:7" s="50" customFormat="1" ns3:dyDescent="0.2">
      <c r="A1145" s="50" t="s">
        <v>248</v>
      </c>
      <c r="B1145" s="51">
        <v>1.1510769230769233E-4</v>
      </c>
      <c r="D1145" s="50" t="s">
        <v>7</v>
      </c>
      <c r="E1145" s="50" t="s">
        <v>244</v>
      </c>
      <c r="F1145" s="50" t="s">
        <v>27</v>
      </c>
      <c r="G1145" s="51"/>
    </row>
    <row r="1146" spans="1:7" s="50" customFormat="1" ns3:dyDescent="0.2">
      <c r="A1146" s="50" t="s">
        <v>135</v>
      </c>
      <c r="B1146" s="51">
        <f>0.397030769230769-B1111</f>
        <v>3.9703076923076897E-2</v>
      </c>
      <c r="D1146" s="50" t="s">
        <v>7</v>
      </c>
      <c r="E1146" s="50" t="s">
        <v>244</v>
      </c>
      <c r="F1146" s="50" t="s">
        <v>27</v>
      </c>
      <c r="G1146" s="51"/>
    </row>
    <row r="1147" spans="1:7" s="50" customFormat="1" ns3:dyDescent="0.2">
      <c r="A1147" s="50" t="s">
        <v>249</v>
      </c>
      <c r="B1147" s="51">
        <v>5.441923076923078E-5</v>
      </c>
      <c r="D1147" s="50" t="s">
        <v>7</v>
      </c>
      <c r="E1147" s="50" t="s">
        <v>244</v>
      </c>
      <c r="F1147" s="50" t="s">
        <v>27</v>
      </c>
      <c r="G1147" s="51"/>
    </row>
    <row r="1148" spans="1:7" s="50" customFormat="1" ns3:dyDescent="0.2">
      <c r="A1148" s="50" t="s">
        <v>199</v>
      </c>
      <c r="B1148" s="51">
        <v>4.6870000000000009E-9</v>
      </c>
      <c r="D1148" s="50" t="s">
        <v>7</v>
      </c>
      <c r="E1148" s="50" t="s">
        <v>244</v>
      </c>
      <c r="F1148" s="50" t="s">
        <v>27</v>
      </c>
      <c r="G1148" s="51"/>
    </row>
    <row r="1149" spans="1:7" s="50" customFormat="1" ns3:dyDescent="0.2">
      <c r="A1149" s="50" t="s">
        <v>200</v>
      </c>
      <c r="B1149" s="51">
        <v>6.1010769230769246E-9</v>
      </c>
      <c r="D1149" s="50" t="s">
        <v>7</v>
      </c>
      <c r="E1149" s="50" t="s">
        <v>244</v>
      </c>
      <c r="F1149" s="50" t="s">
        <v>27</v>
      </c>
      <c r="G1149" s="51"/>
    </row>
    <row r="1150" spans="1:7" s="50" customFormat="1" ns3:dyDescent="0.2">
      <c r="A1150" s="50" t="s">
        <v>201</v>
      </c>
      <c r="B1150" s="51">
        <v>1.1061538461538465E-9</v>
      </c>
      <c r="D1150" s="50" t="s">
        <v>7</v>
      </c>
      <c r="E1150" s="50" t="s">
        <v>244</v>
      </c>
      <c r="F1150" s="50" t="s">
        <v>27</v>
      </c>
      <c r="G1150" s="51"/>
    </row>
    <row r="1151" spans="1:7" s="50" customFormat="1" ns3:dyDescent="0.2">
      <c r="A1151" s="50" t="s">
        <v>202</v>
      </c>
      <c r="B1151" s="51">
        <v>8.5992307692307698E-6</v>
      </c>
      <c r="D1151" s="50" t="s">
        <v>7</v>
      </c>
      <c r="E1151" s="50" t="s">
        <v>244</v>
      </c>
      <c r="F1151" s="50" t="s">
        <v>27</v>
      </c>
      <c r="G1151" s="51"/>
    </row>
    <row r="1152" spans="1:7" s="50" customFormat="1" ns3:dyDescent="0.2">
      <c r="A1152" s="50" t="s">
        <v>203</v>
      </c>
      <c r="B1152" s="51">
        <v>4.0027692307692315E-5</v>
      </c>
      <c r="D1152" s="50" t="s">
        <v>7</v>
      </c>
      <c r="E1152" s="50" t="s">
        <v>244</v>
      </c>
      <c r="F1152" s="50" t="s">
        <v>27</v>
      </c>
      <c r="G1152" s="51"/>
    </row>
    <row r="1153" spans="1:7" s="50" customFormat="1" ns3:dyDescent="0.2">
      <c r="A1153" s="50" t="s">
        <v>204</v>
      </c>
      <c r="B1153" s="51">
        <v>6.4023076923076933E-14</v>
      </c>
      <c r="D1153" s="50" t="s">
        <v>7</v>
      </c>
      <c r="E1153" s="50" t="s">
        <v>244</v>
      </c>
      <c r="F1153" s="50" t="s">
        <v>27</v>
      </c>
      <c r="G1153" s="51"/>
    </row>
    <row r="1154" spans="1:7" s="50" customFormat="1" ns3:dyDescent="0.2">
      <c r="A1154" s="50" t="s">
        <v>205</v>
      </c>
      <c r="B1154" s="51">
        <v>3.4181538461538472</v>
      </c>
      <c r="D1154" s="50" t="s">
        <v>17</v>
      </c>
      <c r="E1154" s="50" t="s">
        <v>244</v>
      </c>
      <c r="F1154" s="50" t="s">
        <v>27</v>
      </c>
      <c r="G1154" s="51"/>
    </row>
    <row r="1155" spans="1:7" s="50" customFormat="1" ns3:dyDescent="0.2">
      <c r="A1155" s="50" t="s">
        <v>206</v>
      </c>
      <c r="B1155" s="51">
        <v>1.5314615384615386E-6</v>
      </c>
      <c r="D1155" s="50" t="s">
        <v>7</v>
      </c>
      <c r="E1155" s="50" t="s">
        <v>244</v>
      </c>
      <c r="F1155" s="50" t="s">
        <v>27</v>
      </c>
      <c r="G1155" s="51"/>
    </row>
    <row r="1156" spans="1:7" s="50" customFormat="1" ns3:dyDescent="0.2">
      <c r="A1156" s="50" t="s">
        <v>207</v>
      </c>
      <c r="B1156" s="51">
        <v>9.0530769230769244E-7</v>
      </c>
      <c r="D1156" s="50" t="s">
        <v>7</v>
      </c>
      <c r="E1156" s="50" t="s">
        <v>244</v>
      </c>
      <c r="F1156" s="50" t="s">
        <v>27</v>
      </c>
      <c r="G1156" s="51"/>
    </row>
    <row r="1157" spans="1:7" s="50" customFormat="1" ns3:dyDescent="0.2">
      <c r="A1157" s="50" t="s">
        <v>250</v>
      </c>
      <c r="B1157" s="51">
        <v>2.0480769230769236E-11</v>
      </c>
      <c r="D1157" s="50" t="s">
        <v>7</v>
      </c>
      <c r="E1157" s="50" t="s">
        <v>244</v>
      </c>
      <c r="F1157" s="50" t="s">
        <v>27</v>
      </c>
      <c r="G1157" s="51"/>
    </row>
    <row r="1158" spans="1:7" s="50" customFormat="1" ns3:dyDescent="0.2">
      <c r="A1158" s="50" t="s">
        <v>208</v>
      </c>
      <c r="B1158" s="51">
        <v>7.2146153846153871E-10</v>
      </c>
      <c r="D1158" s="50" t="s">
        <v>7</v>
      </c>
      <c r="E1158" s="50" t="s">
        <v>244</v>
      </c>
      <c r="F1158" s="50" t="s">
        <v>27</v>
      </c>
      <c r="G1158" s="51"/>
    </row>
    <row r="1159" spans="1:7" s="50" customFormat="1" ns3:dyDescent="0.2">
      <c r="A1159" s="50" t="s">
        <v>209</v>
      </c>
      <c r="B1159" s="51">
        <v>1.0259230769230773E-9</v>
      </c>
      <c r="D1159" s="50" t="s">
        <v>7</v>
      </c>
      <c r="E1159" s="50" t="s">
        <v>244</v>
      </c>
      <c r="F1159" s="50" t="s">
        <v>27</v>
      </c>
      <c r="G1159" s="51"/>
    </row>
    <row r="1160" spans="1:7" s="50" customFormat="1" ns3:dyDescent="0.2">
      <c r="A1160" s="50" t="s">
        <v>251</v>
      </c>
      <c r="B1160" s="51">
        <v>1.9956923076923079E-6</v>
      </c>
      <c r="D1160" s="50" t="s">
        <v>7</v>
      </c>
      <c r="E1160" s="50" t="s">
        <v>244</v>
      </c>
      <c r="F1160" s="50" t="s">
        <v>27</v>
      </c>
      <c r="G1160" s="51"/>
    </row>
    <row r="1161" spans="1:7" s="50" customFormat="1" ns3:dyDescent="0.2">
      <c r="A1161" s="50" t="s">
        <v>210</v>
      </c>
      <c r="B1161" s="51">
        <v>5.509769230769232E-10</v>
      </c>
      <c r="D1161" s="50" t="s">
        <v>7</v>
      </c>
      <c r="E1161" s="50" t="s">
        <v>244</v>
      </c>
      <c r="F1161" s="50" t="s">
        <v>27</v>
      </c>
      <c r="G1161" s="51"/>
    </row>
    <row r="1162" spans="1:7" s="50" customFormat="1" ns3:dyDescent="0.2">
      <c r="A1162" s="50" t="s">
        <v>211</v>
      </c>
      <c r="B1162" s="51">
        <v>1.3316153846153848E-9</v>
      </c>
      <c r="D1162" s="50" t="s">
        <v>7</v>
      </c>
      <c r="E1162" s="50" t="s">
        <v>244</v>
      </c>
      <c r="F1162" s="50" t="s">
        <v>27</v>
      </c>
      <c r="G1162" s="51"/>
    </row>
    <row r="1163" spans="1:7" s="50" customFormat="1" ns3:dyDescent="0.2">
      <c r="A1163" s="50" t="s">
        <v>252</v>
      </c>
      <c r="B1163" s="51">
        <v>4.8020769230769237E-7</v>
      </c>
      <c r="D1163" s="50" t="s">
        <v>7</v>
      </c>
      <c r="E1163" s="50" t="s">
        <v>244</v>
      </c>
      <c r="F1163" s="50" t="s">
        <v>27</v>
      </c>
      <c r="G1163" s="51"/>
    </row>
    <row r="1164" spans="1:7" s="50" customFormat="1" ns3:dyDescent="0.2">
      <c r="A1164" s="50" t="s">
        <v>253</v>
      </c>
      <c r="B1164" s="51">
        <v>3.5312307692307701E-10</v>
      </c>
      <c r="D1164" s="50" t="s">
        <v>7</v>
      </c>
      <c r="E1164" s="50" t="s">
        <v>244</v>
      </c>
      <c r="F1164" s="50" t="s">
        <v>27</v>
      </c>
      <c r="G1164" s="51"/>
    </row>
    <row r="1165" spans="1:7" s="50" customFormat="1" ns3:dyDescent="0.2">
      <c r="A1165" s="50" t="s">
        <v>213</v>
      </c>
      <c r="B1165" s="51">
        <v>1.4569230769230773E-6</v>
      </c>
      <c r="D1165" s="50" t="s">
        <v>7</v>
      </c>
      <c r="E1165" s="50" t="s">
        <v>244</v>
      </c>
      <c r="F1165" s="50" t="s">
        <v>27</v>
      </c>
      <c r="G1165" s="51"/>
    </row>
    <row r="1166" spans="1:7" s="50" customFormat="1" ns3:dyDescent="0.2">
      <c r="A1166" s="50" t="s">
        <v>214</v>
      </c>
      <c r="B1166" s="51">
        <v>4.5682307692307696E-9</v>
      </c>
      <c r="D1166" s="50" t="s">
        <v>7</v>
      </c>
      <c r="E1166" s="50" t="s">
        <v>244</v>
      </c>
      <c r="F1166" s="50" t="s">
        <v>27</v>
      </c>
      <c r="G1166" s="51"/>
    </row>
    <row r="1167" spans="1:7" s="50" customFormat="1" ns3:dyDescent="0.2">
      <c r="A1167" s="50" t="s">
        <v>215</v>
      </c>
      <c r="B1167" s="51">
        <v>1.536538461538462E-4</v>
      </c>
      <c r="D1167" s="50" t="s">
        <v>7</v>
      </c>
      <c r="E1167" s="50" t="s">
        <v>244</v>
      </c>
      <c r="F1167" s="50" t="s">
        <v>27</v>
      </c>
      <c r="G1167" s="51"/>
    </row>
    <row r="1168" spans="1:7" s="50" customFormat="1" ns3:dyDescent="0.2">
      <c r="A1168" s="50" t="s">
        <v>216</v>
      </c>
      <c r="B1168" s="51">
        <v>3.8221538461538467E-6</v>
      </c>
      <c r="D1168" s="50" t="s">
        <v>7</v>
      </c>
      <c r="E1168" s="50" t="s">
        <v>244</v>
      </c>
      <c r="F1168" s="50" t="s">
        <v>27</v>
      </c>
      <c r="G1168" s="51"/>
    </row>
    <row r="1169" spans="1:7" s="50" customFormat="1" ns3:dyDescent="0.2">
      <c r="A1169" s="50" t="s">
        <v>217</v>
      </c>
      <c r="B1169" s="51">
        <v>1.9206923076923082E-8</v>
      </c>
      <c r="D1169" s="50" t="s">
        <v>7</v>
      </c>
      <c r="E1169" s="50" t="s">
        <v>244</v>
      </c>
      <c r="F1169" s="50" t="s">
        <v>27</v>
      </c>
      <c r="G1169" s="51"/>
    </row>
    <row r="1170" spans="1:7" s="50" customFormat="1" ns3:dyDescent="0.2">
      <c r="A1170" s="50" t="s">
        <v>218</v>
      </c>
      <c r="B1170" s="51">
        <v>1.3941538461538464E-11</v>
      </c>
      <c r="D1170" s="50" t="s">
        <v>7</v>
      </c>
      <c r="E1170" s="50" t="s">
        <v>244</v>
      </c>
      <c r="F1170" s="50" t="s">
        <v>27</v>
      </c>
      <c r="G1170" s="51"/>
    </row>
    <row r="1171" spans="1:7" s="50" customFormat="1" ns3:dyDescent="0.2">
      <c r="A1171" s="50" t="s">
        <v>254</v>
      </c>
      <c r="B1171" s="51">
        <v>7.7046153846153862E-7</v>
      </c>
      <c r="D1171" s="50" t="s">
        <v>7</v>
      </c>
      <c r="E1171" s="50" t="s">
        <v>244</v>
      </c>
      <c r="F1171" s="50" t="s">
        <v>27</v>
      </c>
      <c r="G1171" s="51"/>
    </row>
    <row r="1172" spans="1:7" s="50" customFormat="1" ns3:dyDescent="0.2">
      <c r="A1172" s="50" t="s">
        <v>255</v>
      </c>
      <c r="B1172" s="51">
        <v>1.1601538461538464E-5</v>
      </c>
      <c r="D1172" s="50" t="s">
        <v>7</v>
      </c>
      <c r="E1172" s="50" t="s">
        <v>244</v>
      </c>
      <c r="F1172" s="50" t="s">
        <v>27</v>
      </c>
      <c r="G1172" s="51"/>
    </row>
    <row r="1173" spans="1:7" s="50" customFormat="1" ns3:dyDescent="0.2">
      <c r="A1173" s="50" t="s">
        <v>219</v>
      </c>
      <c r="B1173" s="51">
        <v>4.0001538461538472E-9</v>
      </c>
      <c r="D1173" s="50" t="s">
        <v>7</v>
      </c>
      <c r="E1173" s="50" t="s">
        <v>244</v>
      </c>
      <c r="F1173" s="50" t="s">
        <v>27</v>
      </c>
      <c r="G1173" s="51"/>
    </row>
    <row r="1174" spans="1:7" s="50" customFormat="1" ns3:dyDescent="0.2">
      <c r="A1174" s="50" t="s">
        <v>239</v>
      </c>
      <c r="B1174" s="51">
        <v>4.1779230769230774E-8</v>
      </c>
      <c r="D1174" s="50" t="s">
        <v>7</v>
      </c>
      <c r="E1174" s="50" t="s">
        <v>244</v>
      </c>
      <c r="F1174" s="50" t="s">
        <v>27</v>
      </c>
      <c r="G1174" s="51"/>
    </row>
    <row r="1175" spans="1:7" s="50" customFormat="1" ns3:dyDescent="0.2">
      <c r="A1175" s="50" t="s">
        <v>220</v>
      </c>
      <c r="B1175" s="51">
        <v>8.2630769230769241E-6</v>
      </c>
      <c r="D1175" s="50" t="s">
        <v>7</v>
      </c>
      <c r="E1175" s="50" t="s">
        <v>244</v>
      </c>
      <c r="F1175" s="50" t="s">
        <v>27</v>
      </c>
      <c r="G1175" s="51"/>
    </row>
    <row r="1176" spans="1:7" s="50" customFormat="1" ns3:dyDescent="0.2">
      <c r="A1176" s="50" t="s">
        <v>222</v>
      </c>
      <c r="B1176" s="51">
        <v>1.0697692307692308E-5</v>
      </c>
      <c r="D1176" s="50" t="s">
        <v>7</v>
      </c>
      <c r="E1176" s="50" t="s">
        <v>244</v>
      </c>
      <c r="F1176" s="50" t="s">
        <v>27</v>
      </c>
      <c r="G1176" s="51"/>
    </row>
    <row r="1177" spans="1:7" s="50" customFormat="1" ns3:dyDescent="0.2">
      <c r="A1177" s="50" t="s">
        <v>224</v>
      </c>
      <c r="B1177" s="51">
        <v>3.5043846153846162E-12</v>
      </c>
      <c r="D1177" s="50" t="s">
        <v>7</v>
      </c>
      <c r="E1177" s="50" t="s">
        <v>244</v>
      </c>
      <c r="F1177" s="50" t="s">
        <v>27</v>
      </c>
      <c r="G1177" s="51"/>
    </row>
    <row r="1178" spans="1:7" s="50" customFormat="1" ns3:dyDescent="0.2">
      <c r="A1178" s="50" t="s">
        <v>226</v>
      </c>
      <c r="B1178" s="51">
        <v>6.4026923076923092E-8</v>
      </c>
      <c r="D1178" s="50" t="s">
        <v>7</v>
      </c>
      <c r="E1178" s="50" t="s">
        <v>244</v>
      </c>
      <c r="F1178" s="50" t="s">
        <v>27</v>
      </c>
      <c r="G1178" s="51"/>
    </row>
    <row r="1179" spans="1:7" s="50" customFormat="1" ns3:dyDescent="0.2">
      <c r="A1179" s="50" t="s">
        <v>227</v>
      </c>
      <c r="B1179" s="51">
        <v>4.2668461538461545E-8</v>
      </c>
      <c r="D1179" s="50" t="s">
        <v>7</v>
      </c>
      <c r="E1179" s="50" t="s">
        <v>244</v>
      </c>
      <c r="F1179" s="50" t="s">
        <v>27</v>
      </c>
      <c r="G1179" s="51"/>
    </row>
    <row r="1180" spans="1:7" s="50" customFormat="1" ns3:dyDescent="0.2">
      <c r="A1180" s="50" t="s">
        <v>228</v>
      </c>
      <c r="B1180" s="51">
        <v>1.0421761538461543E-3</v>
      </c>
      <c r="D1180" s="50" t="s">
        <v>37</v>
      </c>
      <c r="E1180" s="50" t="s">
        <v>244</v>
      </c>
      <c r="F1180" s="50" t="s">
        <v>27</v>
      </c>
      <c r="G1180" s="51"/>
    </row>
    <row r="1181" spans="1:7" s="50" customFormat="1" ns3:dyDescent="0.2">
      <c r="A1181" s="50" t="s">
        <v>229</v>
      </c>
      <c r="B1181" s="51">
        <v>2.6190769230769238E-8</v>
      </c>
      <c r="D1181" s="50" t="s">
        <v>7</v>
      </c>
      <c r="E1181" s="50" t="s">
        <v>244</v>
      </c>
      <c r="F1181" s="50" t="s">
        <v>27</v>
      </c>
      <c r="G1181" s="51"/>
    </row>
    <row r="1182" spans="1:7" s="50" customFormat="1" ns3:dyDescent="0.2">
      <c r="A1182" s="50" t="s">
        <v>188</v>
      </c>
      <c r="B1182" s="51">
        <v>5.177000000000001E-3</v>
      </c>
      <c r="D1182" s="50" t="s">
        <v>7</v>
      </c>
      <c r="E1182" s="50" t="s">
        <v>245</v>
      </c>
      <c r="F1182" s="50" t="s">
        <v>27</v>
      </c>
      <c r="G1182" s="51"/>
    </row>
    <row r="1183" spans="1:7" s="50" customFormat="1" ns3:dyDescent="0.2">
      <c r="A1183" s="50" t="s">
        <v>188</v>
      </c>
      <c r="B1183" s="51">
        <v>4.9810000000000015E-7</v>
      </c>
      <c r="D1183" s="50" t="s">
        <v>7</v>
      </c>
      <c r="E1183" s="50" t="s">
        <v>246</v>
      </c>
      <c r="F1183" s="50" t="s">
        <v>27</v>
      </c>
      <c r="G1183" s="51"/>
    </row>
    <row r="1184" spans="1:7" s="50" customFormat="1" ns3:dyDescent="0.2">
      <c r="A1184" s="50" t="s">
        <v>190</v>
      </c>
      <c r="B1184" s="51">
        <v>6.2110000000000006E-10</v>
      </c>
      <c r="D1184" s="50" t="s">
        <v>7</v>
      </c>
      <c r="E1184" s="50" t="s">
        <v>245</v>
      </c>
      <c r="F1184" s="50" t="s">
        <v>27</v>
      </c>
      <c r="G1184" s="51"/>
    </row>
    <row r="1185" spans="1:7" s="50" customFormat="1" ns3:dyDescent="0.2">
      <c r="A1185" s="50" t="s">
        <v>190</v>
      </c>
      <c r="B1185" s="51">
        <v>3.3836153846153856E-10</v>
      </c>
      <c r="D1185" s="50" t="s">
        <v>7</v>
      </c>
      <c r="E1185" s="50" t="s">
        <v>246</v>
      </c>
      <c r="F1185" s="50" t="s">
        <v>27</v>
      </c>
      <c r="G1185" s="51"/>
    </row>
    <row r="1186" spans="1:7" s="50" customFormat="1" ns3:dyDescent="0.2">
      <c r="A1186" s="50" t="s">
        <v>191</v>
      </c>
      <c r="B1186" s="51">
        <v>8.1807692307692328E-7</v>
      </c>
      <c r="D1186" s="50" t="s">
        <v>7</v>
      </c>
      <c r="E1186" s="50" t="s">
        <v>245</v>
      </c>
      <c r="F1186" s="50" t="s">
        <v>27</v>
      </c>
      <c r="G1186" s="51"/>
    </row>
    <row r="1187" spans="1:7" s="50" customFormat="1" ns3:dyDescent="0.2">
      <c r="A1187" s="50" t="s">
        <v>191</v>
      </c>
      <c r="B1187" s="51">
        <v>5.3896153846153848E-7</v>
      </c>
      <c r="D1187" s="50" t="s">
        <v>7</v>
      </c>
      <c r="E1187" s="50" t="s">
        <v>246</v>
      </c>
      <c r="F1187" s="50" t="s">
        <v>27</v>
      </c>
      <c r="G1187" s="51"/>
    </row>
    <row r="1188" spans="1:7" s="50" customFormat="1" ns3:dyDescent="0.2">
      <c r="A1188" s="50" t="s">
        <v>230</v>
      </c>
      <c r="B1188" s="51">
        <v>2.6411538461538467E-4</v>
      </c>
      <c r="D1188" s="50" t="s">
        <v>7</v>
      </c>
      <c r="E1188" s="50" t="s">
        <v>245</v>
      </c>
      <c r="F1188" s="50" t="s">
        <v>27</v>
      </c>
      <c r="G1188" s="51"/>
    </row>
    <row r="1189" spans="1:7" s="50" customFormat="1" ns3:dyDescent="0.2">
      <c r="A1189" s="50" t="s">
        <v>230</v>
      </c>
      <c r="B1189" s="51">
        <v>8.1061538461538475E-5</v>
      </c>
      <c r="D1189" s="50" t="s">
        <v>7</v>
      </c>
      <c r="E1189" s="50" t="s">
        <v>246</v>
      </c>
      <c r="F1189" s="50" t="s">
        <v>27</v>
      </c>
      <c r="G1189" s="51"/>
    </row>
    <row r="1190" spans="1:7" s="50" customFormat="1" ns3:dyDescent="0.2">
      <c r="A1190" s="50" t="s">
        <v>256</v>
      </c>
      <c r="B1190" s="51">
        <v>5.6736153846153856E-6</v>
      </c>
      <c r="D1190" s="50" t="s">
        <v>7</v>
      </c>
      <c r="E1190" s="50" t="s">
        <v>245</v>
      </c>
      <c r="F1190" s="50" t="s">
        <v>27</v>
      </c>
      <c r="G1190" s="51"/>
    </row>
    <row r="1191" spans="1:7" s="50" customFormat="1" ns3:dyDescent="0.2">
      <c r="A1191" s="50" t="s">
        <v>256</v>
      </c>
      <c r="B1191" s="51">
        <v>7.1161538461538476E-8</v>
      </c>
      <c r="D1191" s="50" t="s">
        <v>7</v>
      </c>
      <c r="E1191" s="50" t="s">
        <v>246</v>
      </c>
      <c r="F1191" s="50" t="s">
        <v>27</v>
      </c>
      <c r="G1191" s="51"/>
    </row>
    <row r="1192" spans="1:7" s="50" customFormat="1" ns3:dyDescent="0.2">
      <c r="A1192" s="50" t="s">
        <v>196</v>
      </c>
      <c r="B1192" s="51">
        <v>2.0869230769230774E-7</v>
      </c>
      <c r="D1192" s="50" t="s">
        <v>7</v>
      </c>
      <c r="E1192" s="50" t="s">
        <v>245</v>
      </c>
      <c r="F1192" s="50" t="s">
        <v>27</v>
      </c>
      <c r="G1192" s="51"/>
    </row>
    <row r="1193" spans="1:7" s="50" customFormat="1" ns3:dyDescent="0.2">
      <c r="A1193" s="50" t="s">
        <v>196</v>
      </c>
      <c r="B1193" s="51">
        <v>3.735461538461539E-6</v>
      </c>
      <c r="D1193" s="50" t="s">
        <v>7</v>
      </c>
      <c r="E1193" s="50" t="s">
        <v>246</v>
      </c>
      <c r="F1193" s="50" t="s">
        <v>27</v>
      </c>
      <c r="G1193" s="51"/>
    </row>
    <row r="1194" spans="1:7" s="50" customFormat="1" ns3:dyDescent="0.2">
      <c r="A1194" s="50" t="s">
        <v>232</v>
      </c>
      <c r="B1194" s="51">
        <v>8.0746153846153869E-4</v>
      </c>
      <c r="D1194" s="50" t="s">
        <v>7</v>
      </c>
      <c r="E1194" s="50" t="s">
        <v>245</v>
      </c>
      <c r="F1194" s="50" t="s">
        <v>27</v>
      </c>
      <c r="G1194" s="51"/>
    </row>
    <row r="1195" spans="1:7" s="50" customFormat="1" ns3:dyDescent="0.2">
      <c r="A1195" s="50" t="s">
        <v>232</v>
      </c>
      <c r="B1195" s="51">
        <v>8.2830769230769243E-5</v>
      </c>
      <c r="D1195" s="50" t="s">
        <v>7</v>
      </c>
      <c r="E1195" s="50" t="s">
        <v>246</v>
      </c>
      <c r="F1195" s="50" t="s">
        <v>27</v>
      </c>
      <c r="G1195" s="51"/>
    </row>
    <row r="1196" spans="1:7" s="50" customFormat="1" ns3:dyDescent="0.2">
      <c r="A1196" s="50" t="s">
        <v>197</v>
      </c>
      <c r="B1196" s="51">
        <v>1.4850000000000004E-8</v>
      </c>
      <c r="D1196" s="50" t="s">
        <v>7</v>
      </c>
      <c r="E1196" s="50" t="s">
        <v>245</v>
      </c>
      <c r="F1196" s="50" t="s">
        <v>27</v>
      </c>
      <c r="G1196" s="51"/>
    </row>
    <row r="1197" spans="1:7" s="50" customFormat="1" ns3:dyDescent="0.2">
      <c r="A1197" s="50" t="s">
        <v>197</v>
      </c>
      <c r="B1197" s="51">
        <v>1.646615384615385E-11</v>
      </c>
      <c r="D1197" s="50" t="s">
        <v>7</v>
      </c>
      <c r="E1197" s="50" t="s">
        <v>246</v>
      </c>
      <c r="F1197" s="50" t="s">
        <v>27</v>
      </c>
      <c r="G1197" s="51"/>
    </row>
    <row r="1198" spans="1:7" s="50" customFormat="1" ns3:dyDescent="0.2">
      <c r="A1198" s="50" t="s">
        <v>233</v>
      </c>
      <c r="B1198" s="51">
        <v>1.2416153846153848E-2</v>
      </c>
      <c r="D1198" s="50" t="s">
        <v>7</v>
      </c>
      <c r="E1198" s="50" t="s">
        <v>245</v>
      </c>
      <c r="F1198" s="50" t="s">
        <v>27</v>
      </c>
      <c r="G1198" s="51"/>
    </row>
    <row r="1199" spans="1:7" s="50" customFormat="1" ns3:dyDescent="0.2">
      <c r="A1199" s="50" t="s">
        <v>233</v>
      </c>
      <c r="B1199" s="51">
        <v>2.6289230769230775E-4</v>
      </c>
      <c r="D1199" s="50" t="s">
        <v>7</v>
      </c>
      <c r="E1199" s="50" t="s">
        <v>246</v>
      </c>
      <c r="F1199" s="50" t="s">
        <v>27</v>
      </c>
      <c r="G1199" s="51"/>
    </row>
    <row r="1200" spans="1:7" s="50" customFormat="1" ns3:dyDescent="0.2">
      <c r="A1200" s="50" t="s">
        <v>234</v>
      </c>
      <c r="B1200" s="51">
        <v>3.3805384615384626E-4</v>
      </c>
      <c r="D1200" s="50" t="s">
        <v>7</v>
      </c>
      <c r="E1200" s="50" t="s">
        <v>245</v>
      </c>
      <c r="F1200" s="50" t="s">
        <v>27</v>
      </c>
      <c r="G1200" s="51"/>
    </row>
    <row r="1201" spans="1:7" s="50" customFormat="1" ns3:dyDescent="0.2">
      <c r="A1201" s="50" t="s">
        <v>234</v>
      </c>
      <c r="B1201" s="51">
        <v>2.2795384615384622E-3</v>
      </c>
      <c r="D1201" s="50" t="s">
        <v>7</v>
      </c>
      <c r="E1201" s="50" t="s">
        <v>246</v>
      </c>
      <c r="F1201" s="50" t="s">
        <v>27</v>
      </c>
      <c r="G1201" s="51"/>
    </row>
    <row r="1202" spans="1:7" s="50" customFormat="1" ns3:dyDescent="0.2">
      <c r="A1202" s="50" t="s">
        <v>199</v>
      </c>
      <c r="B1202" s="51">
        <v>6.9683846153846165E-10</v>
      </c>
      <c r="D1202" s="50" t="s">
        <v>7</v>
      </c>
      <c r="E1202" s="50" t="s">
        <v>246</v>
      </c>
      <c r="F1202" s="50" t="s">
        <v>27</v>
      </c>
      <c r="G1202" s="51"/>
    </row>
    <row r="1203" spans="1:7" s="50" customFormat="1" ns3:dyDescent="0.2">
      <c r="A1203" s="50" t="s">
        <v>235</v>
      </c>
      <c r="B1203" s="51">
        <v>3.0592307692307699E-7</v>
      </c>
      <c r="D1203" s="50" t="s">
        <v>7</v>
      </c>
      <c r="E1203" s="50" t="s">
        <v>245</v>
      </c>
      <c r="F1203" s="50" t="s">
        <v>27</v>
      </c>
      <c r="G1203" s="51"/>
    </row>
    <row r="1204" spans="1:7" s="50" customFormat="1" ns3:dyDescent="0.2">
      <c r="A1204" s="50" t="s">
        <v>235</v>
      </c>
      <c r="B1204" s="51">
        <v>8.8684615384615396E-8</v>
      </c>
      <c r="D1204" s="50" t="s">
        <v>7</v>
      </c>
      <c r="E1204" s="50" t="s">
        <v>246</v>
      </c>
      <c r="F1204" s="50" t="s">
        <v>27</v>
      </c>
      <c r="G1204" s="51"/>
    </row>
    <row r="1205" spans="1:7" s="50" customFormat="1" ns3:dyDescent="0.2">
      <c r="A1205" s="50" t="s">
        <v>200</v>
      </c>
      <c r="B1205" s="51">
        <v>2.9376153846153851E-6</v>
      </c>
      <c r="D1205" s="50" t="s">
        <v>7</v>
      </c>
      <c r="E1205" s="50" t="s">
        <v>245</v>
      </c>
      <c r="F1205" s="50" t="s">
        <v>27</v>
      </c>
      <c r="G1205" s="51"/>
    </row>
    <row r="1206" spans="1:7" s="50" customFormat="1" ns3:dyDescent="0.2">
      <c r="A1206" s="50" t="s">
        <v>200</v>
      </c>
      <c r="B1206" s="51">
        <v>5.574923076923078E-10</v>
      </c>
      <c r="D1206" s="50" t="s">
        <v>7</v>
      </c>
      <c r="E1206" s="50" t="s">
        <v>246</v>
      </c>
      <c r="F1206" s="50" t="s">
        <v>27</v>
      </c>
      <c r="G1206" s="51"/>
    </row>
    <row r="1207" spans="1:7" s="50" customFormat="1" ns3:dyDescent="0.2">
      <c r="A1207" s="50" t="s">
        <v>201</v>
      </c>
      <c r="B1207" s="51">
        <v>1.1379230769230772E-5</v>
      </c>
      <c r="D1207" s="50" t="s">
        <v>7</v>
      </c>
      <c r="E1207" s="50" t="s">
        <v>245</v>
      </c>
      <c r="F1207" s="50" t="s">
        <v>27</v>
      </c>
      <c r="G1207" s="51"/>
    </row>
    <row r="1208" spans="1:7" s="50" customFormat="1" ns3:dyDescent="0.2">
      <c r="A1208" s="50" t="s">
        <v>201</v>
      </c>
      <c r="B1208" s="51">
        <v>1.0474615384615386E-9</v>
      </c>
      <c r="D1208" s="50" t="s">
        <v>7</v>
      </c>
      <c r="E1208" s="50" t="s">
        <v>246</v>
      </c>
      <c r="F1208" s="50" t="s">
        <v>27</v>
      </c>
      <c r="G1208" s="51"/>
    </row>
    <row r="1209" spans="1:7" s="50" customFormat="1" ns3:dyDescent="0.2">
      <c r="A1209" s="50" t="s">
        <v>236</v>
      </c>
      <c r="B1209" s="51">
        <v>3.1950769230769236E-4</v>
      </c>
      <c r="D1209" s="50" t="s">
        <v>7</v>
      </c>
      <c r="E1209" s="50" t="s">
        <v>245</v>
      </c>
      <c r="F1209" s="50" t="s">
        <v>27</v>
      </c>
      <c r="G1209" s="51"/>
    </row>
    <row r="1210" spans="1:7" s="50" customFormat="1" ns3:dyDescent="0.2">
      <c r="A1210" s="50" t="s">
        <v>236</v>
      </c>
      <c r="B1210" s="51">
        <v>3.6130000000000008E-5</v>
      </c>
      <c r="D1210" s="50" t="s">
        <v>7</v>
      </c>
      <c r="E1210" s="50" t="s">
        <v>246</v>
      </c>
      <c r="F1210" s="50" t="s">
        <v>27</v>
      </c>
      <c r="G1210" s="51"/>
    </row>
    <row r="1211" spans="1:7" s="50" customFormat="1" ns3:dyDescent="0.2">
      <c r="A1211" s="50" t="s">
        <v>237</v>
      </c>
      <c r="B1211" s="51">
        <v>8.9523076923076947E-5</v>
      </c>
      <c r="D1211" s="50" t="s">
        <v>7</v>
      </c>
      <c r="E1211" s="50" t="s">
        <v>245</v>
      </c>
      <c r="F1211" s="50" t="s">
        <v>27</v>
      </c>
      <c r="G1211" s="51"/>
    </row>
    <row r="1212" spans="1:7" s="50" customFormat="1" ns3:dyDescent="0.2">
      <c r="A1212" s="50" t="s">
        <v>237</v>
      </c>
      <c r="B1212" s="51">
        <v>3.9054615384615386E-5</v>
      </c>
      <c r="D1212" s="50" t="s">
        <v>7</v>
      </c>
      <c r="E1212" s="50" t="s">
        <v>246</v>
      </c>
      <c r="F1212" s="50" t="s">
        <v>27</v>
      </c>
      <c r="G1212" s="51"/>
    </row>
    <row r="1213" spans="1:7" s="50" customFormat="1" ns3:dyDescent="0.2">
      <c r="A1213" s="50" t="s">
        <v>205</v>
      </c>
      <c r="B1213" s="51">
        <v>1.1470000000000002</v>
      </c>
      <c r="D1213" s="50" t="s">
        <v>17</v>
      </c>
      <c r="E1213" s="50" t="s">
        <v>246</v>
      </c>
      <c r="F1213" s="50" t="s">
        <v>27</v>
      </c>
      <c r="G1213" s="51"/>
    </row>
    <row r="1214" spans="1:7" s="50" customFormat="1" ns3:dyDescent="0.2">
      <c r="A1214" s="50" t="s">
        <v>257</v>
      </c>
      <c r="B1214" s="51">
        <v>6.9205384615384631E-16</v>
      </c>
      <c r="D1214" s="50" t="s">
        <v>7</v>
      </c>
      <c r="E1214" s="50" t="s">
        <v>245</v>
      </c>
      <c r="F1214" s="50" t="s">
        <v>27</v>
      </c>
      <c r="G1214" s="51"/>
    </row>
    <row r="1215" spans="1:7" s="50" customFormat="1" ns3:dyDescent="0.2">
      <c r="A1215" s="50" t="s">
        <v>257</v>
      </c>
      <c r="B1215" s="51">
        <v>3.5991538461538473E-8</v>
      </c>
      <c r="D1215" s="50" t="s">
        <v>7</v>
      </c>
      <c r="E1215" s="50" t="s">
        <v>246</v>
      </c>
      <c r="F1215" s="50" t="s">
        <v>27</v>
      </c>
      <c r="G1215" s="51"/>
    </row>
    <row r="1216" spans="1:7" s="50" customFormat="1" ns3:dyDescent="0.2">
      <c r="A1216" s="50" t="s">
        <v>208</v>
      </c>
      <c r="B1216" s="51">
        <v>2.0645384615384621E-4</v>
      </c>
      <c r="D1216" s="50" t="s">
        <v>7</v>
      </c>
      <c r="E1216" s="50" t="s">
        <v>245</v>
      </c>
      <c r="F1216" s="50" t="s">
        <v>27</v>
      </c>
      <c r="G1216" s="51"/>
    </row>
    <row r="1217" spans="1:7" s="50" customFormat="1" ns3:dyDescent="0.2">
      <c r="A1217" s="50" t="s">
        <v>208</v>
      </c>
      <c r="B1217" s="51">
        <v>8.4746153846153882E-9</v>
      </c>
      <c r="D1217" s="50" t="s">
        <v>7</v>
      </c>
      <c r="E1217" s="50" t="s">
        <v>246</v>
      </c>
      <c r="F1217" s="50" t="s">
        <v>27</v>
      </c>
      <c r="G1217" s="51"/>
    </row>
    <row r="1218" spans="1:7" s="50" customFormat="1" ns3:dyDescent="0.2">
      <c r="A1218" s="50" t="s">
        <v>209</v>
      </c>
      <c r="B1218" s="51">
        <v>8.7676923076923098E-6</v>
      </c>
      <c r="D1218" s="50" t="s">
        <v>7</v>
      </c>
      <c r="E1218" s="50" t="s">
        <v>245</v>
      </c>
      <c r="F1218" s="50" t="s">
        <v>27</v>
      </c>
      <c r="G1218" s="51"/>
    </row>
    <row r="1219" spans="1:7" s="50" customFormat="1" ns3:dyDescent="0.2">
      <c r="A1219" s="50" t="s">
        <v>209</v>
      </c>
      <c r="B1219" s="51">
        <v>8.4846153846153859E-10</v>
      </c>
      <c r="D1219" s="50" t="s">
        <v>7</v>
      </c>
      <c r="E1219" s="50" t="s">
        <v>246</v>
      </c>
      <c r="F1219" s="50" t="s">
        <v>27</v>
      </c>
      <c r="G1219" s="51"/>
    </row>
    <row r="1220" spans="1:7" s="50" customFormat="1" ns3:dyDescent="0.2">
      <c r="A1220" s="50" t="s">
        <v>251</v>
      </c>
      <c r="B1220" s="51">
        <v>1.7621538461538465E-3</v>
      </c>
      <c r="D1220" s="50" t="s">
        <v>7</v>
      </c>
      <c r="E1220" s="50" t="s">
        <v>245</v>
      </c>
      <c r="F1220" s="50" t="s">
        <v>27</v>
      </c>
      <c r="G1220" s="51"/>
    </row>
    <row r="1221" spans="1:7" s="50" customFormat="1" ns3:dyDescent="0.2">
      <c r="A1221" s="50" t="s">
        <v>251</v>
      </c>
      <c r="B1221" s="51">
        <v>1.432538461538462E-5</v>
      </c>
      <c r="D1221" s="50" t="s">
        <v>7</v>
      </c>
      <c r="E1221" s="50" t="s">
        <v>246</v>
      </c>
      <c r="F1221" s="50" t="s">
        <v>27</v>
      </c>
      <c r="G1221" s="51"/>
    </row>
    <row r="1222" spans="1:7" s="50" customFormat="1" ns3:dyDescent="0.2">
      <c r="A1222" s="50" t="s">
        <v>210</v>
      </c>
      <c r="B1222" s="51">
        <v>2.2927692307692311E-6</v>
      </c>
      <c r="D1222" s="50" t="s">
        <v>7</v>
      </c>
      <c r="E1222" s="50" t="s">
        <v>245</v>
      </c>
      <c r="F1222" s="50" t="s">
        <v>27</v>
      </c>
      <c r="G1222" s="51"/>
    </row>
    <row r="1223" spans="1:7" s="50" customFormat="1" ns3:dyDescent="0.2">
      <c r="A1223" s="50" t="s">
        <v>210</v>
      </c>
      <c r="B1223" s="51">
        <v>3.6148461538461547E-10</v>
      </c>
      <c r="D1223" s="50" t="s">
        <v>7</v>
      </c>
      <c r="E1223" s="50" t="s">
        <v>246</v>
      </c>
      <c r="F1223" s="50" t="s">
        <v>27</v>
      </c>
      <c r="G1223" s="51"/>
    </row>
    <row r="1224" spans="1:7" s="50" customFormat="1" ns3:dyDescent="0.2">
      <c r="A1224" s="50" t="s">
        <v>211</v>
      </c>
      <c r="B1224" s="51">
        <v>9.8676923076923088E-9</v>
      </c>
      <c r="D1224" s="50" t="s">
        <v>7</v>
      </c>
      <c r="E1224" s="50" t="s">
        <v>245</v>
      </c>
      <c r="F1224" s="50" t="s">
        <v>27</v>
      </c>
      <c r="G1224" s="51"/>
    </row>
    <row r="1225" spans="1:7" s="50" customFormat="1" ns3:dyDescent="0.2">
      <c r="A1225" s="50" t="s">
        <v>211</v>
      </c>
      <c r="B1225" s="51">
        <v>2.4991538461538466E-10</v>
      </c>
      <c r="D1225" s="50" t="s">
        <v>7</v>
      </c>
      <c r="E1225" s="50" t="s">
        <v>246</v>
      </c>
      <c r="F1225" s="50" t="s">
        <v>27</v>
      </c>
      <c r="G1225" s="51"/>
    </row>
    <row r="1226" spans="1:7" s="50" customFormat="1" ns3:dyDescent="0.2">
      <c r="A1226" s="50" t="s">
        <v>253</v>
      </c>
      <c r="B1226" s="51">
        <v>2.0691538461538462E-7</v>
      </c>
      <c r="D1226" s="50" t="s">
        <v>7</v>
      </c>
      <c r="E1226" s="50" t="s">
        <v>245</v>
      </c>
      <c r="F1226" s="50" t="s">
        <v>27</v>
      </c>
      <c r="G1226" s="51"/>
    </row>
    <row r="1227" spans="1:7" s="50" customFormat="1" ns3:dyDescent="0.2">
      <c r="A1227" s="50" t="s">
        <v>253</v>
      </c>
      <c r="B1227" s="51">
        <v>4.4656153846153852E-8</v>
      </c>
      <c r="D1227" s="50" t="s">
        <v>7</v>
      </c>
      <c r="E1227" s="50" t="s">
        <v>246</v>
      </c>
      <c r="F1227" s="50" t="s">
        <v>27</v>
      </c>
      <c r="G1227" s="51"/>
    </row>
    <row r="1228" spans="1:7" s="50" customFormat="1" ns3:dyDescent="0.2">
      <c r="A1228" s="50" t="s">
        <v>214</v>
      </c>
      <c r="B1228" s="51">
        <v>3.5887692307692315E-6</v>
      </c>
      <c r="D1228" s="50" t="s">
        <v>7</v>
      </c>
      <c r="E1228" s="50" t="s">
        <v>245</v>
      </c>
      <c r="F1228" s="50" t="s">
        <v>27</v>
      </c>
      <c r="G1228" s="51"/>
    </row>
    <row r="1229" spans="1:7" s="50" customFormat="1" ns3:dyDescent="0.2">
      <c r="A1229" s="50" t="s">
        <v>214</v>
      </c>
      <c r="B1229" s="51">
        <v>2.4627692307692311E-9</v>
      </c>
      <c r="D1229" s="50" t="s">
        <v>7</v>
      </c>
      <c r="E1229" s="50" t="s">
        <v>246</v>
      </c>
      <c r="F1229" s="50" t="s">
        <v>27</v>
      </c>
      <c r="G1229" s="51"/>
    </row>
    <row r="1230" spans="1:7" s="50" customFormat="1" ns3:dyDescent="0.2">
      <c r="A1230" s="50" t="s">
        <v>238</v>
      </c>
      <c r="B1230" s="51">
        <v>9.625384615384617E-5</v>
      </c>
      <c r="D1230" s="50" t="s">
        <v>7</v>
      </c>
      <c r="E1230" s="50" t="s">
        <v>245</v>
      </c>
      <c r="F1230" s="50" t="s">
        <v>27</v>
      </c>
      <c r="G1230" s="51"/>
    </row>
    <row r="1231" spans="1:7" s="50" customFormat="1" ns3:dyDescent="0.2">
      <c r="A1231" s="50" t="s">
        <v>238</v>
      </c>
      <c r="B1231" s="51">
        <v>3.4480000000000009E-5</v>
      </c>
      <c r="D1231" s="50" t="s">
        <v>7</v>
      </c>
      <c r="E1231" s="50" t="s">
        <v>246</v>
      </c>
      <c r="F1231" s="50" t="s">
        <v>27</v>
      </c>
      <c r="G1231" s="51"/>
    </row>
    <row r="1232" spans="1:7" s="50" customFormat="1" ns3:dyDescent="0.2">
      <c r="A1232" s="50" t="s">
        <v>258</v>
      </c>
      <c r="B1232" s="51">
        <v>6.8185384615384624E-5</v>
      </c>
      <c r="D1232" s="50" t="s">
        <v>7</v>
      </c>
      <c r="E1232" s="50" t="s">
        <v>245</v>
      </c>
      <c r="F1232" s="50" t="s">
        <v>27</v>
      </c>
      <c r="G1232" s="51"/>
    </row>
    <row r="1233" spans="1:7" s="50" customFormat="1" ns3:dyDescent="0.2">
      <c r="A1233" s="50" t="s">
        <v>258</v>
      </c>
      <c r="B1233" s="51">
        <v>1.1288461538461539E-6</v>
      </c>
      <c r="D1233" s="50" t="s">
        <v>7</v>
      </c>
      <c r="E1233" s="50" t="s">
        <v>246</v>
      </c>
      <c r="F1233" s="50" t="s">
        <v>27</v>
      </c>
      <c r="G1233" s="51"/>
    </row>
    <row r="1234" spans="1:7" s="50" customFormat="1" ns3:dyDescent="0.2">
      <c r="A1234" s="50" t="s">
        <v>255</v>
      </c>
      <c r="B1234" s="51">
        <v>1.6850000000000005E-3</v>
      </c>
      <c r="D1234" s="50" t="s">
        <v>7</v>
      </c>
      <c r="E1234" s="50" t="s">
        <v>245</v>
      </c>
      <c r="F1234" s="50" t="s">
        <v>27</v>
      </c>
      <c r="G1234" s="51"/>
    </row>
    <row r="1235" spans="1:7" s="50" customFormat="1" ns3:dyDescent="0.2">
      <c r="A1235" s="50" t="s">
        <v>255</v>
      </c>
      <c r="B1235" s="51">
        <v>6.3677692307692331E-4</v>
      </c>
      <c r="D1235" s="50" t="s">
        <v>7</v>
      </c>
      <c r="E1235" s="50" t="s">
        <v>246</v>
      </c>
      <c r="F1235" s="50" t="s">
        <v>27</v>
      </c>
      <c r="G1235" s="51"/>
    </row>
    <row r="1236" spans="1:7" s="50" customFormat="1" ns3:dyDescent="0.2">
      <c r="A1236" s="50" t="s">
        <v>219</v>
      </c>
      <c r="B1236" s="51">
        <v>2.5730769230769235E-7</v>
      </c>
      <c r="D1236" s="50" t="s">
        <v>7</v>
      </c>
      <c r="E1236" s="50" t="s">
        <v>245</v>
      </c>
      <c r="F1236" s="50" t="s">
        <v>27</v>
      </c>
      <c r="G1236" s="51"/>
    </row>
    <row r="1237" spans="1:7" s="50" customFormat="1" ns3:dyDescent="0.2">
      <c r="A1237" s="50" t="s">
        <v>219</v>
      </c>
      <c r="B1237" s="51">
        <v>6.6806153846153855E-8</v>
      </c>
      <c r="D1237" s="50" t="s">
        <v>7</v>
      </c>
      <c r="E1237" s="50" t="s">
        <v>246</v>
      </c>
      <c r="F1237" s="50" t="s">
        <v>27</v>
      </c>
      <c r="G1237" s="51"/>
    </row>
    <row r="1238" spans="1:7" s="50" customFormat="1" ns3:dyDescent="0.2">
      <c r="A1238" s="50" t="s">
        <v>239</v>
      </c>
      <c r="B1238" s="51">
        <v>1.9807692307692313E-3</v>
      </c>
      <c r="D1238" s="50" t="s">
        <v>7</v>
      </c>
      <c r="E1238" s="50" t="s">
        <v>245</v>
      </c>
      <c r="F1238" s="50" t="s">
        <v>27</v>
      </c>
      <c r="G1238" s="51"/>
    </row>
    <row r="1239" spans="1:7" s="50" customFormat="1" ns3:dyDescent="0.2">
      <c r="A1239" s="50" t="s">
        <v>239</v>
      </c>
      <c r="B1239" s="51">
        <v>6.3567692307692315E-6</v>
      </c>
      <c r="D1239" s="50" t="s">
        <v>7</v>
      </c>
      <c r="E1239" s="50" t="s">
        <v>246</v>
      </c>
      <c r="F1239" s="50" t="s">
        <v>27</v>
      </c>
      <c r="G1239" s="51"/>
    </row>
    <row r="1240" spans="1:7" s="50" customFormat="1" ns3:dyDescent="0.2">
      <c r="A1240" s="50" t="s">
        <v>240</v>
      </c>
      <c r="B1240" s="51">
        <v>6.5867692307692313E-4</v>
      </c>
      <c r="D1240" s="50" t="s">
        <v>7</v>
      </c>
      <c r="E1240" s="50" t="s">
        <v>245</v>
      </c>
      <c r="F1240" s="50" t="s">
        <v>27</v>
      </c>
      <c r="G1240" s="51"/>
    </row>
    <row r="1241" spans="1:7" s="50" customFormat="1" ns3:dyDescent="0.2">
      <c r="A1241" s="50" t="s">
        <v>240</v>
      </c>
      <c r="B1241" s="51">
        <v>3.3120769230769238E-4</v>
      </c>
      <c r="D1241" s="50" t="s">
        <v>7</v>
      </c>
      <c r="E1241" s="50" t="s">
        <v>246</v>
      </c>
      <c r="F1241" s="50" t="s">
        <v>27</v>
      </c>
      <c r="G1241" s="51"/>
    </row>
    <row r="1242" spans="1:7" s="50" customFormat="1" ns3:dyDescent="0.2">
      <c r="A1242" s="50" t="s">
        <v>241</v>
      </c>
      <c r="B1242" s="51">
        <v>2.4050769230769238E-3</v>
      </c>
      <c r="D1242" s="50" t="s">
        <v>7</v>
      </c>
      <c r="E1242" s="50" t="s">
        <v>245</v>
      </c>
      <c r="F1242" s="50" t="s">
        <v>27</v>
      </c>
      <c r="G1242" s="51"/>
    </row>
    <row r="1243" spans="1:7" s="50" customFormat="1" ns3:dyDescent="0.2">
      <c r="A1243" s="50" t="s">
        <v>241</v>
      </c>
      <c r="B1243" s="51">
        <v>4.1106153846153854E-4</v>
      </c>
      <c r="D1243" s="50" t="s">
        <v>7</v>
      </c>
      <c r="E1243" s="50" t="s">
        <v>246</v>
      </c>
      <c r="F1243" s="50" t="s">
        <v>27</v>
      </c>
      <c r="G1243" s="51"/>
    </row>
    <row r="1244" spans="1:7" s="50" customFormat="1" ns3:dyDescent="0.2">
      <c r="A1244" s="50" t="s">
        <v>242</v>
      </c>
      <c r="B1244" s="51">
        <v>3.1950769230769236E-4</v>
      </c>
      <c r="D1244" s="50" t="s">
        <v>7</v>
      </c>
      <c r="E1244" s="50" t="s">
        <v>245</v>
      </c>
      <c r="F1244" s="50" t="s">
        <v>27</v>
      </c>
      <c r="G1244" s="51"/>
    </row>
    <row r="1245" spans="1:7" s="50" customFormat="1" ns3:dyDescent="0.2">
      <c r="A1245" s="50" t="s">
        <v>242</v>
      </c>
      <c r="B1245" s="51">
        <v>3.6130000000000008E-5</v>
      </c>
      <c r="D1245" s="50" t="s">
        <v>7</v>
      </c>
      <c r="E1245" s="50" t="s">
        <v>246</v>
      </c>
      <c r="F1245" s="50" t="s">
        <v>27</v>
      </c>
      <c r="G1245" s="51"/>
    </row>
    <row r="1246" spans="1:7" s="50" customFormat="1" ns3:dyDescent="0.2">
      <c r="A1246" s="50" t="s">
        <v>223</v>
      </c>
      <c r="B1246" s="51">
        <v>7.5923846153846177E-10</v>
      </c>
      <c r="D1246" s="50" t="s">
        <v>7</v>
      </c>
      <c r="E1246" s="50" t="s">
        <v>245</v>
      </c>
      <c r="F1246" s="50" t="s">
        <v>27</v>
      </c>
      <c r="G1246" s="51"/>
    </row>
    <row r="1247" spans="1:7" s="50" customFormat="1" ns3:dyDescent="0.2">
      <c r="A1247" s="50" t="s">
        <v>223</v>
      </c>
      <c r="B1247" s="51">
        <v>1.2675384615384617E-12</v>
      </c>
      <c r="D1247" s="50" t="s">
        <v>7</v>
      </c>
      <c r="E1247" s="50" t="s">
        <v>246</v>
      </c>
      <c r="F1247" s="50" t="s">
        <v>27</v>
      </c>
      <c r="G1247" s="51"/>
    </row>
    <row r="1248" spans="1:7" s="50" customFormat="1" ns3:dyDescent="0.2">
      <c r="A1248" s="50" t="s">
        <v>224</v>
      </c>
      <c r="B1248" s="51">
        <v>3.5607692307692315E-6</v>
      </c>
      <c r="D1248" s="50" t="s">
        <v>7</v>
      </c>
      <c r="E1248" s="50" t="s">
        <v>245</v>
      </c>
      <c r="F1248" s="50" t="s">
        <v>27</v>
      </c>
      <c r="G1248" s="51"/>
    </row>
    <row r="1249" spans="1:7" s="50" customFormat="1" ns3:dyDescent="0.2">
      <c r="A1249" s="50" t="s">
        <v>224</v>
      </c>
      <c r="B1249" s="51">
        <v>4.8499230769230778E-9</v>
      </c>
      <c r="D1249" s="50" t="s">
        <v>7</v>
      </c>
      <c r="E1249" s="50" t="s">
        <v>246</v>
      </c>
      <c r="F1249" s="50" t="s">
        <v>27</v>
      </c>
      <c r="G1249" s="51"/>
    </row>
    <row r="1250" spans="1:7" s="50" customFormat="1" ns3:dyDescent="0.2">
      <c r="A1250" s="50" t="s">
        <v>227</v>
      </c>
      <c r="B1250" s="51">
        <v>7.8584615384615413E-7</v>
      </c>
      <c r="D1250" s="50" t="s">
        <v>7</v>
      </c>
      <c r="E1250" s="50" t="s">
        <v>245</v>
      </c>
      <c r="F1250" s="50" t="s">
        <v>27</v>
      </c>
      <c r="G1250" s="51"/>
    </row>
    <row r="1251" spans="1:7" s="50" customFormat="1" ns3:dyDescent="0.2">
      <c r="A1251" s="50" t="s">
        <v>227</v>
      </c>
      <c r="B1251" s="51">
        <v>2.9550000000000007E-9</v>
      </c>
      <c r="D1251" s="50" t="s">
        <v>7</v>
      </c>
      <c r="E1251" s="50" t="s">
        <v>246</v>
      </c>
      <c r="F1251" s="50" t="s">
        <v>27</v>
      </c>
      <c r="G1251" s="51"/>
    </row>
    <row r="1252" spans="1:7" s="50" customFormat="1" ns3:dyDescent="0.2">
      <c r="A1252" s="50" t="s">
        <v>228</v>
      </c>
      <c r="B1252" s="51">
        <v>2.2329692307692311E-4</v>
      </c>
      <c r="D1252" s="50" t="s">
        <v>37</v>
      </c>
      <c r="E1252" s="50" t="s">
        <v>246</v>
      </c>
      <c r="F1252" s="50" t="s">
        <v>27</v>
      </c>
      <c r="G1252" s="51"/>
    </row>
    <row r="1253" spans="1:7" s="50" customFormat="1" ns3:dyDescent="0.2">
      <c r="A1253" s="50" t="s">
        <v>229</v>
      </c>
      <c r="B1253" s="51">
        <v>1.754769230769231E-5</v>
      </c>
      <c r="D1253" s="50" t="s">
        <v>7</v>
      </c>
      <c r="E1253" s="50" t="s">
        <v>245</v>
      </c>
      <c r="F1253" s="50" t="s">
        <v>27</v>
      </c>
      <c r="G1253" s="51"/>
    </row>
    <row r="1254" spans="1:7" s="50" customFormat="1" ns3:dyDescent="0.2">
      <c r="A1254" s="50" t="s">
        <v>229</v>
      </c>
      <c r="B1254" s="51">
        <v>2.3906923076923078E-9</v>
      </c>
      <c r="D1254" s="50" t="s">
        <v>7</v>
      </c>
      <c r="E1254" s="50" t="s">
        <v>246</v>
      </c>
      <c r="F1254" s="50" t="s">
        <v>27</v>
      </c>
      <c r="G1254" s="51"/>
    </row>
    <row r="1255" spans="1:7" s="50" customFormat="1" ns3:dyDescent="0.2">
      <c r="A1255" s="50" t="s">
        <v>243</v>
      </c>
      <c r="B1255" s="51">
        <v>0.36967692307692318</v>
      </c>
      <c r="D1255" s="50" t="s">
        <v>7</v>
      </c>
      <c r="E1255" s="50" t="s">
        <v>111</v>
      </c>
      <c r="F1255" s="50" t="s">
        <v>27</v>
      </c>
      <c r="G1255" s="51"/>
    </row>
    <row r="1256" spans="1:7" s="50" customFormat="1" ns3:dyDescent="0.2">
      <c r="A1256" s="50" t="s">
        <v>35</v>
      </c>
      <c r="B1256" s="51">
        <f>(1/1.01)*0.71*6.09*1.1</f>
        <v>4.7091980198019803</v>
      </c>
      <c r="D1256" s="50" t="s">
        <v>17</v>
      </c>
      <c r="E1256" s="50" t="s">
        <v>36</v>
      </c>
      <c r="F1256" s="50" t="s">
        <v>27</v>
      </c>
      <c r="G1256" s="51"/>
    </row>
    <row r="1257" spans="1:7" s="50" customFormat="1" ns3:dyDescent="0.2"/>
    <row r="1258" spans="1:7" s="50" customFormat="1" ht="16" ns3:dyDescent="0.2">
      <c r="A1258" s="49" t="s">
        <v>0</v>
      </c>
      <c r="B1258" s="49" t="s">
        <v>145</v>
      </c>
    </row>
    <row r="1259" spans="1:7" s="50" customFormat="1" ns3:dyDescent="0.2">
      <c r="A1259" s="50" t="s">
        <v>1</v>
      </c>
      <c r="B1259" s="50" t="s">
        <v>104</v>
      </c>
    </row>
    <row r="1260" spans="1:7" s="50" customFormat="1" ns3:dyDescent="0.2">
      <c r="A1260" s="50" t="s">
        <v>2</v>
      </c>
      <c r="B1260" s="50">
        <v>1</v>
      </c>
    </row>
    <row r="1261" spans="1:7" s="50" customFormat="1" ns3:dyDescent="0.2">
      <c r="A1261" s="50" t="s">
        <v>3</v>
      </c>
      <c r="B1261" s="3" t="s">
        <v>146</v>
      </c>
    </row>
    <row r="1262" spans="1:7" s="50" customFormat="1" ns3:dyDescent="0.2">
      <c r="A1262" s="50" t="s">
        <v>4</v>
      </c>
      <c r="B1262" s="50" t="s">
        <v>5</v>
      </c>
    </row>
    <row r="1263" spans="1:7" s="50" customFormat="1" ns3:dyDescent="0.2">
      <c r="A1263" s="50" t="s">
        <v>6</v>
      </c>
      <c r="B1263" s="50" t="s">
        <v>126</v>
      </c>
    </row>
    <row r="1264" spans="1:7" s="50" customFormat="1" ns3:dyDescent="0.2">
      <c r="A1264" s="50" t="s">
        <v>9</v>
      </c>
      <c r="B1264" s="50" t="s">
        <v>148</v>
      </c>
    </row>
    <row r="1265" spans="1:8" s="50" customFormat="1" ht="16" ns3:dyDescent="0.2">
      <c r="A1265" s="49" t="s">
        <v>10</v>
      </c>
    </row>
    <row r="1266" spans="1:8" s="50" customFormat="1" ns3:dyDescent="0.2">
      <c r="A1266" s="50" t="s">
        <v>11</v>
      </c>
      <c r="B1266" s="50" t="s">
        <v>12</v>
      </c>
      <c r="C1266" s="50" t="s">
        <v>1</v>
      </c>
      <c r="D1266" s="50" t="s">
        <v>6</v>
      </c>
      <c r="E1266" s="50" t="s">
        <v>13</v>
      </c>
      <c r="F1266" s="50" t="s">
        <v>4</v>
      </c>
      <c r="G1266" s="50" t="s">
        <v>9</v>
      </c>
      <c r="H1266" s="50" t="s">
        <v>3</v>
      </c>
    </row>
    <row r="1267" spans="1:8" s="50" customFormat="1" ns3:dyDescent="0.2">
      <c r="A1267" s="50" t="str">
        <f>B1258</f>
        <v>electricity import, from neighboring countries</v>
      </c>
      <c r="B1267" s="50">
        <v>1</v>
      </c>
      <c r="C1267" s="50" t="str">
        <f>B1259</f>
        <v>CH</v>
      </c>
      <c r="D1267" s="50" t="str">
        <f>B1263</f>
        <v>kilowatt hour</v>
      </c>
      <c r="F1267" s="50" t="s">
        <v>15</v>
      </c>
      <c r="G1267" s="50" t="s">
        <v>16</v>
      </c>
      <c r="H1267" s="51" t="str">
        <f>B1261</f>
        <v>electricity, high voltage</v>
      </c>
    </row>
    <row r="1268" spans="1:8" s="50" customFormat="1" ns3:dyDescent="0.2">
      <c r="A1268" s="50" t="s">
        <v>147</v>
      </c>
      <c r="B1268" s="50">
        <v>1</v>
      </c>
      <c r="C1268" s="50" t="s">
        <v>103</v>
      </c>
      <c r="D1268" s="50" t="s">
        <v>126</v>
      </c>
      <c r="F1268" s="50" t="s">
        <v>18</v>
      </c>
      <c r="G1268" s="50" t="s">
        <v>16</v>
      </c>
      <c r="H1268" s="50" t="s">
        <v>146</v>
      </c>
    </row>
    <row r="1269" spans="1:8" s="50" customFormat="1" ns3:dyDescent="0.2"/>
    <row r="1270" spans="1:8" s="50" customFormat="1" ht="16" ns3:dyDescent="0.2">
      <c r="A1270" s="49" t="s">
        <v>0</v>
      </c>
      <c r="B1270" s="49" t="s">
        <v>263</v>
      </c>
    </row>
    <row r="1271" spans="1:8" s="50" customFormat="1" ns3:dyDescent="0.2">
      <c r="A1271" s="50" t="s">
        <v>1</v>
      </c>
      <c r="B1271" s="50" t="s">
        <v>104</v>
      </c>
    </row>
    <row r="1272" spans="1:8" s="50" customFormat="1" ns3:dyDescent="0.2">
      <c r="A1272" s="50" t="s">
        <v>2</v>
      </c>
      <c r="B1272" s="50">
        <v>1</v>
      </c>
    </row>
    <row r="1273" spans="1:8" s="50" customFormat="1" ns3:dyDescent="0.2">
      <c r="A1273" s="50" t="s">
        <v>3</v>
      </c>
      <c r="B1273" s="3" t="s">
        <v>264</v>
      </c>
    </row>
    <row r="1274" spans="1:8" s="50" customFormat="1" ns3:dyDescent="0.2">
      <c r="A1274" s="50" t="s">
        <v>4</v>
      </c>
      <c r="B1274" s="50" t="s">
        <v>5</v>
      </c>
    </row>
    <row r="1275" spans="1:8" s="50" customFormat="1" ns3:dyDescent="0.2">
      <c r="A1275" s="50" t="s">
        <v>6</v>
      </c>
      <c r="B1275" s="50" t="s">
        <v>37</v>
      </c>
    </row>
    <row r="1276" spans="1:8" s="50" customFormat="1" ns3:dyDescent="0.2">
      <c r="A1276" s="50" t="s">
        <v>9</v>
      </c>
      <c r="B1276" s="50" t="s">
        <v>265</v>
      </c>
    </row>
    <row r="1277" spans="1:8" s="50" customFormat="1" ht="16" ns3:dyDescent="0.2">
      <c r="A1277" s="49" t="s">
        <v>10</v>
      </c>
    </row>
    <row r="1278" spans="1:8" s="50" customFormat="1" ns3:dyDescent="0.2">
      <c r="A1278" s="50" t="s">
        <v>11</v>
      </c>
      <c r="B1278" s="50" t="s">
        <v>12</v>
      </c>
      <c r="C1278" s="50" t="s">
        <v>1</v>
      </c>
      <c r="D1278" s="50" t="s">
        <v>6</v>
      </c>
      <c r="E1278" s="50" t="s">
        <v>13</v>
      </c>
      <c r="F1278" s="50" t="s">
        <v>4</v>
      </c>
      <c r="G1278" s="50" t="s">
        <v>9</v>
      </c>
      <c r="H1278" s="50" t="s">
        <v>3</v>
      </c>
    </row>
    <row r="1279" spans="1:8" s="50" customFormat="1" ns3:dyDescent="0.2">
      <c r="A1279" s="50" t="str">
        <f>B1270</f>
        <v>biomethane import, from neighboring countries</v>
      </c>
      <c r="B1279" s="50">
        <v>1</v>
      </c>
      <c r="C1279" s="50" t="str">
        <f>B1271</f>
        <v>CH</v>
      </c>
      <c r="D1279" s="50" t="str">
        <f>B1275</f>
        <v>cubic meter</v>
      </c>
      <c r="F1279" s="50" t="s">
        <v>15</v>
      </c>
      <c r="G1279" s="50" t="s">
        <v>16</v>
      </c>
      <c r="H1279" s="51" t="str">
        <f>B1273</f>
        <v>biomethane, high pressure</v>
      </c>
    </row>
    <row r="1280" spans="1:8" s="50" customFormat="1" ns3:dyDescent="0.2">
      <c r="A1280" s="50" t="s">
        <v>266</v>
      </c>
      <c r="B1280" s="50">
        <v>1</v>
      </c>
      <c r="C1280" s="50" t="s">
        <v>267</v>
      </c>
      <c r="D1280" s="50" t="s">
        <v>37</v>
      </c>
      <c r="F1280" s="50" t="s">
        <v>18</v>
      </c>
      <c r="G1280" s="50" t="s">
        <v>16</v>
      </c>
      <c r="H1280" s="50" t="s">
        <v>264</v>
      </c>
    </row>
    <row r="1281" spans="1:8" s="50" customFormat="1" ns3:dyDescent="0.2"/>
    <row r="1282" spans="1:8" s="50" customFormat="1" ht="16" ns3:dyDescent="0.2">
      <c r="A1282" s="49" t="s">
        <v>0</v>
      </c>
      <c r="B1282" s="49" t="s">
        <v>268</v>
      </c>
    </row>
    <row r="1283" spans="1:8" s="50" customFormat="1" ns3:dyDescent="0.2">
      <c r="A1283" s="50" t="s">
        <v>1</v>
      </c>
      <c r="B1283" s="50" t="s">
        <v>104</v>
      </c>
    </row>
    <row r="1284" spans="1:8" s="50" customFormat="1" ns3:dyDescent="0.2">
      <c r="A1284" s="50" t="s">
        <v>2</v>
      </c>
      <c r="B1284" s="50">
        <v>1</v>
      </c>
    </row>
    <row r="1285" spans="1:8" s="50" customFormat="1" ns3:dyDescent="0.2">
      <c r="A1285" s="50" t="s">
        <v>3</v>
      </c>
      <c r="B1285" s="3" t="s">
        <v>269</v>
      </c>
    </row>
    <row r="1286" spans="1:8" s="50" customFormat="1" ns3:dyDescent="0.2">
      <c r="A1286" s="50" t="s">
        <v>4</v>
      </c>
      <c r="B1286" s="50" t="s">
        <v>5</v>
      </c>
    </row>
    <row r="1287" spans="1:8" s="50" customFormat="1" ns3:dyDescent="0.2">
      <c r="A1287" s="50" t="s">
        <v>6</v>
      </c>
      <c r="B1287" s="50" t="s">
        <v>7</v>
      </c>
    </row>
    <row r="1288" spans="1:8" s="50" customFormat="1" ns3:dyDescent="0.2">
      <c r="A1288" s="50" t="s">
        <v>9</v>
      </c>
      <c r="B1288" s="50" t="s">
        <v>265</v>
      </c>
    </row>
    <row r="1289" spans="1:8" s="50" customFormat="1" ht="16" ns3:dyDescent="0.2">
      <c r="A1289" s="49" t="s">
        <v>10</v>
      </c>
    </row>
    <row r="1290" spans="1:8" s="50" customFormat="1" ns3:dyDescent="0.2">
      <c r="A1290" s="50" t="s">
        <v>11</v>
      </c>
      <c r="B1290" s="50" t="s">
        <v>12</v>
      </c>
      <c r="C1290" s="50" t="s">
        <v>1</v>
      </c>
      <c r="D1290" s="50" t="s">
        <v>6</v>
      </c>
      <c r="E1290" s="50" t="s">
        <v>13</v>
      </c>
      <c r="F1290" s="50" t="s">
        <v>4</v>
      </c>
      <c r="G1290" s="50" t="s">
        <v>9</v>
      </c>
      <c r="H1290" s="50" t="s">
        <v>3</v>
      </c>
    </row>
    <row r="1291" spans="1:8" s="50" customFormat="1" ns3:dyDescent="0.2">
      <c r="A1291" s="50" t="str">
        <f>B1282</f>
        <v>kerosene import, from neighboring countries</v>
      </c>
      <c r="B1291" s="50">
        <v>1</v>
      </c>
      <c r="C1291" s="50" t="str">
        <f>B1283</f>
        <v>CH</v>
      </c>
      <c r="D1291" s="50" t="str">
        <f>B1287</f>
        <v>kilogram</v>
      </c>
      <c r="F1291" s="50" t="s">
        <v>15</v>
      </c>
      <c r="G1291" s="50" t="s">
        <v>16</v>
      </c>
      <c r="H1291" s="51" t="str">
        <f>B1285</f>
        <v>kerosene</v>
      </c>
    </row>
    <row r="1292" spans="1:8" s="50" customFormat="1" ns3:dyDescent="0.2">
      <c r="A1292" s="50" t="s">
        <v>270</v>
      </c>
      <c r="B1292" s="50">
        <v>1</v>
      </c>
      <c r="C1292" s="50" t="s">
        <v>271</v>
      </c>
      <c r="D1292" s="50" t="s">
        <v>7</v>
      </c>
      <c r="F1292" s="50" t="s">
        <v>18</v>
      </c>
      <c r="G1292" s="50" t="s">
        <v>16</v>
      </c>
      <c r="H1292" s="50" t="s">
        <v>269</v>
      </c>
    </row>
    <row r="1293" spans="1:8" s="50" customFormat="1" ns3:dyDescent="0.2"/>
    <row r="1294" spans="1:8" s="50" customFormat="1" ht="16" ns3:dyDescent="0.2">
      <c r="A1294" s="49" t="s">
        <v>0</v>
      </c>
      <c r="B1294" s="49" t="s">
        <v>274</v>
      </c>
    </row>
    <row r="1295" spans="1:8" s="50" customFormat="1" ns3:dyDescent="0.2">
      <c r="A1295" s="50" t="s">
        <v>1</v>
      </c>
      <c r="B1295" s="50" t="s">
        <v>104</v>
      </c>
    </row>
    <row r="1296" spans="1:8" s="50" customFormat="1" ns3:dyDescent="0.2">
      <c r="A1296" s="50" t="s">
        <v>2</v>
      </c>
      <c r="B1296" s="50">
        <v>1</v>
      </c>
    </row>
    <row r="1297" spans="1:8" s="50" customFormat="1" ns3:dyDescent="0.2">
      <c r="A1297" s="50" t="s">
        <v>3</v>
      </c>
      <c r="B1297" s="3" t="s">
        <v>276</v>
      </c>
    </row>
    <row r="1298" spans="1:8" s="50" customFormat="1" ns3:dyDescent="0.2">
      <c r="A1298" s="50" t="s">
        <v>4</v>
      </c>
      <c r="B1298" s="50" t="s">
        <v>5</v>
      </c>
    </row>
    <row r="1299" spans="1:8" s="50" customFormat="1" ns3:dyDescent="0.2">
      <c r="A1299" s="50" t="s">
        <v>6</v>
      </c>
      <c r="B1299" s="50" t="s">
        <v>7</v>
      </c>
    </row>
    <row r="1300" spans="1:8" s="50" customFormat="1" ns3:dyDescent="0.2">
      <c r="A1300" s="50" t="s">
        <v>9</v>
      </c>
      <c r="B1300" s="50" t="s">
        <v>265</v>
      </c>
    </row>
    <row r="1301" spans="1:8" s="50" customFormat="1" ht="16" ns3:dyDescent="0.2">
      <c r="A1301" s="49" t="s">
        <v>10</v>
      </c>
    </row>
    <row r="1302" spans="1:8" s="50" customFormat="1" ns3:dyDescent="0.2">
      <c r="A1302" s="50" t="s">
        <v>11</v>
      </c>
      <c r="B1302" s="50" t="s">
        <v>12</v>
      </c>
      <c r="C1302" s="50" t="s">
        <v>1</v>
      </c>
      <c r="D1302" s="50" t="s">
        <v>6</v>
      </c>
      <c r="E1302" s="50" t="s">
        <v>13</v>
      </c>
      <c r="F1302" s="50" t="s">
        <v>4</v>
      </c>
      <c r="G1302" s="50" t="s">
        <v>9</v>
      </c>
      <c r="H1302" s="50" t="s">
        <v>3</v>
      </c>
    </row>
    <row r="1303" spans="1:8" s="50" customFormat="1" ns3:dyDescent="0.2">
      <c r="A1303" s="50" t="str">
        <f>B1294</f>
        <v>synthetic kerosene import, from neighboring countries</v>
      </c>
      <c r="B1303" s="50">
        <v>1</v>
      </c>
      <c r="C1303" s="50" t="str">
        <f>B1295</f>
        <v>CH</v>
      </c>
      <c r="D1303" s="50" t="str">
        <f>B1299</f>
        <v>kilogram</v>
      </c>
      <c r="F1303" s="50" t="s">
        <v>15</v>
      </c>
      <c r="G1303" s="50" t="s">
        <v>16</v>
      </c>
      <c r="H1303" s="51" t="str">
        <f>B1297</f>
        <v>kerosene, synthetic</v>
      </c>
    </row>
    <row r="1304" spans="1:8" s="50" customFormat="1" ns3:dyDescent="0.2">
      <c r="A1304" s="50" t="s">
        <v>275</v>
      </c>
      <c r="B1304" s="50">
        <v>1</v>
      </c>
      <c r="C1304" s="50" t="s">
        <v>103</v>
      </c>
      <c r="D1304" s="50" t="s">
        <v>7</v>
      </c>
      <c r="F1304" s="50" t="s">
        <v>18</v>
      </c>
      <c r="G1304" s="50" t="s">
        <v>16</v>
      </c>
      <c r="H1304" s="50" t="s">
        <v>276</v>
      </c>
    </row>
    <row r="1305" spans="1:8" s="50" customFormat="1" ns3:dyDescent="0.2"/>
    <row r="1306" spans="1:8" s="50" customFormat="1" ht="16" ns3:dyDescent="0.2">
      <c r="A1306" s="49" t="s">
        <v>0</v>
      </c>
      <c r="B1306" s="49" t="s">
        <v>272</v>
      </c>
    </row>
    <row r="1307" spans="1:8" s="50" customFormat="1" ns3:dyDescent="0.2">
      <c r="A1307" s="50" t="s">
        <v>1</v>
      </c>
      <c r="B1307" s="50" t="s">
        <v>104</v>
      </c>
    </row>
    <row r="1308" spans="1:8" s="50" customFormat="1" ns3:dyDescent="0.2">
      <c r="A1308" s="50" t="s">
        <v>2</v>
      </c>
      <c r="B1308" s="50">
        <v>1</v>
      </c>
    </row>
    <row r="1309" spans="1:8" s="50" customFormat="1" ns3:dyDescent="0.2">
      <c r="A1309" s="50" t="s">
        <v>3</v>
      </c>
      <c r="B1309" s="3" t="s">
        <v>273</v>
      </c>
    </row>
    <row r="1310" spans="1:8" s="50" customFormat="1" ns3:dyDescent="0.2">
      <c r="A1310" s="50" t="s">
        <v>4</v>
      </c>
      <c r="B1310" s="50" t="s">
        <v>5</v>
      </c>
    </row>
    <row r="1311" spans="1:8" s="50" customFormat="1" ns3:dyDescent="0.2">
      <c r="A1311" s="50" t="s">
        <v>6</v>
      </c>
      <c r="B1311" s="50" t="s">
        <v>7</v>
      </c>
    </row>
    <row r="1312" spans="1:8" s="50" customFormat="1" ns3:dyDescent="0.2">
      <c r="A1312" s="50" t="s">
        <v>9</v>
      </c>
      <c r="B1312" s="50" t="s">
        <v>265</v>
      </c>
    </row>
    <row r="1313" spans="1:8" s="50" customFormat="1" ht="16" ns3:dyDescent="0.2">
      <c r="A1313" s="49" t="s">
        <v>10</v>
      </c>
    </row>
    <row r="1314" spans="1:8" s="50" customFormat="1" ns3:dyDescent="0.2">
      <c r="A1314" s="50" t="s">
        <v>11</v>
      </c>
      <c r="B1314" s="50" t="s">
        <v>12</v>
      </c>
      <c r="C1314" s="50" t="s">
        <v>1</v>
      </c>
      <c r="D1314" s="50" t="s">
        <v>6</v>
      </c>
      <c r="E1314" s="50" t="s">
        <v>13</v>
      </c>
      <c r="F1314" s="50" t="s">
        <v>4</v>
      </c>
      <c r="G1314" s="50" t="s">
        <v>9</v>
      </c>
      <c r="H1314" s="50" t="s">
        <v>3</v>
      </c>
    </row>
    <row r="1315" spans="1:8" s="50" customFormat="1" ns3:dyDescent="0.2">
      <c r="A1315" s="50" t="str">
        <f>B1306</f>
        <v>diesel import, from neighboring countries</v>
      </c>
      <c r="B1315" s="50">
        <v>1</v>
      </c>
      <c r="C1315" s="50" t="str">
        <f>B1307</f>
        <v>CH</v>
      </c>
      <c r="D1315" s="50" t="str">
        <f>B1311</f>
        <v>kilogram</v>
      </c>
      <c r="F1315" s="50" t="s">
        <v>15</v>
      </c>
      <c r="G1315" s="50" t="s">
        <v>16</v>
      </c>
      <c r="H1315" s="51" t="str">
        <f>B1309</f>
        <v>diesel</v>
      </c>
    </row>
    <row r="1316" spans="1:8" s="50" customFormat="1" ns3:dyDescent="0.2">
      <c r="A1316" s="50" t="s">
        <v>512</v>
      </c>
      <c r="B1316" s="50">
        <v>1</v>
      </c>
      <c r="C1316" s="50" t="s">
        <v>104</v>
      </c>
      <c r="D1316" s="50" t="s">
        <v>7</v>
      </c>
      <c r="F1316" s="50" t="s">
        <v>18</v>
      </c>
      <c r="G1316" s="50" t="s">
        <v>16</v>
      </c>
      <c r="H1316" s="50" t="s">
        <v>357</v>
      </c>
    </row>
    <row r="1317" spans="1:8" s="50" customFormat="1" ns3:dyDescent="0.2"/>
    <row r="1318" spans="1:8" s="50" customFormat="1" ht="16" ns3:dyDescent="0.2">
      <c r="A1318" s="49" t="s">
        <v>0</v>
      </c>
      <c r="B1318" s="49" t="s">
        <v>277</v>
      </c>
    </row>
    <row r="1319" spans="1:8" s="50" customFormat="1" ns3:dyDescent="0.2">
      <c r="A1319" s="50" t="s">
        <v>1</v>
      </c>
      <c r="B1319" s="50" t="s">
        <v>104</v>
      </c>
    </row>
    <row r="1320" spans="1:8" s="50" customFormat="1" ns3:dyDescent="0.2">
      <c r="A1320" s="50" t="s">
        <v>2</v>
      </c>
      <c r="B1320" s="50">
        <v>1</v>
      </c>
    </row>
    <row r="1321" spans="1:8" s="50" customFormat="1" ns3:dyDescent="0.2">
      <c r="A1321" s="50" t="s">
        <v>3</v>
      </c>
      <c r="B1321" s="3" t="s">
        <v>279</v>
      </c>
    </row>
    <row r="1322" spans="1:8" s="50" customFormat="1" ns3:dyDescent="0.2">
      <c r="A1322" s="50" t="s">
        <v>4</v>
      </c>
      <c r="B1322" s="50" t="s">
        <v>5</v>
      </c>
    </row>
    <row r="1323" spans="1:8" s="50" customFormat="1" ns3:dyDescent="0.2">
      <c r="A1323" s="50" t="s">
        <v>6</v>
      </c>
      <c r="B1323" s="50" t="s">
        <v>7</v>
      </c>
    </row>
    <row r="1324" spans="1:8" s="50" customFormat="1" ns3:dyDescent="0.2">
      <c r="A1324" s="50" t="s">
        <v>9</v>
      </c>
      <c r="B1324" s="50" t="s">
        <v>265</v>
      </c>
    </row>
    <row r="1325" spans="1:8" s="50" customFormat="1" ht="16" ns3:dyDescent="0.2">
      <c r="A1325" s="49" t="s">
        <v>10</v>
      </c>
    </row>
    <row r="1326" spans="1:8" s="50" customFormat="1" ns3:dyDescent="0.2">
      <c r="A1326" s="50" t="s">
        <v>11</v>
      </c>
      <c r="B1326" s="50" t="s">
        <v>12</v>
      </c>
      <c r="C1326" s="50" t="s">
        <v>1</v>
      </c>
      <c r="D1326" s="50" t="s">
        <v>6</v>
      </c>
      <c r="E1326" s="50" t="s">
        <v>13</v>
      </c>
      <c r="F1326" s="50" t="s">
        <v>4</v>
      </c>
      <c r="G1326" s="50" t="s">
        <v>9</v>
      </c>
      <c r="H1326" s="50" t="s">
        <v>3</v>
      </c>
    </row>
    <row r="1327" spans="1:8" s="50" customFormat="1" ns3:dyDescent="0.2">
      <c r="A1327" s="50" t="str">
        <f>B1318</f>
        <v>synthetic diesel import, from neighboring countries</v>
      </c>
      <c r="B1327" s="50">
        <v>1</v>
      </c>
      <c r="C1327" s="50" t="str">
        <f>B1319</f>
        <v>CH</v>
      </c>
      <c r="D1327" s="50" t="str">
        <f>B1323</f>
        <v>kilogram</v>
      </c>
      <c r="F1327" s="50" t="s">
        <v>15</v>
      </c>
      <c r="G1327" s="50" t="s">
        <v>16</v>
      </c>
      <c r="H1327" s="51" t="str">
        <f>B1321</f>
        <v>diesel, synthetic</v>
      </c>
    </row>
    <row r="1328" spans="1:8" s="50" customFormat="1" ns3:dyDescent="0.2">
      <c r="A1328" s="50" t="s">
        <v>278</v>
      </c>
      <c r="B1328" s="50">
        <v>1</v>
      </c>
      <c r="C1328" s="50" t="s">
        <v>103</v>
      </c>
      <c r="D1328" s="50" t="s">
        <v>7</v>
      </c>
      <c r="F1328" s="50" t="s">
        <v>18</v>
      </c>
      <c r="G1328" s="50" t="s">
        <v>16</v>
      </c>
      <c r="H1328" s="50" t="s">
        <v>279</v>
      </c>
    </row>
    <row r="1329" spans="1:8" s="50" customFormat="1" ns3:dyDescent="0.2"/>
    <row r="1330" spans="1:8" s="50" customFormat="1" ht="16" ns3:dyDescent="0.2">
      <c r="A1330" s="49" t="s">
        <v>0</v>
      </c>
      <c r="B1330" s="49" t="s">
        <v>280</v>
      </c>
    </row>
    <row r="1331" spans="1:8" s="50" customFormat="1" ns3:dyDescent="0.2">
      <c r="A1331" s="50" t="s">
        <v>1</v>
      </c>
      <c r="B1331" s="50" t="s">
        <v>104</v>
      </c>
    </row>
    <row r="1332" spans="1:8" s="50" customFormat="1" ns3:dyDescent="0.2">
      <c r="A1332" s="50" t="s">
        <v>2</v>
      </c>
      <c r="B1332" s="50">
        <v>1</v>
      </c>
    </row>
    <row r="1333" spans="1:8" s="50" customFormat="1" ns3:dyDescent="0.2">
      <c r="A1333" s="50" t="s">
        <v>3</v>
      </c>
      <c r="B1333" s="3" t="s">
        <v>281</v>
      </c>
    </row>
    <row r="1334" spans="1:8" s="50" customFormat="1" ns3:dyDescent="0.2">
      <c r="A1334" s="50" t="s">
        <v>4</v>
      </c>
      <c r="B1334" s="50" t="s">
        <v>5</v>
      </c>
    </row>
    <row r="1335" spans="1:8" s="50" customFormat="1" ns3:dyDescent="0.2">
      <c r="A1335" s="50" t="s">
        <v>6</v>
      </c>
      <c r="B1335" s="50" t="s">
        <v>7</v>
      </c>
    </row>
    <row r="1336" spans="1:8" s="50" customFormat="1" ns3:dyDescent="0.2">
      <c r="A1336" s="50" t="s">
        <v>9</v>
      </c>
      <c r="B1336" s="50" t="s">
        <v>265</v>
      </c>
    </row>
    <row r="1337" spans="1:8" s="50" customFormat="1" ht="16" ns3:dyDescent="0.2">
      <c r="A1337" s="49" t="s">
        <v>10</v>
      </c>
    </row>
    <row r="1338" spans="1:8" s="50" customFormat="1" ns3:dyDescent="0.2">
      <c r="A1338" s="50" t="s">
        <v>11</v>
      </c>
      <c r="B1338" s="50" t="s">
        <v>12</v>
      </c>
      <c r="C1338" s="50" t="s">
        <v>1</v>
      </c>
      <c r="D1338" s="50" t="s">
        <v>6</v>
      </c>
      <c r="E1338" s="50" t="s">
        <v>13</v>
      </c>
      <c r="F1338" s="50" t="s">
        <v>4</v>
      </c>
      <c r="G1338" s="50" t="s">
        <v>9</v>
      </c>
      <c r="H1338" s="50" t="s">
        <v>3</v>
      </c>
    </row>
    <row r="1339" spans="1:8" s="50" customFormat="1" ns3:dyDescent="0.2">
      <c r="A1339" s="50" t="str">
        <f>B1330</f>
        <v>synthetic natural gas import, from neighboring countries</v>
      </c>
      <c r="B1339" s="50">
        <v>1</v>
      </c>
      <c r="C1339" s="50" t="str">
        <f>B1331</f>
        <v>CH</v>
      </c>
      <c r="D1339" s="50" t="str">
        <f>B1335</f>
        <v>kilogram</v>
      </c>
      <c r="F1339" s="50" t="s">
        <v>15</v>
      </c>
      <c r="G1339" s="50" t="s">
        <v>16</v>
      </c>
      <c r="H1339" s="51" t="str">
        <f>B1333</f>
        <v>natural gas, synthetic</v>
      </c>
    </row>
    <row r="1340" spans="1:8" s="50" customFormat="1" ns3:dyDescent="0.2">
      <c r="A1340" s="50" t="s">
        <v>282</v>
      </c>
      <c r="B1340" s="50">
        <v>1</v>
      </c>
      <c r="C1340" s="50" t="s">
        <v>103</v>
      </c>
      <c r="D1340" s="50" t="s">
        <v>7</v>
      </c>
      <c r="F1340" s="50" t="s">
        <v>18</v>
      </c>
      <c r="G1340" s="50" t="s">
        <v>16</v>
      </c>
      <c r="H1340" s="50" t="s">
        <v>283</v>
      </c>
    </row>
    <row r="1343" spans="1:8" s="50" customFormat="1" ht="16" ns3:dyDescent="0.2">
      <c r="A1343" s="49" t="s">
        <v>0</v>
      </c>
      <c r="B1343" s="49" t="s">
        <v>284</v>
      </c>
    </row>
    <row r="1344" spans="1:8" s="50" customFormat="1" ns3:dyDescent="0.2">
      <c r="A1344" s="50" t="s">
        <v>1</v>
      </c>
      <c r="B1344" s="50" t="s">
        <v>104</v>
      </c>
    </row>
    <row r="1345" spans="1:12" s="50" customFormat="1" ns3:dyDescent="0.2">
      <c r="A1345" s="50" t="s">
        <v>2</v>
      </c>
      <c r="B1345" s="50">
        <v>1</v>
      </c>
    </row>
    <row r="1346" spans="1:12" s="50" customFormat="1" ns3:dyDescent="0.2">
      <c r="A1346" s="50" t="s">
        <v>3</v>
      </c>
      <c r="B1346" s="3" t="s">
        <v>285</v>
      </c>
    </row>
    <row r="1347" spans="1:12" s="50" customFormat="1" ns3:dyDescent="0.2">
      <c r="A1347" s="50" t="s">
        <v>4</v>
      </c>
      <c r="B1347" s="50" t="s">
        <v>5</v>
      </c>
    </row>
    <row r="1348" spans="1:12" s="50" customFormat="1" ns3:dyDescent="0.2">
      <c r="A1348" s="50" t="s">
        <v>6</v>
      </c>
      <c r="B1348" s="50" t="s">
        <v>17</v>
      </c>
    </row>
    <row r="1349" spans="1:12" s="50" customFormat="1" ns3:dyDescent="0.2">
      <c r="A1349" s="50" t="s">
        <v>9</v>
      </c>
      <c r="B1349" s="50" t="s">
        <v>286</v>
      </c>
    </row>
    <row r="1350" spans="1:12" s="50" customFormat="1" ht="16" ns3:dyDescent="0.2">
      <c r="A1350" s="49" t="s">
        <v>10</v>
      </c>
    </row>
    <row r="1351" spans="1:12" s="50" customFormat="1" ns3:dyDescent="0.2">
      <c r="A1351" s="50" t="s">
        <v>11</v>
      </c>
      <c r="B1351" s="50" t="s">
        <v>12</v>
      </c>
      <c r="C1351" s="50" t="s">
        <v>1</v>
      </c>
      <c r="D1351" s="50" t="s">
        <v>6</v>
      </c>
      <c r="E1351" s="50" t="s">
        <v>13</v>
      </c>
      <c r="F1351" s="50" t="s">
        <v>4</v>
      </c>
      <c r="G1351" s="50" t="s">
        <v>9</v>
      </c>
      <c r="H1351" s="50" t="s">
        <v>3</v>
      </c>
    </row>
    <row r="1352" spans="1:12" s="50" customFormat="1" ns3:dyDescent="0.2">
      <c r="A1352" s="50" t="str">
        <f>B1343</f>
        <v>heat, from nuclear power plant</v>
      </c>
      <c r="B1352" s="50">
        <v>1</v>
      </c>
      <c r="C1352" s="50" t="str">
        <f>B1344</f>
        <v>CH</v>
      </c>
      <c r="D1352" s="50" t="str">
        <f>B1348</f>
        <v>megajoule</v>
      </c>
      <c r="F1352" s="50" t="s">
        <v>15</v>
      </c>
      <c r="G1352" s="50" t="s">
        <v>16</v>
      </c>
      <c r="H1352" s="51" t="str">
        <f>B1346</f>
        <v>heat</v>
      </c>
    </row>
    <row r="1353" spans="1:12" s="50" customFormat="1" ns3:dyDescent="0.2">
      <c r="A1353" s="50" t="s">
        <v>205</v>
      </c>
      <c r="B1353" s="50">
        <v>1</v>
      </c>
      <c r="D1353" s="50" t="s">
        <v>17</v>
      </c>
      <c r="E1353" s="50" t="s">
        <v>136</v>
      </c>
      <c r="F1353" s="50" t="s">
        <v>27</v>
      </c>
      <c r="G1353" s="50" t="s">
        <v>16</v>
      </c>
    </row>
    <row r="1354" spans="1:12" s="50" customFormat="1" ns3:dyDescent="0.2">
      <c r="A1354" s="50" t="s">
        <v>487</v>
      </c>
      <c r="B1354" s="50">
        <f>1/560000</f>
        <v>1.7857142857142857E-6</v>
      </c>
      <c r="D1354" s="50" t="s">
        <v>7</v>
      </c>
      <c r="E1354" s="50" t="s">
        <v>485</v>
      </c>
      <c r="F1354" s="50" t="s">
        <v>27</v>
      </c>
    </row>
    <row r="1356">
      <c r="A1356" t="inlineStr">
        <is>
          <t>Activity</t>
        </is>
      </c>
      <c r="B1356" t="inlineStr">
        <is>
          <t>electricity, used in industrial electric boiler</t>
        </is>
      </c>
    </row>
    <row r="1357">
      <c r="A1357" t="inlineStr">
        <is>
          <t>location</t>
        </is>
      </c>
      <c r="B1357" t="inlineStr">
        <is>
          <t>CH</t>
        </is>
      </c>
    </row>
    <row r="1358">
      <c r="A1358" t="inlineStr">
        <is>
          <t>production amount</t>
        </is>
      </c>
      <c r="B1358">
        <v>1</v>
      </c>
    </row>
    <row r="1359">
      <c r="A1359" t="inlineStr">
        <is>
          <t>reference product</t>
        </is>
      </c>
      <c r="B1359" t="inlineStr">
        <is>
          <t>electricity, low voltage</t>
        </is>
      </c>
    </row>
    <row r="1360">
      <c r="A1360" t="inlineStr">
        <is>
          <t>type</t>
        </is>
      </c>
      <c r="B1360" t="inlineStr">
        <is>
          <t>process</t>
        </is>
      </c>
    </row>
    <row r="1361">
      <c r="A1361" t="inlineStr">
        <is>
          <t>unit</t>
        </is>
      </c>
      <c r="B1361" t="inlineStr">
        <is>
          <t>megajoule</t>
        </is>
      </c>
    </row>
    <row r="1362">
      <c r="A1362" t="inlineStr">
        <is>
          <t>electric boiler equipment</t>
        </is>
      </c>
      <c r="B1362" t="inlineStr">
        <is>
          <t>{"model": "Osby Parca EL 500 Eco, 504 kW", "name": "electricity, used in industrial electric boiler", "power_kW": 504, "mass_kg": 410, "lifetime_years": 20, "lifetime_range": [20, 30], "material_fractions": {"low_alloy": 0.581, "brass": 0.011, "electronics": 0.242, "rubber": 0.026, "unmodelled": 0.14}, "source_ids": ["osby", "ctc_bvd"], "limitations": ["Published industrial hot-water-boiler mass and power; material fractions and 20-year life are transferred from CTC EL 42 as explicit engineering proxies.", "Industrial steam/electrode-boiler composition and Swiss technology shares remain unresolved; this is a provisional resistance-boiler archetype.", "Steel-plate group uses low-alloy steel; stainless-steel substitution must be reported as a sensitivity.", "Cable/electronics use a generic control-unit electronics proxy; unidentified 14% remains unmodelled. No elemental metal fractions are invented.", "Installation, circulation pump, manufacturing assembly energy and end-of-life remain unquantified."], "pathway": "FE_industry_process_electric_boiler", "capacity_variable": "Process and space heating capacity in industry sectors|Electricity|Electric boiler", "energy_variable": "Fuel consumption in industry sectors|Electricity|Electric boiler", "id": "industry", "sources": {"osby": {"url": "https://www.rskdatabasen.se/infoDocs/PROD/PROD_1185_6203841.pdf", "sha256": "1e9642102af02575a2afbbccd23659c9f0209d37aa560749d621a7b9e75ade52", "locator": "Last page, 2022-11-25; EL 500 Eco, 504 kW, 410 kg excluding water"}, "ctc_bvd": {"url": "https://ctc.no/file-download/a9a26013a5c285864d4ad53326bec18c.pdf", "sha256": "8b279c4c47d0e0c1c239d98dea2952f67fade9527b9fcec1e38bd8e0bc6c423a", "locator": "BVD-0045 to BVD-0047, 2022-01-10, material declarations and 20–25 year technical life"}}, "boundary": "Dedicated electric heating equipment only; building fabric and heat-distribution networks excluded.", "hardware": ["electric boiler equipment production, Osby Parca EL 500 Eco, 504 kW", "Osby Parca EL 500 Eco, 504 kW", "RER", "unit"], "materials_kg": {"low_alloy": 238.20999999999998, "brass": 4.51, "electronics": 99.22, "rubber": 10.66, "unmodelled": 57.400000000000006}, "material_suppliers": {"low_alloy": ["market for steel, low-alloyed", "steel, low-alloyed", "GLO", "kilogram"], "brass": ["market for brass", "brass", "RoW", "kilogram"], "electronics": ["market for electronics, for control units", "electronics, for control units", "GLO", "kilogram"], "rubber": ["market for synthetic rubber", "synthetic rubber", "GLO", "kilogram"]}, "unmodelled_mass_kg": 57.400000000000006}</t>
        </is>
      </c>
    </row>
    <row r="1363">
      <c r="A1363" t="inlineStr">
        <is>
          <t>comment</t>
        </is>
      </c>
      <c r="B1363" t="inlineStr">
        <is>
          <t>Consumes exactly 1 MJ final electricity. Baseline hardware allocation uses SPS1/2020 installed capacity divided by annual electricity and lifetime; the build adapter replaces this for every scenario/year. Published industrial hot-water-boiler mass and power; material fractions and 20-year life are transferred from CTC EL 42 as explicit engineering proxies. Industrial steam/electrode-boiler composition and Swiss technology shares remain unresolved; this is a provisional resistance-boiler archetype. Steel-plate group uses low-alloy steel; stainless-steel substitution must be reported as a sensitivity. Cable/electronics use a generic control-unit electronics proxy; unidentified 14% remains unmodelled. No elemental metal fractions are invented. Installation, circulation pump, manufacturing assembly energy and end-of-life remain unquantified.</t>
        </is>
      </c>
    </row>
    <row r="1364">
      <c r="A1364" t="inlineStr">
        <is>
          <t>Exchanges</t>
        </is>
      </c>
    </row>
    <row r="1365">
      <c r="A1365" t="inlineStr">
        <is>
          <t>name</t>
        </is>
      </c>
      <c r="B1365" t="inlineStr">
        <is>
          <t>amount</t>
        </is>
      </c>
      <c r="C1365" t="inlineStr">
        <is>
          <t>location</t>
        </is>
      </c>
      <c r="D1365" t="inlineStr">
        <is>
          <t>unit</t>
        </is>
      </c>
      <c r="E1365" t="inlineStr">
        <is>
          <t>categories</t>
        </is>
      </c>
      <c r="F1365" t="inlineStr">
        <is>
          <t>type</t>
        </is>
      </c>
      <c r="G1365" t="inlineStr">
        <is>
          <t>reference product</t>
        </is>
      </c>
      <c r="H1365" t="inlineStr">
        <is>
          <t>comment</t>
        </is>
      </c>
      <c r="I1365" t="inlineStr">
        <is>
          <t>uncertainty type</t>
        </is>
      </c>
    </row>
    <row r="1366">
      <c r="A1366" t="inlineStr">
        <is>
          <t>electricity, used in industrial electric boiler</t>
        </is>
      </c>
      <c r="B1366">
        <v>1</v>
      </c>
      <c r="C1366" t="inlineStr">
        <is>
          <t>CH</t>
        </is>
      </c>
      <c r="D1366" t="inlineStr">
        <is>
          <t>megajoule</t>
        </is>
      </c>
      <c r="F1366" t="inlineStr">
        <is>
          <t>production</t>
        </is>
      </c>
      <c r="G1366" t="inlineStr">
        <is>
          <t>electricity, low voltage</t>
        </is>
      </c>
    </row>
    <row r="1367">
      <c r="A1367" t="inlineStr">
        <is>
          <t>market for electricity, low voltage</t>
        </is>
      </c>
      <c r="B1367">
        <v>0.2777777777777778</v>
      </c>
      <c r="C1367" t="inlineStr">
        <is>
          <t>CH</t>
        </is>
      </c>
      <c r="D1367" t="inlineStr">
        <is>
          <t>kilowatt hour</t>
        </is>
      </c>
      <c r="F1367" t="inlineStr">
        <is>
          <t>technosphere</t>
        </is>
      </c>
      <c r="G1367" t="inlineStr">
        <is>
          <t>electricity, low voltage</t>
        </is>
      </c>
    </row>
    <row r="1368">
      <c r="A1368" t="inlineStr">
        <is>
          <t>electric boiler equipment production, Osby Parca EL 500 Eco, 504 kW</t>
        </is>
      </c>
      <c r="B1368">
        <v>4.739722722766659e-09</v>
      </c>
      <c r="C1368" t="inlineStr">
        <is>
          <t>RER</t>
        </is>
      </c>
      <c r="D1368" t="inlineStr">
        <is>
          <t>unit</t>
        </is>
      </c>
      <c r="F1368" t="inlineStr">
        <is>
          <t>technosphere</t>
        </is>
      </c>
      <c r="G1368" t="inlineStr">
        <is>
          <t>Osby Parca EL 500 Eco, 504 kW</t>
        </is>
      </c>
    </row>
    <row r="1369"/>
    <row r="1370" spans="1:12" ht="16" ns3:dyDescent="0.2">
      <c r="A1370" s="1" t="s">
        <v>0</v>
      </c>
      <c r="B1370" s="1" t="s">
        <v>290</v>
      </c>
      <c r="C1370" s="53"/>
      <c r="D1370" s="53"/>
      <c r="E1370" s="53"/>
      <c r="F1370" s="53"/>
      <c r="G1370" s="53"/>
      <c r="H1370" s="53"/>
    </row>
    <row r="1371" spans="1:12" ns3:dyDescent="0.2">
      <c r="A1371" s="53" t="s">
        <v>1</v>
      </c>
      <c r="B1371" s="53" t="s">
        <v>104</v>
      </c>
      <c r="C1371" s="53"/>
      <c r="D1371" s="53"/>
      <c r="E1371" s="53"/>
      <c r="F1371" s="53"/>
      <c r="G1371" s="53"/>
      <c r="H1371" s="53"/>
      <c r="I1371" s="53"/>
      <c r="J1371" s="53"/>
      <c r="K1371" s="53"/>
      <c r="L1371" s="53"/>
    </row>
    <row r="1372" spans="1:12" ns3:dyDescent="0.2">
      <c r="A1372" s="53" t="s">
        <v>2</v>
      </c>
      <c r="B1372" s="53">
        <v>1</v>
      </c>
      <c r="C1372" s="53"/>
      <c r="D1372" s="53"/>
      <c r="E1372" s="53"/>
      <c r="F1372" s="53"/>
      <c r="G1372" s="53"/>
      <c r="H1372" s="53"/>
      <c r="I1372" s="53"/>
      <c r="J1372" s="53"/>
      <c r="K1372" s="53"/>
      <c r="L1372" s="53"/>
    </row>
    <row r="1373" spans="1:12" ns3:dyDescent="0.2">
      <c r="A1373" s="53" t="s">
        <v>3</v>
      </c>
      <c r="B1373" s="53" t="s">
        <v>287</v>
      </c>
      <c r="C1373" s="53"/>
      <c r="D1373" s="53"/>
      <c r="E1373" s="53"/>
      <c r="F1373" s="53"/>
      <c r="G1373" s="53"/>
      <c r="H1373" s="53"/>
      <c r="I1373" s="53"/>
      <c r="J1373" s="53"/>
    </row>
    <row r="1374" spans="1:12" ns3:dyDescent="0.2">
      <c r="A1374" s="53" t="s">
        <v>4</v>
      </c>
      <c r="B1374" s="53" t="s">
        <v>5</v>
      </c>
      <c r="C1374" s="53"/>
      <c r="D1374" s="53"/>
      <c r="E1374" s="53"/>
      <c r="F1374" s="53"/>
      <c r="G1374" s="53"/>
      <c r="H1374" s="53"/>
      <c r="I1374" s="53"/>
      <c r="J1374" s="53"/>
      <c r="K1374" s="53"/>
      <c r="L1374" s="53"/>
    </row>
    <row r="1375" spans="1:12" ns3:dyDescent="0.2">
      <c r="A1375" s="53" t="s">
        <v>6</v>
      </c>
      <c r="B1375" s="53" t="s">
        <v>17</v>
      </c>
      <c r="C1375" s="53"/>
      <c r="D1375" s="53"/>
      <c r="E1375" s="53"/>
      <c r="F1375" s="53"/>
      <c r="G1375" s="53"/>
      <c r="H1375" s="53"/>
      <c r="I1375" s="53"/>
      <c r="J1375" s="53"/>
      <c r="K1375" s="53"/>
      <c r="L1375" s="53"/>
    </row>
    <row r="1376" spans="1:12" ht="16" ns3:dyDescent="0.2">
      <c r="A1376" s="1" t="s">
        <v>10</v>
      </c>
      <c r="B1376" s="53"/>
      <c r="C1376" s="53"/>
      <c r="D1376" s="53"/>
      <c r="E1376" s="53"/>
      <c r="F1376" s="53"/>
      <c r="G1376" s="53"/>
      <c r="H1376" s="53"/>
      <c r="I1376" s="53"/>
      <c r="J1376" s="53"/>
      <c r="K1376" s="53"/>
      <c r="L1376" s="53"/>
    </row>
    <row r="1377" spans="1:12" ns3:dyDescent="0.2">
      <c r="A1377" s="53" t="s">
        <v>11</v>
      </c>
      <c r="B1377" s="53" t="s">
        <v>12</v>
      </c>
      <c r="C1377" s="53" t="s">
        <v>1</v>
      </c>
      <c r="D1377" s="53" t="s">
        <v>6</v>
      </c>
      <c r="E1377" s="53" t="s">
        <v>13</v>
      </c>
      <c r="F1377" s="53" t="s">
        <v>4</v>
      </c>
      <c r="G1377" s="50" t="s">
        <v>9</v>
      </c>
      <c r="H1377" s="53" t="s">
        <v>3</v>
      </c>
      <c r="I1377" s="53"/>
      <c r="J1377" s="53"/>
      <c r="K1377" s="53"/>
    </row>
    <row r="1378" spans="1:12" ns3:dyDescent="0.2">
      <c r="A1378" s="53" t="str">
        <f>B1370</f>
        <v>electricity, used in industrial heat pump</v>
      </c>
      <c r="B1378" s="53">
        <v>1</v>
      </c>
      <c r="C1378" s="53" t="str">
        <f>B1371</f>
        <v>CH</v>
      </c>
      <c r="D1378" s="53" t="str">
        <f>B1375</f>
        <v>megajoule</v>
      </c>
      <c r="E1378" s="53"/>
      <c r="F1378" s="53" t="s">
        <v>15</v>
      </c>
      <c r="H1378" s="53" t="str">
        <f>B1373</f>
        <v>electricity, low voltage</v>
      </c>
      <c r="I1378" s="53"/>
      <c r="J1378" s="53"/>
      <c r="K1378" s="53"/>
      <c r="L1378" s="53"/>
    </row>
    <row r="1379" spans="1:12" ns3:dyDescent="0.2">
      <c r="A1379" s="53" t="s">
        <v>291</v>
      </c>
      <c r="B1379" s="2">
        <f>1/0.357</f>
        <v>2.801120448179272</v>
      </c>
      <c r="C1379" t="s">
        <v>104</v>
      </c>
      <c r="D1379" t="s">
        <v>17</v>
      </c>
      <c r="F1379" t="s">
        <v>18</v>
      </c>
      <c r="H1379" t="s">
        <v>292</v>
      </c>
    </row>
    <row r="1380" spans="1:12" ns3:dyDescent="0.2">
      <c r="A1380" t="s">
        <v>482</v>
      </c>
      <c r="B1380" s="2">
        <v>2</v>
      </c>
      <c r="D1380" t="s">
        <v>17</v>
      </c>
      <c r="E1380" t="s">
        <v>485</v>
      </c>
      <c r="F1380" t="s">
        <v>27</v>
      </c>
    </row>
    <row r="1381" spans="1:12" ns3:dyDescent="0.2">
      <c r="A1381" s="53"/>
      <c r="B1381"/>
    </row>
    <row r="1382">
      <c r="A1382" t="inlineStr">
        <is>
          <t>Activity</t>
        </is>
      </c>
      <c r="B1382" t="inlineStr">
        <is>
          <t>electricity, used in industrial electric processes</t>
        </is>
      </c>
    </row>
    <row r="1383">
      <c r="A1383" t="inlineStr">
        <is>
          <t>location</t>
        </is>
      </c>
      <c r="B1383" t="inlineStr">
        <is>
          <t>CH</t>
        </is>
      </c>
    </row>
    <row r="1384">
      <c r="A1384" t="inlineStr">
        <is>
          <t>production amount</t>
        </is>
      </c>
      <c r="B1384">
        <v>1</v>
      </c>
    </row>
    <row r="1385">
      <c r="A1385" t="inlineStr">
        <is>
          <t>reference product</t>
        </is>
      </c>
      <c r="B1385" t="inlineStr">
        <is>
          <t>electricity, low voltage</t>
        </is>
      </c>
    </row>
    <row r="1386">
      <c r="A1386" t="inlineStr">
        <is>
          <t>type</t>
        </is>
      </c>
      <c r="B1386" t="inlineStr">
        <is>
          <t>process</t>
        </is>
      </c>
    </row>
    <row r="1387">
      <c r="A1387" t="inlineStr">
        <is>
          <t>unit</t>
        </is>
      </c>
      <c r="B1387" t="inlineStr">
        <is>
          <t>megajoule</t>
        </is>
      </c>
    </row>
    <row r="1388">
      <c r="A1388" t="inlineStr">
        <is>
          <t>aggregate electric equipment</t>
        </is>
      </c>
      <c r="B1388" t="inlineStr">
        <is>
          <t>{"pathway": "FE_industry_process_FE_other_electric", "name": "electricity, used in industrial electric processes", "energy_PJ": {"lighting": 6.5, "motor": 36.1, "unresolved_ICT": 1.3, "unresolved_other": 2.7}, "limitations": ["Drives and HVAC motors share a 22 kW industrial induction-motor archetype; load factors, ratings, controls and technology shares are unresolved.", "Lighting uses a 10 W CFL inventory, 10000 operating hours; LED transition is not modelled.", "ICT and other residual uses have no added equipment; their demand remains included and is not interpreted as zero equipment use."], "id": "industry", "sources": {"swiss_enduse": {"url": "https://pubdb.bfe.admin.ch/de/publication/download/12358", "locator": "Tables 23, 24, 28 and 32, 2020 columns; space/water/process heating excluded from industry/services other electricity."}, "swiss_appliances": {"url": "https://pubdb.bfe.admin.ch/de/publication/download/10742", "locator": "Sections 3.1.3, 3.2 and 3.5; 2020 stock consumption, 214 kWh/year refrigerator, 255 washer, 203 dishwasher. Later editions revise historical values."}, "abb_motor": {"url": "https://library.e.abb.com/public/6d5d9840ca2fa0f3c1256d63003e98bf/EPD%20M3JP180GB.pdf", "locator": "Page 1; M3JP 180MLB, 22 kW shaft output, 93.1% efficiency, 15 years, 5000 hours/year; product material table, excluding wooden packaging."}}, "boundary": "Energy conversion components only; appliance housings, structural frames, buildings and distribution networks excluded.", "interpretation": "Static representative equipment per lifetime MJ; Swiss 2020 energy shares are held constant to 2050, not projected technology shares.", "shares": {"lighting": 0.13948497854077252, "motor": 0.7746781115879828, "unresolved_ICT": 0.027896995708154508, "unresolved_other": 0.057939914163090134}, "components": [{"category": "lighting", "share": 0.13948497854077252, "per_MJ_of_category": 0.002777777777777778, "exchange": {"name": "compact fluorescent lamp production", "product": "compact fluorescent lamp", "location": "GLO", "unit": "unit", "type": "technosphere", "amount": 0.0003874582737243681}}, {"category": "motor", "share": 0.7746781115879828, "per_MJ_of_category": 1.5673400673400675e-07, "exchange": {"name": "energy equipment production, industrial induction motor, 22 kW (SPS)", "product": "energy equipment production, industrial induction motor, 22 kW (SPS)", "location": "RER", "unit": "unit", "type": "technosphere", "amount": 1.2141840435831854e-07}}], "fraction with some identified components": 0.9141630901287554, "fraction without equipment": 0.08583690987124465}</t>
        </is>
      </c>
    </row>
    <row r="1389">
      <c r="A1389" t="inlineStr">
        <is>
          <t>comment</t>
        </is>
      </c>
      <c r="B1389" t="inlineStr">
        <is>
          <t>Energy conversion components only; appliance housings, structural frames, buildings and distribution networks excluded. Static representative equipment per lifetime MJ; Swiss 2020 energy shares are held constant to 2050, not projected technology shares. Drives and HVAC motors share a 22 kW industrial induction-motor archetype; load factors, ratings, controls and technology shares are unresolved. Lighting uses a 10 W CFL inventory, 10000 operating hours; LED transition is not modelled. ICT and other residual uses have no added equipment; their demand remains included and is not interpreted as zero equipment use.</t>
        </is>
      </c>
    </row>
    <row r="1390">
      <c r="A1390" t="inlineStr">
        <is>
          <t>Exchanges</t>
        </is>
      </c>
    </row>
    <row r="1391">
      <c r="A1391" t="inlineStr">
        <is>
          <t>name</t>
        </is>
      </c>
      <c r="B1391" t="inlineStr">
        <is>
          <t>amount</t>
        </is>
      </c>
      <c r="C1391" t="inlineStr">
        <is>
          <t>location</t>
        </is>
      </c>
      <c r="D1391" t="inlineStr">
        <is>
          <t>unit</t>
        </is>
      </c>
      <c r="E1391" t="inlineStr">
        <is>
          <t>categories</t>
        </is>
      </c>
      <c r="F1391" t="inlineStr">
        <is>
          <t>type</t>
        </is>
      </c>
      <c r="G1391" t="inlineStr">
        <is>
          <t>reference product</t>
        </is>
      </c>
      <c r="H1391" t="inlineStr">
        <is>
          <t>comment</t>
        </is>
      </c>
      <c r="I1391" t="inlineStr">
        <is>
          <t>uncertainty type</t>
        </is>
      </c>
    </row>
    <row r="1392">
      <c r="A1392" t="inlineStr">
        <is>
          <t>electricity, used in industrial electric processes</t>
        </is>
      </c>
      <c r="B1392">
        <v>1</v>
      </c>
      <c r="C1392" t="inlineStr">
        <is>
          <t>CH</t>
        </is>
      </c>
      <c r="D1392" t="inlineStr">
        <is>
          <t>megajoule</t>
        </is>
      </c>
      <c r="F1392" t="inlineStr">
        <is>
          <t>production</t>
        </is>
      </c>
      <c r="G1392" t="inlineStr">
        <is>
          <t>electricity, low voltage</t>
        </is>
      </c>
    </row>
    <row r="1393">
      <c r="A1393" t="inlineStr">
        <is>
          <t>market for electricity, low voltage</t>
        </is>
      </c>
      <c r="B1393">
        <v>0.2777777777777778</v>
      </c>
      <c r="C1393" t="inlineStr">
        <is>
          <t>CH</t>
        </is>
      </c>
      <c r="D1393" t="inlineStr">
        <is>
          <t>kilowatt hour</t>
        </is>
      </c>
      <c r="F1393" t="inlineStr">
        <is>
          <t>technosphere</t>
        </is>
      </c>
      <c r="G1393" t="inlineStr">
        <is>
          <t>electricity, low voltage</t>
        </is>
      </c>
    </row>
    <row r="1394">
      <c r="A1394" t="inlineStr">
        <is>
          <t>compact fluorescent lamp production</t>
        </is>
      </c>
      <c r="B1394">
        <v>0.0003874582737243681</v>
      </c>
      <c r="C1394" t="inlineStr">
        <is>
          <t>GLO</t>
        </is>
      </c>
      <c r="D1394" t="inlineStr">
        <is>
          <t>unit</t>
        </is>
      </c>
      <c r="F1394" t="inlineStr">
        <is>
          <t>technosphere</t>
        </is>
      </c>
      <c r="G1394" t="inlineStr">
        <is>
          <t>compact fluorescent lamp</t>
        </is>
      </c>
    </row>
    <row r="1395">
      <c r="A1395" t="inlineStr">
        <is>
          <t>energy equipment production, industrial induction motor, 22 kW (SPS)</t>
        </is>
      </c>
      <c r="B1395">
        <v>1.2141840435831854e-07</v>
      </c>
      <c r="C1395" t="inlineStr">
        <is>
          <t>RER</t>
        </is>
      </c>
      <c r="D1395" t="inlineStr">
        <is>
          <t>unit</t>
        </is>
      </c>
      <c r="F1395" t="inlineStr">
        <is>
          <t>technosphere</t>
        </is>
      </c>
      <c r="G1395" t="inlineStr">
        <is>
          <t>energy equipment production, industrial induction motor, 22 kW (SPS)</t>
        </is>
      </c>
    </row>
    <row r="1396"/>
    <row r="1397" spans="1:12" ht="16" ns3:dyDescent="0.2">
      <c r="A1397" s="1" t="s">
        <v>0</v>
      </c>
      <c r="B1397" s="1" t="s">
        <v>293</v>
      </c>
      <c r="C1397" s="53"/>
      <c r="D1397" s="53"/>
      <c r="E1397" s="53"/>
      <c r="F1397" s="53"/>
      <c r="G1397" s="53"/>
      <c r="H1397" s="53"/>
    </row>
    <row r="1398" spans="1:12" ns3:dyDescent="0.2">
      <c r="A1398" s="53" t="s">
        <v>1</v>
      </c>
      <c r="B1398" s="53" t="s">
        <v>104</v>
      </c>
      <c r="C1398" s="53"/>
      <c r="D1398" s="53"/>
      <c r="E1398" s="53"/>
      <c r="F1398" s="53"/>
      <c r="G1398" s="53"/>
      <c r="H1398" s="53"/>
      <c r="I1398" s="53"/>
      <c r="J1398" s="53"/>
      <c r="K1398" s="53"/>
      <c r="L1398" s="53"/>
    </row>
    <row r="1399" spans="1:12" ns3:dyDescent="0.2">
      <c r="A1399" s="53" t="s">
        <v>2</v>
      </c>
      <c r="B1399" s="53">
        <v>1</v>
      </c>
      <c r="C1399" s="53"/>
      <c r="D1399" s="53"/>
      <c r="E1399" s="53"/>
      <c r="F1399" s="53"/>
      <c r="G1399" s="53"/>
      <c r="H1399" s="53"/>
      <c r="I1399" s="53"/>
      <c r="J1399" s="53"/>
      <c r="K1399" s="53"/>
      <c r="L1399" s="53"/>
    </row>
    <row r="1400" spans="1:12" ns3:dyDescent="0.2">
      <c r="A1400" s="53" t="s">
        <v>3</v>
      </c>
      <c r="B1400" s="53" t="s">
        <v>285</v>
      </c>
      <c r="C1400" s="53"/>
      <c r="D1400" s="53"/>
      <c r="E1400" s="53"/>
      <c r="F1400" s="53"/>
      <c r="G1400" s="53"/>
      <c r="H1400" s="53"/>
      <c r="I1400" s="53"/>
      <c r="J1400" s="53"/>
    </row>
    <row r="1401" spans="1:12" ns3:dyDescent="0.2">
      <c r="A1401" s="53" t="s">
        <v>4</v>
      </c>
      <c r="B1401" s="53" t="s">
        <v>5</v>
      </c>
      <c r="C1401" s="53"/>
      <c r="D1401" s="53"/>
      <c r="E1401" s="53"/>
      <c r="F1401" s="53"/>
      <c r="G1401" s="53"/>
      <c r="H1401" s="53"/>
      <c r="I1401" s="53"/>
      <c r="J1401" s="53"/>
      <c r="K1401" s="53"/>
      <c r="L1401" s="53"/>
    </row>
    <row r="1402" spans="1:12" ns3:dyDescent="0.2">
      <c r="A1402" s="53" t="s">
        <v>6</v>
      </c>
      <c r="B1402" s="53" t="s">
        <v>17</v>
      </c>
      <c r="C1402" s="53"/>
      <c r="D1402" s="53"/>
      <c r="E1402" s="53"/>
      <c r="F1402" s="53"/>
      <c r="G1402" s="53"/>
      <c r="H1402" s="53"/>
      <c r="I1402" s="53"/>
      <c r="J1402" s="53"/>
      <c r="K1402" s="53"/>
      <c r="L1402" s="53"/>
    </row>
    <row r="1403" spans="1:12" ht="16" ns3:dyDescent="0.2">
      <c r="A1403" s="1" t="s">
        <v>10</v>
      </c>
      <c r="B1403" s="53"/>
      <c r="C1403" s="53"/>
      <c r="D1403" s="53"/>
      <c r="E1403" s="53"/>
      <c r="F1403" s="53"/>
      <c r="G1403" s="53"/>
      <c r="H1403" s="53"/>
      <c r="I1403" s="53"/>
      <c r="J1403" s="53"/>
      <c r="K1403" s="53"/>
      <c r="L1403" s="53"/>
    </row>
    <row r="1404" spans="1:12" ns3:dyDescent="0.2">
      <c r="A1404" s="53" t="s">
        <v>11</v>
      </c>
      <c r="B1404" s="53" t="s">
        <v>12</v>
      </c>
      <c r="C1404" s="53" t="s">
        <v>1</v>
      </c>
      <c r="D1404" s="53" t="s">
        <v>6</v>
      </c>
      <c r="E1404" s="53" t="s">
        <v>13</v>
      </c>
      <c r="F1404" s="53" t="s">
        <v>4</v>
      </c>
      <c r="G1404" s="50" t="s">
        <v>9</v>
      </c>
      <c r="H1404" s="53" t="s">
        <v>3</v>
      </c>
      <c r="I1404" s="53"/>
      <c r="J1404" s="53"/>
      <c r="K1404" s="53"/>
    </row>
    <row r="1405" spans="1:12" ns3:dyDescent="0.2">
      <c r="A1405" s="53" t="str">
        <f>B1397</f>
        <v>light fuel oil, burned in industrial furnace 1MW</v>
      </c>
      <c r="B1405" s="53">
        <v>1</v>
      </c>
      <c r="C1405" s="53" t="str">
        <f>B1398</f>
        <v>CH</v>
      </c>
      <c r="D1405" s="53" t="str">
        <f>B1402</f>
        <v>megajoule</v>
      </c>
      <c r="E1405" s="53"/>
      <c r="F1405" s="53" t="s">
        <v>15</v>
      </c>
      <c r="H1405" s="53" t="str">
        <f>B1400</f>
        <v>heat</v>
      </c>
      <c r="I1405" s="53"/>
      <c r="J1405" s="53"/>
      <c r="K1405" s="53"/>
      <c r="L1405" s="53"/>
    </row>
    <row r="1406" spans="1:12" ns3:dyDescent="0.2">
      <c r="A1406" s="53" t="s">
        <v>294</v>
      </c>
      <c r="B1406">
        <f>1/(0.0274*40.1)</f>
        <v>0.91013342556018706</v>
      </c>
      <c r="C1406" t="s">
        <v>104</v>
      </c>
      <c r="D1406" t="s">
        <v>17</v>
      </c>
      <c r="F1406" t="s">
        <v>18</v>
      </c>
      <c r="H1406" t="s">
        <v>295</v>
      </c>
    </row>
    <row r="1408" spans="1:12" ht="16" ns3:dyDescent="0.2">
      <c r="A1408" s="1" t="s">
        <v>0</v>
      </c>
      <c r="B1408" s="1" t="s">
        <v>296</v>
      </c>
      <c r="C1408" s="53"/>
      <c r="D1408" s="53"/>
      <c r="E1408" s="53"/>
      <c r="F1408" s="53"/>
      <c r="H1408" s="53"/>
    </row>
    <row r="1409" spans="1:12" ns3:dyDescent="0.2">
      <c r="A1409" s="53" t="s">
        <v>1</v>
      </c>
      <c r="B1409" s="53" t="s">
        <v>104</v>
      </c>
      <c r="C1409" s="53"/>
      <c r="D1409" s="53"/>
      <c r="E1409" s="53"/>
      <c r="F1409" s="53"/>
      <c r="H1409" s="53"/>
      <c r="I1409" s="53"/>
      <c r="J1409" s="53"/>
      <c r="K1409" s="53"/>
      <c r="L1409" s="53"/>
    </row>
    <row r="1410" spans="1:12" ns3:dyDescent="0.2">
      <c r="A1410" s="53" t="s">
        <v>2</v>
      </c>
      <c r="B1410" s="53">
        <v>1</v>
      </c>
      <c r="C1410" s="53"/>
      <c r="D1410" s="53"/>
      <c r="E1410" s="53"/>
      <c r="F1410" s="53"/>
      <c r="H1410" s="53"/>
      <c r="I1410" s="53"/>
      <c r="J1410" s="53"/>
      <c r="K1410" s="53"/>
      <c r="L1410" s="53"/>
    </row>
    <row r="1411" spans="1:12" ns3:dyDescent="0.2">
      <c r="A1411" s="53" t="s">
        <v>3</v>
      </c>
      <c r="B1411" s="53" t="s">
        <v>285</v>
      </c>
      <c r="C1411" s="53"/>
      <c r="D1411" s="53"/>
      <c r="E1411" s="53"/>
      <c r="F1411" s="53"/>
      <c r="H1411" s="53"/>
      <c r="I1411" s="53"/>
      <c r="J1411" s="53"/>
    </row>
    <row r="1412" spans="1:12" ns3:dyDescent="0.2">
      <c r="A1412" s="53" t="s">
        <v>4</v>
      </c>
      <c r="B1412" s="53" t="s">
        <v>5</v>
      </c>
      <c r="C1412" s="53"/>
      <c r="D1412" s="53"/>
      <c r="E1412" s="53"/>
      <c r="F1412" s="53"/>
      <c r="H1412" s="53"/>
      <c r="I1412" s="53"/>
      <c r="J1412" s="53"/>
      <c r="K1412" s="53"/>
      <c r="L1412" s="53"/>
    </row>
    <row r="1413" spans="1:12" ns3:dyDescent="0.2">
      <c r="A1413" s="53" t="s">
        <v>6</v>
      </c>
      <c r="B1413" s="53" t="s">
        <v>17</v>
      </c>
      <c r="C1413" s="53"/>
      <c r="D1413" s="53"/>
      <c r="E1413" s="53"/>
      <c r="F1413" s="53"/>
      <c r="H1413" s="53"/>
      <c r="I1413" s="53"/>
      <c r="J1413" s="53"/>
      <c r="K1413" s="53"/>
      <c r="L1413" s="53"/>
    </row>
    <row r="1414" spans="1:12" ht="16" ns3:dyDescent="0.2">
      <c r="A1414" s="1" t="s">
        <v>10</v>
      </c>
      <c r="B1414" s="53"/>
      <c r="C1414" s="53"/>
      <c r="D1414" s="53"/>
      <c r="E1414" s="53"/>
      <c r="F1414" s="53"/>
      <c r="H1414" s="53"/>
      <c r="I1414" s="53"/>
      <c r="J1414" s="53"/>
      <c r="K1414" s="53"/>
      <c r="L1414" s="53"/>
    </row>
    <row r="1415" spans="1:12" ns3:dyDescent="0.2">
      <c r="A1415" s="53" t="s">
        <v>11</v>
      </c>
      <c r="B1415" s="53" t="s">
        <v>12</v>
      </c>
      <c r="C1415" s="53" t="s">
        <v>1</v>
      </c>
      <c r="D1415" s="53" t="s">
        <v>6</v>
      </c>
      <c r="E1415" s="53" t="s">
        <v>13</v>
      </c>
      <c r="F1415" s="53" t="s">
        <v>4</v>
      </c>
      <c r="G1415" s="50" t="s">
        <v>9</v>
      </c>
      <c r="H1415" s="53" t="s">
        <v>3</v>
      </c>
      <c r="I1415" s="53"/>
      <c r="J1415" s="53"/>
      <c r="K1415" s="53"/>
    </row>
    <row r="1416" spans="1:12" ns3:dyDescent="0.2">
      <c r="A1416" s="53" t="str">
        <f>B1408</f>
        <v>heavy fuel oil, burned in industrial furnace 1MW</v>
      </c>
      <c r="B1416" s="53">
        <v>1</v>
      </c>
      <c r="C1416" s="53" t="str">
        <f>B1409</f>
        <v>CH</v>
      </c>
      <c r="D1416" s="53" t="str">
        <f>B1413</f>
        <v>megajoule</v>
      </c>
      <c r="E1416" s="53"/>
      <c r="F1416" s="53" t="s">
        <v>15</v>
      </c>
      <c r="H1416" s="53" t="str">
        <f>B1411</f>
        <v>heat</v>
      </c>
      <c r="I1416" s="53"/>
      <c r="J1416" s="53"/>
      <c r="K1416" s="53"/>
      <c r="L1416" s="53"/>
    </row>
    <row r="1417" spans="1:12" ns3:dyDescent="0.2">
      <c r="A1417" s="53" t="s">
        <v>297</v>
      </c>
      <c r="B1417">
        <f>1/(0.0259*39)</f>
        <v>0.99000099000098996</v>
      </c>
      <c r="C1417" t="s">
        <v>104</v>
      </c>
      <c r="D1417" t="s">
        <v>17</v>
      </c>
      <c r="F1417" t="s">
        <v>18</v>
      </c>
      <c r="H1417" t="s">
        <v>295</v>
      </c>
    </row>
    <row r="1419">
      <c r="A1419" t="inlineStr">
        <is>
          <t>Activity</t>
        </is>
      </c>
      <c r="B1419" t="inlineStr">
        <is>
          <t>natural gas, burned in industrial furnace &gt;100kW</t>
        </is>
      </c>
    </row>
    <row r="1420">
      <c r="A1420" t="inlineStr">
        <is>
          <t>location</t>
        </is>
      </c>
      <c r="B1420" t="inlineStr">
        <is>
          <t>CH</t>
        </is>
      </c>
    </row>
    <row r="1421">
      <c r="A1421" t="inlineStr">
        <is>
          <t>production amount</t>
        </is>
      </c>
      <c r="B1421">
        <v>1</v>
      </c>
    </row>
    <row r="1422">
      <c r="A1422" t="inlineStr">
        <is>
          <t>reference product</t>
        </is>
      </c>
      <c r="B1422" t="inlineStr">
        <is>
          <t>heat</t>
        </is>
      </c>
    </row>
    <row r="1423">
      <c r="A1423" t="inlineStr">
        <is>
          <t>type</t>
        </is>
      </c>
      <c r="B1423" t="inlineStr">
        <is>
          <t>process</t>
        </is>
      </c>
    </row>
    <row r="1424">
      <c r="A1424" t="inlineStr">
        <is>
          <t>unit</t>
        </is>
      </c>
      <c r="B1424" t="inlineStr">
        <is>
          <t>megajoule</t>
        </is>
      </c>
    </row>
    <row r="1425">
      <c r="A1425" t="inlineStr">
        <is>
          <t>Swiss heat provider routing</t>
        </is>
      </c>
      <c r="B1425" t="inlineStr">
        <is>
          <t>[{"wrapper": "natural gas, burned in industrial furnace &gt;100kW", "wrapper_product": "heat", "supplier": "heat production, natural gas, at boiler condensing modulating &gt;100kW", "product": "heat, district or industrial, natural gas", "previous_location": "Europe without Switzerland", "location": "CH", "amount": 1.02880658436214, "unit": "megajoule"}]</t>
        </is>
      </c>
    </row>
    <row r="1426">
      <c r="A1426" t="inlineStr">
        <is>
          <t>Exchanges</t>
        </is>
      </c>
    </row>
    <row r="1427">
      <c r="A1427" t="inlineStr">
        <is>
          <t>name</t>
        </is>
      </c>
      <c r="B1427" t="inlineStr">
        <is>
          <t>amount</t>
        </is>
      </c>
      <c r="C1427" t="inlineStr">
        <is>
          <t>location</t>
        </is>
      </c>
      <c r="D1427" t="inlineStr">
        <is>
          <t>unit</t>
        </is>
      </c>
      <c r="E1427" t="inlineStr">
        <is>
          <t>categories</t>
        </is>
      </c>
      <c r="F1427" t="inlineStr">
        <is>
          <t>type</t>
        </is>
      </c>
      <c r="G1427" t="inlineStr">
        <is>
          <t>reference product</t>
        </is>
      </c>
      <c r="H1427" t="inlineStr">
        <is>
          <t>comment</t>
        </is>
      </c>
      <c r="I1427" t="inlineStr">
        <is>
          <t>uncertainty type</t>
        </is>
      </c>
    </row>
    <row r="1428">
      <c r="A1428" t="inlineStr">
        <is>
          <t>natural gas, burned in industrial furnace &gt;100kW</t>
        </is>
      </c>
      <c r="B1428">
        <v>1</v>
      </c>
      <c r="C1428" t="inlineStr">
        <is>
          <t>CH</t>
        </is>
      </c>
      <c r="D1428" t="inlineStr">
        <is>
          <t>megajoule</t>
        </is>
      </c>
      <c r="F1428" t="inlineStr">
        <is>
          <t>production</t>
        </is>
      </c>
      <c r="G1428" t="inlineStr">
        <is>
          <t>heat</t>
        </is>
      </c>
    </row>
    <row r="1429">
      <c r="A1429" t="inlineStr">
        <is>
          <t>heat production, natural gas, at boiler condensing modulating &gt;100kW</t>
        </is>
      </c>
      <c r="B1429">
        <v>1.02880658436214</v>
      </c>
      <c r="C1429" t="inlineStr">
        <is>
          <t>Europe without Switzerland</t>
        </is>
      </c>
      <c r="D1429" t="inlineStr">
        <is>
          <t>megajoule</t>
        </is>
      </c>
      <c r="F1429" t="inlineStr">
        <is>
          <t>technosphere</t>
        </is>
      </c>
      <c r="G1429" t="inlineStr">
        <is>
          <t>heat, district or industrial, natural gas</t>
        </is>
      </c>
    </row>
    <row r="1430"/>
    <row r="1431">
      <c r="A1431" t="inlineStr">
        <is>
          <t>Activity</t>
        </is>
      </c>
      <c r="B1431" t="inlineStr">
        <is>
          <t>hard coal, burned in hard coal industrial furnace 1-10MW</t>
        </is>
      </c>
    </row>
    <row r="1432">
      <c r="A1432" t="inlineStr">
        <is>
          <t>location</t>
        </is>
      </c>
      <c r="B1432" t="inlineStr">
        <is>
          <t>CH</t>
        </is>
      </c>
    </row>
    <row r="1433">
      <c r="A1433" t="inlineStr">
        <is>
          <t>production amount</t>
        </is>
      </c>
      <c r="B1433">
        <v>1</v>
      </c>
    </row>
    <row r="1434">
      <c r="A1434" t="inlineStr">
        <is>
          <t>reference product</t>
        </is>
      </c>
      <c r="B1434" t="inlineStr">
        <is>
          <t>heat</t>
        </is>
      </c>
    </row>
    <row r="1435">
      <c r="A1435" t="inlineStr">
        <is>
          <t>type</t>
        </is>
      </c>
      <c r="B1435" t="inlineStr">
        <is>
          <t>process</t>
        </is>
      </c>
    </row>
    <row r="1436">
      <c r="A1436" t="inlineStr">
        <is>
          <t>unit</t>
        </is>
      </c>
      <c r="B1436" t="inlineStr">
        <is>
          <t>megajoule</t>
        </is>
      </c>
    </row>
    <row r="1437">
      <c r="A1437" t="inlineStr">
        <is>
          <t>Swiss heat provider routing</t>
        </is>
      </c>
      <c r="B1437" t="inlineStr">
        <is>
          <t>[{"wrapper": "hard coal, burned in hard coal industrial furnace 1-10MW", "wrapper_product": "heat", "supplier": "heat production, at hard coal industrial furnace 1-10MW", "product": "heat, district or industrial, other than natural gas", "previous_location": "Europe without Switzerland", "location": "CH", "amount": 0.8, "unit": "megajoule"}]</t>
        </is>
      </c>
    </row>
    <row r="1438">
      <c r="A1438" t="inlineStr">
        <is>
          <t>Exchanges</t>
        </is>
      </c>
    </row>
    <row r="1439">
      <c r="A1439" t="inlineStr">
        <is>
          <t>name</t>
        </is>
      </c>
      <c r="B1439" t="inlineStr">
        <is>
          <t>amount</t>
        </is>
      </c>
      <c r="C1439" t="inlineStr">
        <is>
          <t>location</t>
        </is>
      </c>
      <c r="D1439" t="inlineStr">
        <is>
          <t>unit</t>
        </is>
      </c>
      <c r="E1439" t="inlineStr">
        <is>
          <t>categories</t>
        </is>
      </c>
      <c r="F1439" t="inlineStr">
        <is>
          <t>type</t>
        </is>
      </c>
      <c r="G1439" t="inlineStr">
        <is>
          <t>reference product</t>
        </is>
      </c>
      <c r="H1439" t="inlineStr">
        <is>
          <t>comment</t>
        </is>
      </c>
      <c r="I1439" t="inlineStr">
        <is>
          <t>uncertainty type</t>
        </is>
      </c>
    </row>
    <row r="1440">
      <c r="A1440" t="inlineStr">
        <is>
          <t>hard coal, burned in hard coal industrial furnace 1-10MW</t>
        </is>
      </c>
      <c r="B1440">
        <v>1</v>
      </c>
      <c r="C1440" t="inlineStr">
        <is>
          <t>CH</t>
        </is>
      </c>
      <c r="D1440" t="inlineStr">
        <is>
          <t>megajoule</t>
        </is>
      </c>
      <c r="F1440" t="inlineStr">
        <is>
          <t>production</t>
        </is>
      </c>
      <c r="G1440" t="inlineStr">
        <is>
          <t>heat</t>
        </is>
      </c>
    </row>
    <row r="1441">
      <c r="A1441" t="inlineStr">
        <is>
          <t>heat production, at hard coal industrial furnace 1-10MW</t>
        </is>
      </c>
      <c r="B1441">
        <v>0.8</v>
      </c>
      <c r="C1441" t="inlineStr">
        <is>
          <t>Europe without Switzerland</t>
        </is>
      </c>
      <c r="D1441" t="inlineStr">
        <is>
          <t>megajoule</t>
        </is>
      </c>
      <c r="F1441" t="inlineStr">
        <is>
          <t>technosphere</t>
        </is>
      </c>
      <c r="G1441" t="inlineStr">
        <is>
          <t>heat, district or industrial, other than natural gas</t>
        </is>
      </c>
    </row>
    <row r="1442"/>
    <row r="1443">
      <c r="A1443" t="inlineStr">
        <is>
          <t>Activity</t>
        </is>
      </c>
      <c r="B1443" t="inlineStr">
        <is>
          <t>heat, from on-site industrial oil-fired CHP</t>
        </is>
      </c>
    </row>
    <row r="1444">
      <c r="A1444" t="inlineStr">
        <is>
          <t>location</t>
        </is>
      </c>
      <c r="B1444" t="inlineStr">
        <is>
          <t>CH</t>
        </is>
      </c>
    </row>
    <row r="1445">
      <c r="A1445" t="inlineStr">
        <is>
          <t>production amount</t>
        </is>
      </c>
      <c r="B1445">
        <v>1</v>
      </c>
    </row>
    <row r="1446">
      <c r="A1446" t="inlineStr">
        <is>
          <t>reference product</t>
        </is>
      </c>
      <c r="B1446" t="inlineStr">
        <is>
          <t>heat</t>
        </is>
      </c>
    </row>
    <row r="1447">
      <c r="A1447" t="inlineStr">
        <is>
          <t>type</t>
        </is>
      </c>
      <c r="B1447" t="inlineStr">
        <is>
          <t>process</t>
        </is>
      </c>
    </row>
    <row r="1448">
      <c r="A1448" t="inlineStr">
        <is>
          <t>unit</t>
        </is>
      </c>
      <c r="B1448" t="inlineStr">
        <is>
          <t>megajoule</t>
        </is>
      </c>
    </row>
    <row r="1449">
      <c r="A1449" t="inlineStr">
        <is>
          <t>Swiss heat provider routing</t>
        </is>
      </c>
      <c r="B1449" t="inlineStr">
        <is>
          <t>[{"wrapper": "heat, from on-site industrial oil-fired CHP", "wrapper_product": "heat", "supplier": "heat and power co-generation, oil", "product": "heat, district or industrial, other than natural gas", "previous_location": "DE", "location": "CH", "amount": 0.7005744710662744, "unit": "megajoule"}]</t>
        </is>
      </c>
    </row>
    <row r="1450">
      <c r="A1450" t="inlineStr">
        <is>
          <t>Exchanges</t>
        </is>
      </c>
    </row>
    <row r="1451">
      <c r="A1451" t="inlineStr">
        <is>
          <t>name</t>
        </is>
      </c>
      <c r="B1451" t="inlineStr">
        <is>
          <t>amount</t>
        </is>
      </c>
      <c r="C1451" t="inlineStr">
        <is>
          <t>location</t>
        </is>
      </c>
      <c r="D1451" t="inlineStr">
        <is>
          <t>unit</t>
        </is>
      </c>
      <c r="E1451" t="inlineStr">
        <is>
          <t>categories</t>
        </is>
      </c>
      <c r="F1451" t="inlineStr">
        <is>
          <t>type</t>
        </is>
      </c>
      <c r="G1451" t="inlineStr">
        <is>
          <t>reference product</t>
        </is>
      </c>
      <c r="H1451" t="inlineStr">
        <is>
          <t>comment</t>
        </is>
      </c>
      <c r="I1451" t="inlineStr">
        <is>
          <t>uncertainty type</t>
        </is>
      </c>
    </row>
    <row r="1452">
      <c r="A1452" t="inlineStr">
        <is>
          <t>heat, from on-site industrial oil-fired CHP</t>
        </is>
      </c>
      <c r="B1452">
        <v>1</v>
      </c>
      <c r="C1452" t="inlineStr">
        <is>
          <t>CH</t>
        </is>
      </c>
      <c r="D1452" t="inlineStr">
        <is>
          <t>megajoule</t>
        </is>
      </c>
      <c r="F1452" t="inlineStr">
        <is>
          <t>production</t>
        </is>
      </c>
      <c r="G1452" t="inlineStr">
        <is>
          <t>heat</t>
        </is>
      </c>
    </row>
    <row r="1453">
      <c r="A1453" t="inlineStr">
        <is>
          <t>heat and power co-generation, oil</t>
        </is>
      </c>
      <c r="B1453">
        <v>0.7005744710662744</v>
      </c>
      <c r="C1453" t="inlineStr">
        <is>
          <t>DE</t>
        </is>
      </c>
      <c r="D1453" t="inlineStr">
        <is>
          <t>megajoule</t>
        </is>
      </c>
      <c r="F1453" t="inlineStr">
        <is>
          <t>technosphere</t>
        </is>
      </c>
      <c r="G1453" t="inlineStr">
        <is>
          <t>heat, district or industrial, other than natural gas</t>
        </is>
      </c>
    </row>
    <row r="1454"/>
    <row r="1455" spans="1:12" ht="16" ns3:dyDescent="0.2">
      <c r="A1455" s="1" t="s">
        <v>0</v>
      </c>
      <c r="B1455" s="1" t="s">
        <v>337</v>
      </c>
      <c r="C1455" s="53"/>
      <c r="D1455" s="53"/>
      <c r="E1455" s="53"/>
      <c r="F1455" s="53"/>
      <c r="H1455" s="53"/>
    </row>
    <row r="1456" spans="1:12" ns3:dyDescent="0.2">
      <c r="A1456" s="53" t="s">
        <v>1</v>
      </c>
      <c r="B1456" s="53" t="s">
        <v>104</v>
      </c>
      <c r="C1456" s="53"/>
      <c r="D1456" s="53"/>
      <c r="E1456" s="53"/>
      <c r="F1456" s="53"/>
      <c r="H1456" s="53"/>
      <c r="I1456" s="53"/>
      <c r="J1456" s="53"/>
      <c r="K1456" s="53"/>
      <c r="L1456" s="53"/>
    </row>
    <row r="1457" spans="1:12" ns3:dyDescent="0.2">
      <c r="A1457" s="53" t="s">
        <v>2</v>
      </c>
      <c r="B1457" s="53">
        <v>1</v>
      </c>
      <c r="C1457" s="53"/>
      <c r="D1457" s="53"/>
      <c r="E1457" s="53"/>
      <c r="F1457" s="53"/>
      <c r="H1457" s="53"/>
      <c r="I1457" s="53"/>
      <c r="J1457" s="53"/>
      <c r="K1457" s="53"/>
      <c r="L1457" s="53"/>
    </row>
    <row r="1458" spans="1:12" ns3:dyDescent="0.2">
      <c r="A1458" s="53" t="s">
        <v>3</v>
      </c>
      <c r="B1458" s="53" t="s">
        <v>285</v>
      </c>
      <c r="C1458" s="53"/>
      <c r="D1458" s="53"/>
      <c r="E1458" s="53"/>
      <c r="F1458" s="53"/>
      <c r="H1458" s="53"/>
      <c r="I1458" s="53"/>
      <c r="J1458" s="53"/>
    </row>
    <row r="1459" spans="1:12" ns3:dyDescent="0.2">
      <c r="A1459" s="53" t="s">
        <v>4</v>
      </c>
      <c r="B1459" s="53" t="s">
        <v>5</v>
      </c>
      <c r="C1459" s="53"/>
      <c r="D1459" s="53"/>
      <c r="E1459" s="53"/>
      <c r="F1459" s="53"/>
      <c r="H1459" s="53"/>
      <c r="I1459" s="53"/>
      <c r="J1459" s="53"/>
      <c r="K1459" s="53"/>
      <c r="L1459" s="53"/>
    </row>
    <row r="1460" spans="1:12" ns3:dyDescent="0.2">
      <c r="A1460" s="53" t="s">
        <v>6</v>
      </c>
      <c r="B1460" s="53" t="s">
        <v>17</v>
      </c>
      <c r="C1460" s="53"/>
      <c r="D1460" s="53"/>
      <c r="E1460" s="53"/>
      <c r="F1460" s="53"/>
      <c r="H1460" s="53"/>
      <c r="I1460" s="53"/>
      <c r="J1460" s="53"/>
      <c r="K1460" s="53"/>
      <c r="L1460" s="53"/>
    </row>
    <row r="1461" spans="1:12" ht="16" ns3:dyDescent="0.2">
      <c r="A1461" s="1" t="s">
        <v>10</v>
      </c>
      <c r="B1461" s="53"/>
      <c r="C1461" s="53"/>
      <c r="D1461" s="53"/>
      <c r="E1461" s="53"/>
      <c r="F1461" s="53"/>
      <c r="H1461" s="53"/>
      <c r="I1461" s="53"/>
      <c r="J1461" s="53"/>
      <c r="K1461" s="53"/>
      <c r="L1461" s="53"/>
    </row>
    <row r="1462" spans="1:12" ns3:dyDescent="0.2">
      <c r="A1462" s="53" t="s">
        <v>11</v>
      </c>
      <c r="B1462" s="53" t="s">
        <v>12</v>
      </c>
      <c r="C1462" s="53" t="s">
        <v>1</v>
      </c>
      <c r="D1462" s="53" t="s">
        <v>6</v>
      </c>
      <c r="E1462" s="53" t="s">
        <v>13</v>
      </c>
      <c r="F1462" s="53" t="s">
        <v>4</v>
      </c>
      <c r="G1462" s="50" t="s">
        <v>9</v>
      </c>
      <c r="H1462" s="53" t="s">
        <v>3</v>
      </c>
      <c r="I1462" s="53"/>
      <c r="J1462" s="53"/>
      <c r="K1462" s="53"/>
    </row>
    <row r="1463" spans="1:12" ns3:dyDescent="0.2">
      <c r="A1463" s="53" t="str">
        <f>B1455</f>
        <v>heat, from on-site industrial biogas-fired CHP</v>
      </c>
      <c r="B1463" s="53">
        <v>1</v>
      </c>
      <c r="C1463" s="53" t="str">
        <f>B1456</f>
        <v>CH</v>
      </c>
      <c r="D1463" s="53" t="str">
        <f>B1460</f>
        <v>megajoule</v>
      </c>
      <c r="E1463" s="53"/>
      <c r="F1463" s="53" t="s">
        <v>15</v>
      </c>
      <c r="H1463" s="53" t="str">
        <f>B1458</f>
        <v>heat</v>
      </c>
      <c r="I1463" s="53"/>
      <c r="J1463" s="53"/>
      <c r="K1463" s="53"/>
      <c r="L1463" s="53"/>
    </row>
    <row r="1464" spans="1:12" ns3:dyDescent="0.2">
      <c r="A1464" s="53" t="s">
        <v>338</v>
      </c>
      <c r="B1464">
        <f>1/(0.016231*22.73)</f>
        <v>2.7105366664730441</v>
      </c>
      <c r="C1464" t="s">
        <v>104</v>
      </c>
      <c r="D1464" t="s">
        <v>17</v>
      </c>
      <c r="F1464" t="s">
        <v>18</v>
      </c>
      <c r="H1464" t="s">
        <v>318</v>
      </c>
    </row>
    <row r="1465" spans="1:12" ns3:dyDescent="0.2">
      <c r="B1465"/>
    </row>
    <row r="1466" spans="1:12" ht="16" ns3:dyDescent="0.2">
      <c r="A1466" s="1" t="s">
        <v>0</v>
      </c>
      <c r="B1466" s="1" t="s">
        <v>304</v>
      </c>
      <c r="C1466" s="53"/>
      <c r="D1466" s="53"/>
      <c r="E1466" s="53"/>
      <c r="F1466" s="53"/>
      <c r="H1466" s="53"/>
    </row>
    <row r="1467" spans="1:12" ns3:dyDescent="0.2">
      <c r="A1467" s="53" t="s">
        <v>1</v>
      </c>
      <c r="B1467" s="53" t="s">
        <v>104</v>
      </c>
      <c r="C1467" s="53"/>
      <c r="D1467" s="53"/>
      <c r="E1467" s="53"/>
      <c r="F1467" s="53"/>
      <c r="H1467" s="53"/>
      <c r="I1467" s="53"/>
      <c r="J1467" s="53"/>
      <c r="K1467" s="53"/>
      <c r="L1467" s="53"/>
    </row>
    <row r="1468" spans="1:12" ns3:dyDescent="0.2">
      <c r="A1468" s="53" t="s">
        <v>2</v>
      </c>
      <c r="B1468" s="53">
        <v>1</v>
      </c>
      <c r="C1468" s="53"/>
      <c r="D1468" s="53"/>
      <c r="E1468" s="53"/>
      <c r="F1468" s="53"/>
      <c r="H1468" s="53"/>
      <c r="I1468" s="53"/>
      <c r="J1468" s="53"/>
      <c r="K1468" s="53"/>
      <c r="L1468" s="53"/>
    </row>
    <row r="1469" spans="1:12" ns3:dyDescent="0.2">
      <c r="A1469" s="53" t="s">
        <v>3</v>
      </c>
      <c r="B1469" s="53" t="s">
        <v>285</v>
      </c>
      <c r="C1469" s="53"/>
      <c r="D1469" s="53"/>
      <c r="E1469" s="53"/>
      <c r="F1469" s="53"/>
      <c r="H1469" s="53"/>
      <c r="I1469" s="53"/>
      <c r="J1469" s="53"/>
    </row>
    <row r="1470" spans="1:12" ns3:dyDescent="0.2">
      <c r="A1470" s="53" t="s">
        <v>4</v>
      </c>
      <c r="B1470" s="53" t="s">
        <v>5</v>
      </c>
      <c r="C1470" s="53"/>
      <c r="D1470" s="53"/>
      <c r="E1470" s="53"/>
      <c r="F1470" s="53"/>
      <c r="H1470" s="53"/>
      <c r="I1470" s="53"/>
      <c r="J1470" s="53"/>
      <c r="K1470" s="53"/>
      <c r="L1470" s="53"/>
    </row>
    <row r="1471" spans="1:12" ns3:dyDescent="0.2">
      <c r="A1471" s="53" t="s">
        <v>6</v>
      </c>
      <c r="B1471" s="53" t="s">
        <v>17</v>
      </c>
      <c r="C1471" s="53"/>
      <c r="D1471" s="53"/>
      <c r="E1471" s="53"/>
      <c r="F1471" s="53"/>
      <c r="H1471" s="53"/>
      <c r="I1471" s="53"/>
      <c r="J1471" s="53"/>
      <c r="K1471" s="53"/>
      <c r="L1471" s="53"/>
    </row>
    <row r="1472" spans="1:12" ht="16" ns3:dyDescent="0.2">
      <c r="A1472" s="1" t="s">
        <v>10</v>
      </c>
      <c r="B1472" s="53"/>
      <c r="C1472" s="53"/>
      <c r="D1472" s="53"/>
      <c r="E1472" s="53"/>
      <c r="F1472" s="53"/>
      <c r="H1472" s="53"/>
      <c r="I1472" s="53"/>
      <c r="J1472" s="53"/>
      <c r="K1472" s="53"/>
      <c r="L1472" s="53"/>
    </row>
    <row r="1473" spans="1:12" ns3:dyDescent="0.2">
      <c r="A1473" s="53" t="s">
        <v>11</v>
      </c>
      <c r="B1473" s="53" t="s">
        <v>12</v>
      </c>
      <c r="C1473" s="53" t="s">
        <v>1</v>
      </c>
      <c r="D1473" s="53" t="s">
        <v>6</v>
      </c>
      <c r="E1473" s="53" t="s">
        <v>13</v>
      </c>
      <c r="F1473" s="53" t="s">
        <v>4</v>
      </c>
      <c r="G1473" s="50" t="s">
        <v>9</v>
      </c>
      <c r="H1473" s="53" t="s">
        <v>3</v>
      </c>
      <c r="I1473" s="53"/>
      <c r="J1473" s="53"/>
      <c r="K1473" s="53"/>
    </row>
    <row r="1474" spans="1:12" ns3:dyDescent="0.2">
      <c r="A1474" s="53" t="str">
        <f>B1466</f>
        <v>heat, from on-site industrial gas-fired CHP</v>
      </c>
      <c r="B1474" s="53">
        <v>1</v>
      </c>
      <c r="C1474" s="53" t="str">
        <f>B1467</f>
        <v>CH</v>
      </c>
      <c r="D1474" s="53" t="str">
        <f>B1471</f>
        <v>megajoule</v>
      </c>
      <c r="E1474" s="53"/>
      <c r="F1474" s="53" t="s">
        <v>15</v>
      </c>
      <c r="H1474" s="53" t="str">
        <f>B1469</f>
        <v>heat</v>
      </c>
      <c r="I1474" s="53"/>
      <c r="J1474" s="53"/>
      <c r="K1474" s="53"/>
      <c r="L1474" s="53"/>
    </row>
    <row r="1475" spans="1:12" ns3:dyDescent="0.2">
      <c r="A1475" s="53" t="s">
        <v>305</v>
      </c>
      <c r="B1475">
        <f>1/(0.0095*36)</f>
        <v>2.9239766081871346</v>
      </c>
      <c r="C1475" t="s">
        <v>104</v>
      </c>
      <c r="D1475" t="s">
        <v>17</v>
      </c>
      <c r="F1475" t="s">
        <v>18</v>
      </c>
      <c r="H1475" t="s">
        <v>187</v>
      </c>
    </row>
    <row r="1476" spans="1:12" ns3:dyDescent="0.2">
      <c r="B1476"/>
    </row>
    <row r="1477" spans="1:12" ht="16" ns3:dyDescent="0.2">
      <c r="A1477" s="1" t="s">
        <v>0</v>
      </c>
      <c r="B1477" s="1" t="s">
        <v>306</v>
      </c>
      <c r="C1477" s="53"/>
      <c r="D1477" s="53"/>
      <c r="E1477" s="53"/>
      <c r="F1477" s="53"/>
      <c r="H1477" s="53"/>
    </row>
    <row r="1478" spans="1:12" ns3:dyDescent="0.2">
      <c r="A1478" s="53" t="s">
        <v>1</v>
      </c>
      <c r="B1478" s="53" t="s">
        <v>104</v>
      </c>
      <c r="C1478" s="53"/>
      <c r="D1478" s="53"/>
      <c r="E1478" s="53"/>
      <c r="F1478" s="53"/>
      <c r="H1478" s="53"/>
      <c r="I1478" s="53"/>
      <c r="J1478" s="53"/>
      <c r="K1478" s="53"/>
      <c r="L1478" s="53"/>
    </row>
    <row r="1479" spans="1:12" ns3:dyDescent="0.2">
      <c r="A1479" s="53" t="s">
        <v>2</v>
      </c>
      <c r="B1479" s="53">
        <v>1</v>
      </c>
      <c r="C1479" s="53"/>
      <c r="D1479" s="53"/>
      <c r="E1479" s="53"/>
      <c r="F1479" s="53"/>
      <c r="H1479" s="53"/>
      <c r="I1479" s="53"/>
      <c r="J1479" s="53"/>
      <c r="K1479" s="53"/>
      <c r="L1479" s="53"/>
    </row>
    <row r="1480" spans="1:12" ns3:dyDescent="0.2">
      <c r="A1480" s="53" t="s">
        <v>3</v>
      </c>
      <c r="B1480" s="53" t="s">
        <v>285</v>
      </c>
      <c r="C1480" s="53"/>
      <c r="D1480" s="53"/>
      <c r="E1480" s="53"/>
      <c r="F1480" s="53"/>
      <c r="H1480" s="53"/>
      <c r="I1480" s="53"/>
      <c r="J1480" s="53"/>
    </row>
    <row r="1481" spans="1:12" ns3:dyDescent="0.2">
      <c r="A1481" s="53" t="s">
        <v>4</v>
      </c>
      <c r="B1481" s="53" t="s">
        <v>5</v>
      </c>
      <c r="C1481" s="53"/>
      <c r="D1481" s="53"/>
      <c r="E1481" s="53"/>
      <c r="F1481" s="53"/>
      <c r="H1481" s="53"/>
      <c r="I1481" s="53"/>
      <c r="J1481" s="53"/>
      <c r="K1481" s="53"/>
      <c r="L1481" s="53"/>
    </row>
    <row r="1482" spans="1:12" ns3:dyDescent="0.2">
      <c r="A1482" s="53" t="s">
        <v>6</v>
      </c>
      <c r="B1482" s="53" t="s">
        <v>17</v>
      </c>
      <c r="C1482" s="53"/>
      <c r="D1482" s="53"/>
      <c r="E1482" s="53"/>
      <c r="F1482" s="53"/>
      <c r="H1482" s="53"/>
      <c r="I1482" s="53"/>
      <c r="J1482" s="53"/>
      <c r="K1482" s="53"/>
      <c r="L1482" s="53"/>
    </row>
    <row r="1483" spans="1:12" ht="16" ns3:dyDescent="0.2">
      <c r="A1483" s="1" t="s">
        <v>10</v>
      </c>
      <c r="B1483" s="53"/>
      <c r="C1483" s="53"/>
      <c r="D1483" s="53"/>
      <c r="E1483" s="53"/>
      <c r="F1483" s="53"/>
      <c r="H1483" s="53"/>
      <c r="I1483" s="53"/>
      <c r="J1483" s="53"/>
      <c r="K1483" s="53"/>
      <c r="L1483" s="53"/>
    </row>
    <row r="1484" spans="1:12" ns3:dyDescent="0.2">
      <c r="A1484" s="53" t="s">
        <v>11</v>
      </c>
      <c r="B1484" s="53" t="s">
        <v>12</v>
      </c>
      <c r="C1484" s="53" t="s">
        <v>1</v>
      </c>
      <c r="D1484" s="53" t="s">
        <v>6</v>
      </c>
      <c r="E1484" s="53" t="s">
        <v>13</v>
      </c>
      <c r="F1484" s="53" t="s">
        <v>4</v>
      </c>
      <c r="G1484" s="50" t="s">
        <v>9</v>
      </c>
      <c r="H1484" s="53" t="s">
        <v>3</v>
      </c>
      <c r="I1484" s="53"/>
      <c r="J1484" s="53"/>
      <c r="K1484" s="53"/>
    </row>
    <row r="1485" spans="1:12" ns3:dyDescent="0.2">
      <c r="A1485" s="53" t="str">
        <f>B1477</f>
        <v>heat, from on-site industrial gas-fired CHP with CCS</v>
      </c>
      <c r="B1485" s="53">
        <v>1</v>
      </c>
      <c r="C1485" s="53" t="str">
        <f>B1478</f>
        <v>CH</v>
      </c>
      <c r="D1485" s="53" t="str">
        <f>B1482</f>
        <v>megajoule</v>
      </c>
      <c r="E1485" s="53"/>
      <c r="F1485" s="53" t="s">
        <v>15</v>
      </c>
      <c r="H1485" s="53" t="str">
        <f>B1480</f>
        <v>heat</v>
      </c>
      <c r="I1485" s="53"/>
      <c r="J1485" s="53"/>
      <c r="K1485" s="53"/>
      <c r="L1485" s="53"/>
    </row>
    <row r="1486" spans="1:12" ns3:dyDescent="0.2">
      <c r="A1486" s="53" t="s">
        <v>307</v>
      </c>
      <c r="B1486">
        <f>1/(0.011726*1.08*36)</f>
        <v>2.1934303777122204</v>
      </c>
      <c r="C1486" t="s">
        <v>103</v>
      </c>
      <c r="D1486" t="s">
        <v>17</v>
      </c>
      <c r="F1486" t="s">
        <v>18</v>
      </c>
      <c r="H1486" t="s">
        <v>187</v>
      </c>
    </row>
    <row r="1487" spans="1:12" ns3:dyDescent="0.2">
      <c r="B1487"/>
    </row>
    <row r="1488" spans="1:12" ht="16" ns3:dyDescent="0.2">
      <c r="A1488" s="1" t="s">
        <v>0</v>
      </c>
      <c r="B1488" s="1" t="s">
        <v>308</v>
      </c>
      <c r="C1488" s="53"/>
      <c r="D1488" s="53"/>
      <c r="E1488" s="53"/>
      <c r="F1488" s="53"/>
      <c r="H1488" s="53"/>
    </row>
    <row r="1489" spans="1:12" ns3:dyDescent="0.2">
      <c r="A1489" s="53" t="s">
        <v>1</v>
      </c>
      <c r="B1489" s="53" t="s">
        <v>104</v>
      </c>
      <c r="C1489" s="53"/>
      <c r="D1489" s="53"/>
      <c r="E1489" s="53"/>
      <c r="F1489" s="53"/>
      <c r="H1489" s="53"/>
      <c r="I1489" s="53"/>
      <c r="J1489" s="53"/>
      <c r="K1489" s="53"/>
      <c r="L1489" s="53"/>
    </row>
    <row r="1490" spans="1:12" ns3:dyDescent="0.2">
      <c r="A1490" s="53" t="s">
        <v>2</v>
      </c>
      <c r="B1490" s="53">
        <v>1</v>
      </c>
      <c r="C1490" s="53"/>
      <c r="D1490" s="53"/>
      <c r="E1490" s="53"/>
      <c r="F1490" s="53"/>
      <c r="H1490" s="53"/>
      <c r="I1490" s="53"/>
      <c r="J1490" s="53"/>
      <c r="K1490" s="53"/>
      <c r="L1490" s="53"/>
    </row>
    <row r="1491" spans="1:12" ns3:dyDescent="0.2">
      <c r="A1491" s="53" t="s">
        <v>3</v>
      </c>
      <c r="B1491" s="53" t="s">
        <v>285</v>
      </c>
      <c r="C1491" s="53"/>
      <c r="D1491" s="53"/>
      <c r="E1491" s="53"/>
      <c r="F1491" s="53"/>
      <c r="H1491" s="53"/>
      <c r="I1491" s="53"/>
      <c r="J1491" s="53"/>
    </row>
    <row r="1492" spans="1:12" ns3:dyDescent="0.2">
      <c r="A1492" s="53" t="s">
        <v>4</v>
      </c>
      <c r="B1492" s="53" t="s">
        <v>5</v>
      </c>
      <c r="C1492" s="53"/>
      <c r="D1492" s="53"/>
      <c r="E1492" s="53"/>
      <c r="F1492" s="53"/>
      <c r="H1492" s="53"/>
      <c r="I1492" s="53"/>
      <c r="J1492" s="53"/>
      <c r="K1492" s="53"/>
      <c r="L1492" s="53"/>
    </row>
    <row r="1493" spans="1:12" ns3:dyDescent="0.2">
      <c r="A1493" s="53" t="s">
        <v>6</v>
      </c>
      <c r="B1493" s="53" t="s">
        <v>17</v>
      </c>
      <c r="C1493" s="53"/>
      <c r="D1493" s="53"/>
      <c r="E1493" s="53"/>
      <c r="F1493" s="53"/>
      <c r="H1493" s="53"/>
      <c r="I1493" s="53"/>
      <c r="J1493" s="53"/>
      <c r="K1493" s="53"/>
      <c r="L1493" s="53"/>
    </row>
    <row r="1494" spans="1:12" ht="16" ns3:dyDescent="0.2">
      <c r="A1494" s="1" t="s">
        <v>10</v>
      </c>
      <c r="B1494" s="53"/>
      <c r="C1494" s="53"/>
      <c r="D1494" s="53"/>
      <c r="E1494" s="53"/>
      <c r="F1494" s="53"/>
      <c r="H1494" s="53"/>
      <c r="I1494" s="53"/>
      <c r="J1494" s="53"/>
      <c r="K1494" s="53"/>
      <c r="L1494" s="53"/>
    </row>
    <row r="1495" spans="1:12" ns3:dyDescent="0.2">
      <c r="A1495" s="53" t="s">
        <v>11</v>
      </c>
      <c r="B1495" s="53" t="s">
        <v>12</v>
      </c>
      <c r="C1495" s="53" t="s">
        <v>1</v>
      </c>
      <c r="D1495" s="53" t="s">
        <v>6</v>
      </c>
      <c r="E1495" s="53" t="s">
        <v>13</v>
      </c>
      <c r="F1495" s="53" t="s">
        <v>4</v>
      </c>
      <c r="G1495" s="50" t="s">
        <v>9</v>
      </c>
      <c r="H1495" s="53" t="s">
        <v>3</v>
      </c>
      <c r="I1495" s="53"/>
      <c r="J1495" s="53"/>
      <c r="K1495" s="53"/>
    </row>
    <row r="1496" spans="1:12" ns3:dyDescent="0.2">
      <c r="A1496" s="53" t="str">
        <f>B1488</f>
        <v>heat, from on-site industrial fuel cell CHP</v>
      </c>
      <c r="B1496" s="53">
        <v>1</v>
      </c>
      <c r="C1496" s="53" t="str">
        <f>B1489</f>
        <v>CH</v>
      </c>
      <c r="D1496" s="53" t="str">
        <f>B1493</f>
        <v>megajoule</v>
      </c>
      <c r="E1496" s="53"/>
      <c r="F1496" s="53" t="s">
        <v>15</v>
      </c>
      <c r="H1496" s="53" t="str">
        <f>B1491</f>
        <v>heat</v>
      </c>
      <c r="I1496" s="53"/>
      <c r="J1496" s="53"/>
      <c r="K1496" s="53"/>
      <c r="L1496" s="53"/>
    </row>
    <row r="1497" spans="1:12" ns3:dyDescent="0.2">
      <c r="A1497" s="53" t="s">
        <v>305</v>
      </c>
      <c r="B1497">
        <f>1/(0.0095*36)</f>
        <v>2.9239766081871346</v>
      </c>
      <c r="C1497" t="s">
        <v>104</v>
      </c>
      <c r="D1497" t="s">
        <v>17</v>
      </c>
      <c r="F1497" t="s">
        <v>18</v>
      </c>
      <c r="H1497" t="s">
        <v>187</v>
      </c>
    </row>
    <row r="1498" spans="1:12" ns3:dyDescent="0.2">
      <c r="B1498"/>
    </row>
    <row r="1499" spans="1:12" ht="16" ns3:dyDescent="0.2">
      <c r="A1499" s="1" t="s">
        <v>0</v>
      </c>
      <c r="B1499" s="1" t="s">
        <v>309</v>
      </c>
      <c r="C1499" s="53"/>
      <c r="D1499" s="53"/>
      <c r="E1499" s="53"/>
      <c r="F1499" s="53"/>
      <c r="H1499" s="53"/>
    </row>
    <row r="1500" spans="1:12" ns3:dyDescent="0.2">
      <c r="A1500" s="53" t="s">
        <v>1</v>
      </c>
      <c r="B1500" s="53" t="s">
        <v>104</v>
      </c>
      <c r="C1500" s="53"/>
      <c r="D1500" s="53"/>
      <c r="E1500" s="53"/>
      <c r="F1500" s="53"/>
      <c r="H1500" s="53"/>
      <c r="I1500" s="53"/>
      <c r="J1500" s="53"/>
      <c r="K1500" s="53"/>
      <c r="L1500" s="53"/>
    </row>
    <row r="1501" spans="1:12" ns3:dyDescent="0.2">
      <c r="A1501" s="53" t="s">
        <v>2</v>
      </c>
      <c r="B1501" s="53">
        <v>1</v>
      </c>
      <c r="C1501" s="53"/>
      <c r="D1501" s="53"/>
      <c r="E1501" s="53"/>
      <c r="F1501" s="53"/>
      <c r="H1501" s="53"/>
      <c r="I1501" s="53"/>
      <c r="J1501" s="53"/>
      <c r="K1501" s="53"/>
      <c r="L1501" s="53"/>
    </row>
    <row r="1502" spans="1:12" ns3:dyDescent="0.2">
      <c r="A1502" s="53" t="s">
        <v>3</v>
      </c>
      <c r="B1502" s="53" t="s">
        <v>285</v>
      </c>
      <c r="C1502" s="53"/>
      <c r="D1502" s="53"/>
      <c r="E1502" s="53"/>
      <c r="F1502" s="53"/>
      <c r="H1502" s="53"/>
      <c r="I1502" s="53"/>
      <c r="J1502" s="53"/>
    </row>
    <row r="1503" spans="1:12" ns3:dyDescent="0.2">
      <c r="A1503" s="53" t="s">
        <v>4</v>
      </c>
      <c r="B1503" s="53" t="s">
        <v>5</v>
      </c>
      <c r="C1503" s="53"/>
      <c r="D1503" s="53"/>
      <c r="E1503" s="53"/>
      <c r="F1503" s="53"/>
      <c r="H1503" s="53"/>
      <c r="I1503" s="53"/>
      <c r="J1503" s="53"/>
      <c r="K1503" s="53"/>
      <c r="L1503" s="53"/>
    </row>
    <row r="1504" spans="1:12" ns3:dyDescent="0.2">
      <c r="A1504" s="53" t="s">
        <v>6</v>
      </c>
      <c r="B1504" s="53" t="s">
        <v>17</v>
      </c>
      <c r="C1504" s="53"/>
      <c r="D1504" s="53"/>
      <c r="E1504" s="53"/>
      <c r="F1504" s="53"/>
      <c r="H1504" s="53"/>
      <c r="I1504" s="53"/>
      <c r="J1504" s="53"/>
      <c r="K1504" s="53"/>
      <c r="L1504" s="53"/>
    </row>
    <row r="1505" spans="1:12" ht="16" ns3:dyDescent="0.2">
      <c r="A1505" s="1" t="s">
        <v>10</v>
      </c>
      <c r="B1505" s="53"/>
      <c r="C1505" s="53"/>
      <c r="D1505" s="53"/>
      <c r="E1505" s="53"/>
      <c r="F1505" s="53"/>
      <c r="H1505" s="53"/>
      <c r="I1505" s="53"/>
      <c r="J1505" s="53"/>
      <c r="K1505" s="53"/>
      <c r="L1505" s="53"/>
    </row>
    <row r="1506" spans="1:12" ns3:dyDescent="0.2">
      <c r="A1506" s="53" t="s">
        <v>11</v>
      </c>
      <c r="B1506" s="53" t="s">
        <v>12</v>
      </c>
      <c r="C1506" s="53" t="s">
        <v>1</v>
      </c>
      <c r="D1506" s="53" t="s">
        <v>6</v>
      </c>
      <c r="E1506" s="53" t="s">
        <v>13</v>
      </c>
      <c r="F1506" s="53" t="s">
        <v>4</v>
      </c>
      <c r="G1506" s="50" t="s">
        <v>9</v>
      </c>
      <c r="H1506" s="53" t="s">
        <v>3</v>
      </c>
      <c r="I1506" s="53"/>
      <c r="J1506" s="53"/>
      <c r="K1506" s="53"/>
    </row>
    <row r="1507" spans="1:12" ns3:dyDescent="0.2">
      <c r="A1507" s="53" t="str">
        <f>B1499</f>
        <v>heat, from on-site industrial non-renewable waste-fired CHP</v>
      </c>
      <c r="B1507" s="53">
        <v>1</v>
      </c>
      <c r="C1507" s="53" t="str">
        <f>B1500</f>
        <v>CH</v>
      </c>
      <c r="D1507" s="53" t="str">
        <f>B1504</f>
        <v>megajoule</v>
      </c>
      <c r="E1507" s="53"/>
      <c r="F1507" s="53" t="s">
        <v>15</v>
      </c>
      <c r="H1507" s="53" t="str">
        <f>B1502</f>
        <v>heat</v>
      </c>
      <c r="I1507" s="53"/>
      <c r="J1507" s="53"/>
      <c r="K1507" s="53"/>
      <c r="L1507" s="53"/>
    </row>
    <row r="1508" spans="1:12" ns3:dyDescent="0.2">
      <c r="A1508" s="53" t="s">
        <v>123</v>
      </c>
      <c r="B1508">
        <f>1/6.1</f>
        <v>0.16393442622950821</v>
      </c>
      <c r="C1508" t="s">
        <v>104</v>
      </c>
      <c r="D1508" t="s">
        <v>17</v>
      </c>
      <c r="F1508" t="s">
        <v>18</v>
      </c>
      <c r="H1508" t="s">
        <v>124</v>
      </c>
    </row>
    <row r="1509" spans="1:12" ns3:dyDescent="0.2">
      <c r="B1509"/>
    </row>
    <row r="1510" spans="1:12" ht="16" ns3:dyDescent="0.2">
      <c r="A1510" s="1" t="s">
        <v>0</v>
      </c>
      <c r="B1510" s="1" t="s">
        <v>310</v>
      </c>
      <c r="C1510" s="53"/>
      <c r="D1510" s="53"/>
      <c r="E1510" s="53"/>
      <c r="F1510" s="53"/>
      <c r="H1510" s="53"/>
    </row>
    <row r="1511" spans="1:12" ns3:dyDescent="0.2">
      <c r="A1511" s="53" t="s">
        <v>1</v>
      </c>
      <c r="B1511" s="53" t="s">
        <v>104</v>
      </c>
      <c r="C1511" s="53"/>
      <c r="D1511" s="53"/>
      <c r="E1511" s="53"/>
      <c r="F1511" s="53"/>
      <c r="H1511" s="53"/>
      <c r="I1511" s="53"/>
      <c r="J1511" s="53"/>
      <c r="K1511" s="53"/>
      <c r="L1511" s="53"/>
    </row>
    <row r="1512" spans="1:12" ns3:dyDescent="0.2">
      <c r="A1512" s="53" t="s">
        <v>2</v>
      </c>
      <c r="B1512" s="53">
        <v>1</v>
      </c>
      <c r="C1512" s="53"/>
      <c r="D1512" s="53"/>
      <c r="E1512" s="53"/>
      <c r="F1512" s="53"/>
      <c r="H1512" s="53"/>
      <c r="I1512" s="53"/>
      <c r="J1512" s="53"/>
      <c r="K1512" s="53"/>
      <c r="L1512" s="53"/>
    </row>
    <row r="1513" spans="1:12" ns3:dyDescent="0.2">
      <c r="A1513" s="53" t="s">
        <v>3</v>
      </c>
      <c r="B1513" s="53" t="s">
        <v>285</v>
      </c>
      <c r="C1513" s="53"/>
      <c r="D1513" s="53"/>
      <c r="E1513" s="53"/>
      <c r="F1513" s="53"/>
      <c r="H1513" s="53"/>
      <c r="I1513" s="53"/>
      <c r="J1513" s="53"/>
    </row>
    <row r="1514" spans="1:12" ns3:dyDescent="0.2">
      <c r="A1514" s="53" t="s">
        <v>4</v>
      </c>
      <c r="B1514" s="53" t="s">
        <v>5</v>
      </c>
      <c r="C1514" s="53"/>
      <c r="D1514" s="53"/>
      <c r="E1514" s="53"/>
      <c r="F1514" s="53"/>
      <c r="H1514" s="53"/>
      <c r="I1514" s="53"/>
      <c r="J1514" s="53"/>
      <c r="K1514" s="53"/>
      <c r="L1514" s="53"/>
    </row>
    <row r="1515" spans="1:12" ns3:dyDescent="0.2">
      <c r="A1515" s="53" t="s">
        <v>6</v>
      </c>
      <c r="B1515" s="53" t="s">
        <v>17</v>
      </c>
      <c r="C1515" s="53"/>
      <c r="D1515" s="53"/>
      <c r="E1515" s="53"/>
      <c r="F1515" s="53"/>
      <c r="H1515" s="53"/>
      <c r="I1515" s="53"/>
      <c r="J1515" s="53"/>
      <c r="K1515" s="53"/>
      <c r="L1515" s="53"/>
    </row>
    <row r="1516" spans="1:12" ht="16" ns3:dyDescent="0.2">
      <c r="A1516" s="1" t="s">
        <v>10</v>
      </c>
      <c r="B1516" s="53"/>
      <c r="C1516" s="53"/>
      <c r="D1516" s="53"/>
      <c r="E1516" s="53"/>
      <c r="F1516" s="53"/>
      <c r="H1516" s="53"/>
      <c r="I1516" s="53"/>
      <c r="J1516" s="53"/>
      <c r="K1516" s="53"/>
      <c r="L1516" s="53"/>
    </row>
    <row r="1517" spans="1:12" ns3:dyDescent="0.2">
      <c r="A1517" s="53" t="s">
        <v>11</v>
      </c>
      <c r="B1517" s="53" t="s">
        <v>12</v>
      </c>
      <c r="C1517" s="53" t="s">
        <v>1</v>
      </c>
      <c r="D1517" s="53" t="s">
        <v>6</v>
      </c>
      <c r="E1517" s="53" t="s">
        <v>13</v>
      </c>
      <c r="F1517" s="53" t="s">
        <v>4</v>
      </c>
      <c r="G1517" s="50" t="s">
        <v>9</v>
      </c>
      <c r="H1517" s="53" t="s">
        <v>3</v>
      </c>
      <c r="I1517" s="53"/>
      <c r="J1517" s="53"/>
      <c r="K1517" s="53"/>
    </row>
    <row r="1518" spans="1:12" ns3:dyDescent="0.2">
      <c r="A1518" s="53" t="str">
        <f>B1510</f>
        <v>heat, from on-site industrial non-renewable waste-fired CHP with CCS</v>
      </c>
      <c r="B1518" s="53">
        <v>1</v>
      </c>
      <c r="C1518" s="53" t="str">
        <f>B1511</f>
        <v>CH</v>
      </c>
      <c r="D1518" s="53" t="str">
        <f>B1515</f>
        <v>megajoule</v>
      </c>
      <c r="E1518" s="53"/>
      <c r="F1518" s="53" t="s">
        <v>15</v>
      </c>
      <c r="H1518" s="53" t="str">
        <f>B1513</f>
        <v>heat</v>
      </c>
      <c r="I1518" s="53"/>
      <c r="J1518" s="53"/>
      <c r="K1518" s="53"/>
      <c r="L1518" s="53"/>
    </row>
    <row r="1519" spans="1:12" ns3:dyDescent="0.2">
      <c r="A1519" s="53" t="s">
        <v>141</v>
      </c>
      <c r="B1519">
        <f>1/6.7</f>
        <v>0.14925373134328357</v>
      </c>
      <c r="C1519" t="s">
        <v>104</v>
      </c>
      <c r="D1519" t="s">
        <v>17</v>
      </c>
      <c r="F1519" t="s">
        <v>18</v>
      </c>
      <c r="H1519" t="s">
        <v>143</v>
      </c>
    </row>
    <row r="1520" spans="1:12" ns3:dyDescent="0.2">
      <c r="B1520"/>
    </row>
    <row r="1521" spans="1:12" ht="16" ns3:dyDescent="0.2">
      <c r="A1521" s="1" t="s">
        <v>0</v>
      </c>
      <c r="B1521" s="1" t="s">
        <v>319</v>
      </c>
      <c r="C1521" s="53"/>
      <c r="D1521" s="53"/>
      <c r="E1521" s="53"/>
      <c r="F1521" s="53"/>
      <c r="H1521" s="53"/>
    </row>
    <row r="1522" spans="1:12" ns3:dyDescent="0.2">
      <c r="A1522" s="53" t="s">
        <v>1</v>
      </c>
      <c r="B1522" s="53" t="s">
        <v>104</v>
      </c>
      <c r="C1522" s="53"/>
      <c r="D1522" s="53"/>
      <c r="E1522" s="53"/>
      <c r="F1522" s="53"/>
      <c r="H1522" s="53"/>
      <c r="I1522" s="53"/>
      <c r="J1522" s="53"/>
      <c r="K1522" s="53"/>
      <c r="L1522" s="53"/>
    </row>
    <row r="1523" spans="1:12" ns3:dyDescent="0.2">
      <c r="A1523" s="53" t="s">
        <v>2</v>
      </c>
      <c r="B1523" s="53">
        <v>1</v>
      </c>
      <c r="C1523" s="53"/>
      <c r="D1523" s="53"/>
      <c r="E1523" s="53"/>
      <c r="F1523" s="53"/>
      <c r="H1523" s="53"/>
      <c r="I1523" s="53"/>
      <c r="J1523" s="53"/>
      <c r="K1523" s="53"/>
      <c r="L1523" s="53"/>
    </row>
    <row r="1524" spans="1:12" ns3:dyDescent="0.2">
      <c r="A1524" s="53" t="s">
        <v>3</v>
      </c>
      <c r="B1524" s="53" t="s">
        <v>285</v>
      </c>
      <c r="C1524" s="53"/>
      <c r="D1524" s="53"/>
      <c r="E1524" s="53"/>
      <c r="F1524" s="53"/>
      <c r="H1524" s="53"/>
      <c r="I1524" s="53"/>
      <c r="J1524" s="53"/>
    </row>
    <row r="1525" spans="1:12" ns3:dyDescent="0.2">
      <c r="A1525" s="53" t="s">
        <v>4</v>
      </c>
      <c r="B1525" s="53" t="s">
        <v>5</v>
      </c>
      <c r="C1525" s="53"/>
      <c r="D1525" s="53"/>
      <c r="E1525" s="53"/>
      <c r="F1525" s="53"/>
      <c r="H1525" s="53"/>
      <c r="I1525" s="53"/>
      <c r="J1525" s="53"/>
      <c r="K1525" s="53"/>
      <c r="L1525" s="53"/>
    </row>
    <row r="1526" spans="1:12" ns3:dyDescent="0.2">
      <c r="A1526" s="53" t="s">
        <v>6</v>
      </c>
      <c r="B1526" s="53" t="s">
        <v>17</v>
      </c>
      <c r="C1526" s="53"/>
      <c r="D1526" s="53"/>
      <c r="E1526" s="53"/>
      <c r="F1526" s="53"/>
      <c r="H1526" s="53"/>
      <c r="I1526" s="53"/>
      <c r="J1526" s="53"/>
      <c r="K1526" s="53"/>
      <c r="L1526" s="53"/>
    </row>
    <row r="1527" spans="1:12" ht="16" ns3:dyDescent="0.2">
      <c r="A1527" s="1" t="s">
        <v>10</v>
      </c>
      <c r="B1527" s="53"/>
      <c r="C1527" s="53"/>
      <c r="D1527" s="53"/>
      <c r="E1527" s="53"/>
      <c r="F1527" s="53"/>
      <c r="H1527" s="53"/>
      <c r="I1527" s="53"/>
      <c r="J1527" s="53"/>
      <c r="K1527" s="53"/>
      <c r="L1527" s="53"/>
    </row>
    <row r="1528" spans="1:12" ns3:dyDescent="0.2">
      <c r="A1528" s="53" t="s">
        <v>11</v>
      </c>
      <c r="B1528" s="53" t="s">
        <v>12</v>
      </c>
      <c r="C1528" s="53" t="s">
        <v>1</v>
      </c>
      <c r="D1528" s="53" t="s">
        <v>6</v>
      </c>
      <c r="E1528" s="53" t="s">
        <v>13</v>
      </c>
      <c r="F1528" s="53" t="s">
        <v>4</v>
      </c>
      <c r="G1528" s="50" t="s">
        <v>9</v>
      </c>
      <c r="H1528" s="53" t="s">
        <v>3</v>
      </c>
      <c r="I1528" s="53"/>
      <c r="J1528" s="53"/>
      <c r="K1528" s="53"/>
    </row>
    <row r="1529" spans="1:12" ns3:dyDescent="0.2">
      <c r="A1529" s="53" t="str">
        <f>B1521</f>
        <v>heat, from on-site industrial wood-fired CHP</v>
      </c>
      <c r="B1529" s="53">
        <v>1</v>
      </c>
      <c r="C1529" s="53" t="str">
        <f>B1522</f>
        <v>CH</v>
      </c>
      <c r="D1529" s="53" t="str">
        <f>B1526</f>
        <v>megajoule</v>
      </c>
      <c r="E1529" s="53"/>
      <c r="F1529" s="53" t="s">
        <v>15</v>
      </c>
      <c r="H1529" s="53" t="str">
        <f>B1524</f>
        <v>heat</v>
      </c>
      <c r="I1529" s="53"/>
      <c r="J1529" s="53"/>
      <c r="K1529" s="53"/>
      <c r="L1529" s="53"/>
    </row>
    <row r="1530" spans="1:12" ns3:dyDescent="0.2">
      <c r="A1530" s="53" t="s">
        <v>327</v>
      </c>
      <c r="B1530">
        <f>1/(0.0396618169378429*19.1)</f>
        <v>1.3200610810256006</v>
      </c>
      <c r="C1530" t="s">
        <v>104</v>
      </c>
      <c r="D1530" t="s">
        <v>17</v>
      </c>
      <c r="F1530" t="s">
        <v>18</v>
      </c>
      <c r="H1530" t="s">
        <v>295</v>
      </c>
    </row>
    <row r="1532">
      <c r="A1532" t="inlineStr">
        <is>
          <t>Activity</t>
        </is>
      </c>
      <c r="B1532" t="inlineStr">
        <is>
          <t>heat, from on-site industrial wood-fired CHP with CCS</t>
        </is>
      </c>
    </row>
    <row r="1533">
      <c r="A1533" t="inlineStr">
        <is>
          <t>location</t>
        </is>
      </c>
      <c r="B1533" t="inlineStr">
        <is>
          <t>CH</t>
        </is>
      </c>
    </row>
    <row r="1534">
      <c r="A1534" t="inlineStr">
        <is>
          <t>production amount</t>
        </is>
      </c>
      <c r="B1534">
        <v>1</v>
      </c>
    </row>
    <row r="1535">
      <c r="A1535" t="inlineStr">
        <is>
          <t>reference product</t>
        </is>
      </c>
      <c r="B1535" t="inlineStr">
        <is>
          <t>heat</t>
        </is>
      </c>
    </row>
    <row r="1536">
      <c r="A1536" t="inlineStr">
        <is>
          <t>type</t>
        </is>
      </c>
      <c r="B1536" t="inlineStr">
        <is>
          <t>process</t>
        </is>
      </c>
    </row>
    <row r="1537">
      <c r="A1537" t="inlineStr">
        <is>
          <t>unit</t>
        </is>
      </c>
      <c r="B1537" t="inlineStr">
        <is>
          <t>megajoule</t>
        </is>
      </c>
    </row>
    <row r="1538">
      <c r="A1538" t="inlineStr">
        <is>
          <t>Swiss heat provider routing</t>
        </is>
      </c>
      <c r="B1538" t="inlineStr">
        <is>
          <t>[{"wrapper": "heat, from on-site industrial wood-fired CHP with CCS", "wrapper_product": "heat", "supplier": "heat production, at co-generation wood-fired power plant, post, pipeline 200km, storage 1000m", "product": "heat, district or industrial, other than natural gas", "previous_location": "RER", "location": "CH", "amount": 1.2063716099324864, "unit": "megajoule"}]</t>
        </is>
      </c>
    </row>
    <row r="1539">
      <c r="A1539" t="inlineStr">
        <is>
          <t>Exchanges</t>
        </is>
      </c>
    </row>
    <row r="1540">
      <c r="A1540" t="inlineStr">
        <is>
          <t>name</t>
        </is>
      </c>
      <c r="B1540" t="inlineStr">
        <is>
          <t>amount</t>
        </is>
      </c>
      <c r="C1540" t="inlineStr">
        <is>
          <t>location</t>
        </is>
      </c>
      <c r="D1540" t="inlineStr">
        <is>
          <t>unit</t>
        </is>
      </c>
      <c r="E1540" t="inlineStr">
        <is>
          <t>categories</t>
        </is>
      </c>
      <c r="F1540" t="inlineStr">
        <is>
          <t>type</t>
        </is>
      </c>
      <c r="G1540" t="inlineStr">
        <is>
          <t>reference product</t>
        </is>
      </c>
      <c r="H1540" t="inlineStr">
        <is>
          <t>comment</t>
        </is>
      </c>
      <c r="I1540" t="inlineStr">
        <is>
          <t>uncertainty type</t>
        </is>
      </c>
    </row>
    <row r="1541">
      <c r="A1541" t="inlineStr">
        <is>
          <t>heat, from on-site industrial wood-fired CHP with CCS</t>
        </is>
      </c>
      <c r="B1541">
        <v>1</v>
      </c>
      <c r="C1541" t="inlineStr">
        <is>
          <t>CH</t>
        </is>
      </c>
      <c r="D1541" t="inlineStr">
        <is>
          <t>megajoule</t>
        </is>
      </c>
      <c r="F1541" t="inlineStr">
        <is>
          <t>production</t>
        </is>
      </c>
      <c r="G1541" t="inlineStr">
        <is>
          <t>heat</t>
        </is>
      </c>
    </row>
    <row r="1542">
      <c r="A1542" t="inlineStr">
        <is>
          <t>heat production, at co-generation wood-fired power plant, post, pipeline 200km, storage 1000m</t>
        </is>
      </c>
      <c r="B1542">
        <v>1.2063716099324864</v>
      </c>
      <c r="C1542" t="inlineStr">
        <is>
          <t>RER</t>
        </is>
      </c>
      <c r="D1542" t="inlineStr">
        <is>
          <t>megajoule</t>
        </is>
      </c>
      <c r="F1542" t="inlineStr">
        <is>
          <t>technosphere</t>
        </is>
      </c>
      <c r="G1542" t="inlineStr">
        <is>
          <t>heat, district or industrial, other than natural gas</t>
        </is>
      </c>
    </row>
    <row r="1543"/>
    <row r="1544" spans="1:12" ht="16" ns3:dyDescent="0.2">
      <c r="A1544" s="1" t="s">
        <v>0</v>
      </c>
      <c r="B1544" s="1" t="s">
        <v>322</v>
      </c>
      <c r="C1544" s="53"/>
      <c r="D1544" s="53"/>
      <c r="E1544" s="53"/>
      <c r="F1544" s="53"/>
      <c r="H1544" s="53"/>
    </row>
    <row r="1545" spans="1:12" ns3:dyDescent="0.2">
      <c r="A1545" s="53" t="s">
        <v>1</v>
      </c>
      <c r="B1545" s="53" t="s">
        <v>104</v>
      </c>
      <c r="C1545" s="53"/>
      <c r="D1545" s="53"/>
      <c r="E1545" s="53"/>
      <c r="F1545" s="53"/>
      <c r="H1545" s="53"/>
      <c r="I1545" s="53"/>
      <c r="J1545" s="53"/>
      <c r="K1545" s="53"/>
      <c r="L1545" s="53"/>
    </row>
    <row r="1546" spans="1:12" ns3:dyDescent="0.2">
      <c r="A1546" s="53" t="s">
        <v>2</v>
      </c>
      <c r="B1546" s="53">
        <v>1</v>
      </c>
      <c r="C1546" s="53"/>
      <c r="D1546" s="53"/>
      <c r="E1546" s="53"/>
      <c r="F1546" s="53"/>
      <c r="H1546" s="53"/>
      <c r="I1546" s="53"/>
      <c r="J1546" s="53"/>
      <c r="K1546" s="53"/>
      <c r="L1546" s="53"/>
    </row>
    <row r="1547" spans="1:12" ns3:dyDescent="0.2">
      <c r="A1547" s="53" t="s">
        <v>3</v>
      </c>
      <c r="B1547" s="53" t="s">
        <v>285</v>
      </c>
      <c r="C1547" s="53"/>
      <c r="D1547" s="53"/>
      <c r="E1547" s="53"/>
      <c r="F1547" s="53"/>
      <c r="H1547" s="53"/>
      <c r="I1547" s="53"/>
      <c r="J1547" s="53"/>
    </row>
    <row r="1548" spans="1:12" ns3:dyDescent="0.2">
      <c r="A1548" s="53" t="s">
        <v>4</v>
      </c>
      <c r="B1548" s="53" t="s">
        <v>5</v>
      </c>
      <c r="C1548" s="53"/>
      <c r="D1548" s="53"/>
      <c r="E1548" s="53"/>
      <c r="F1548" s="53"/>
      <c r="H1548" s="53"/>
      <c r="I1548" s="53"/>
      <c r="J1548" s="53"/>
      <c r="K1548" s="53"/>
      <c r="L1548" s="53"/>
    </row>
    <row r="1549" spans="1:12" ns3:dyDescent="0.2">
      <c r="A1549" s="53" t="s">
        <v>6</v>
      </c>
      <c r="B1549" s="53" t="s">
        <v>17</v>
      </c>
      <c r="C1549" s="53"/>
      <c r="D1549" s="53"/>
      <c r="E1549" s="53"/>
      <c r="F1549" s="53"/>
      <c r="H1549" s="53"/>
      <c r="I1549" s="53"/>
      <c r="J1549" s="53"/>
      <c r="K1549" s="53"/>
      <c r="L1549" s="53"/>
    </row>
    <row r="1550" spans="1:12" ht="16" ns3:dyDescent="0.2">
      <c r="A1550" s="1" t="s">
        <v>10</v>
      </c>
      <c r="B1550" s="53"/>
      <c r="C1550" s="53"/>
      <c r="D1550" s="53"/>
      <c r="E1550" s="53"/>
      <c r="F1550" s="53"/>
      <c r="H1550" s="53"/>
      <c r="I1550" s="53"/>
      <c r="J1550" s="53"/>
      <c r="K1550" s="53"/>
      <c r="L1550" s="53"/>
    </row>
    <row r="1551" spans="1:12" ns3:dyDescent="0.2">
      <c r="A1551" s="53" t="s">
        <v>11</v>
      </c>
      <c r="B1551" s="53" t="s">
        <v>12</v>
      </c>
      <c r="C1551" s="53" t="s">
        <v>1</v>
      </c>
      <c r="D1551" s="53" t="s">
        <v>6</v>
      </c>
      <c r="E1551" s="53" t="s">
        <v>13</v>
      </c>
      <c r="F1551" s="53" t="s">
        <v>4</v>
      </c>
      <c r="G1551" s="50" t="s">
        <v>9</v>
      </c>
      <c r="H1551" s="53" t="s">
        <v>3</v>
      </c>
      <c r="I1551" s="53"/>
      <c r="J1551" s="53"/>
      <c r="K1551" s="53"/>
    </row>
    <row r="1552" spans="1:12" ns3:dyDescent="0.2">
      <c r="A1552" s="53" t="str">
        <f>B1544</f>
        <v>heat, from on-site industrial hydrogen-fired CHP</v>
      </c>
      <c r="B1552" s="53">
        <v>1</v>
      </c>
      <c r="C1552" s="53" t="str">
        <f>B1545</f>
        <v>CH</v>
      </c>
      <c r="D1552" s="53" t="str">
        <f>B1549</f>
        <v>megajoule</v>
      </c>
      <c r="E1552" s="53"/>
      <c r="F1552" s="53" t="s">
        <v>15</v>
      </c>
      <c r="H1552" s="53" t="str">
        <f>B1547</f>
        <v>heat</v>
      </c>
      <c r="I1552" s="53"/>
      <c r="J1552" s="53"/>
      <c r="K1552" s="53"/>
      <c r="L1552" s="53"/>
    </row>
    <row r="1553" spans="1:12" ns3:dyDescent="0.2">
      <c r="A1553" s="53" t="s">
        <v>312</v>
      </c>
      <c r="B1553">
        <f>1/(0.00167*120)</f>
        <v>4.9900199600798407</v>
      </c>
      <c r="C1553" t="s">
        <v>103</v>
      </c>
      <c r="D1553" t="s">
        <v>17</v>
      </c>
      <c r="F1553" t="s">
        <v>18</v>
      </c>
      <c r="H1553" t="s">
        <v>313</v>
      </c>
    </row>
    <row r="1555" spans="1:12" ht="16" ns3:dyDescent="0.2">
      <c r="A1555" s="1" t="s">
        <v>0</v>
      </c>
      <c r="B1555" s="1" t="s">
        <v>314</v>
      </c>
      <c r="C1555" s="53"/>
      <c r="D1555" s="53"/>
      <c r="E1555" s="53"/>
      <c r="F1555" s="53"/>
      <c r="H1555" s="53"/>
    </row>
    <row r="1556" spans="1:12" ns3:dyDescent="0.2">
      <c r="A1556" s="53" t="s">
        <v>1</v>
      </c>
      <c r="B1556" s="53" t="s">
        <v>104</v>
      </c>
      <c r="C1556" s="53"/>
      <c r="D1556" s="53"/>
      <c r="E1556" s="53"/>
      <c r="F1556" s="53"/>
      <c r="H1556" s="53"/>
      <c r="I1556" s="53"/>
      <c r="J1556" s="53"/>
      <c r="K1556" s="53"/>
      <c r="L1556" s="53"/>
    </row>
    <row r="1557" spans="1:12" ns3:dyDescent="0.2">
      <c r="A1557" s="53" t="s">
        <v>2</v>
      </c>
      <c r="B1557" s="53">
        <v>1</v>
      </c>
      <c r="C1557" s="53"/>
      <c r="D1557" s="53"/>
      <c r="E1557" s="53"/>
      <c r="F1557" s="53"/>
      <c r="H1557" s="53"/>
      <c r="I1557" s="53"/>
      <c r="J1557" s="53"/>
      <c r="K1557" s="53"/>
      <c r="L1557" s="53"/>
    </row>
    <row r="1558" spans="1:12" ns3:dyDescent="0.2">
      <c r="A1558" s="53" t="s">
        <v>3</v>
      </c>
      <c r="B1558" s="53" t="s">
        <v>285</v>
      </c>
      <c r="C1558" s="53"/>
      <c r="D1558" s="53"/>
      <c r="E1558" s="53"/>
      <c r="F1558" s="53"/>
      <c r="H1558" s="53"/>
      <c r="I1558" s="53"/>
      <c r="J1558" s="53"/>
    </row>
    <row r="1559" spans="1:12" ns3:dyDescent="0.2">
      <c r="A1559" s="53" t="s">
        <v>4</v>
      </c>
      <c r="B1559" s="53" t="s">
        <v>5</v>
      </c>
      <c r="C1559" s="53"/>
      <c r="D1559" s="53"/>
      <c r="E1559" s="53"/>
      <c r="F1559" s="53"/>
      <c r="H1559" s="53"/>
      <c r="I1559" s="53"/>
      <c r="J1559" s="53"/>
      <c r="K1559" s="53"/>
      <c r="L1559" s="53"/>
    </row>
    <row r="1560" spans="1:12" ns3:dyDescent="0.2">
      <c r="A1560" s="53" t="s">
        <v>6</v>
      </c>
      <c r="B1560" s="53" t="s">
        <v>17</v>
      </c>
      <c r="C1560" s="53"/>
      <c r="D1560" s="53"/>
      <c r="E1560" s="53"/>
      <c r="F1560" s="53"/>
      <c r="H1560" s="53"/>
      <c r="I1560" s="53"/>
      <c r="J1560" s="53"/>
      <c r="K1560" s="53"/>
      <c r="L1560" s="53"/>
    </row>
    <row r="1561" spans="1:12" ht="16" ns3:dyDescent="0.2">
      <c r="A1561" s="1" t="s">
        <v>10</v>
      </c>
      <c r="B1561" s="53"/>
      <c r="C1561" s="53"/>
      <c r="D1561" s="53"/>
      <c r="E1561" s="53"/>
      <c r="F1561" s="53"/>
      <c r="H1561" s="53"/>
      <c r="I1561" s="53"/>
      <c r="J1561" s="53"/>
      <c r="K1561" s="53"/>
      <c r="L1561" s="53"/>
    </row>
    <row r="1562" spans="1:12" ns3:dyDescent="0.2">
      <c r="A1562" s="53" t="s">
        <v>11</v>
      </c>
      <c r="B1562" s="53" t="s">
        <v>12</v>
      </c>
      <c r="C1562" s="53" t="s">
        <v>1</v>
      </c>
      <c r="D1562" s="53" t="s">
        <v>6</v>
      </c>
      <c r="E1562" s="53" t="s">
        <v>13</v>
      </c>
      <c r="F1562" s="53" t="s">
        <v>4</v>
      </c>
      <c r="G1562" s="50" t="s">
        <v>9</v>
      </c>
      <c r="H1562" s="53" t="s">
        <v>3</v>
      </c>
      <c r="I1562" s="53"/>
      <c r="J1562" s="53"/>
      <c r="K1562" s="53"/>
    </row>
    <row r="1563" spans="1:12" ns3:dyDescent="0.2">
      <c r="A1563" s="53" t="str">
        <f>B1555</f>
        <v>wood, burned in wood industrial furnace 1-10MW</v>
      </c>
      <c r="B1563" s="53">
        <v>1</v>
      </c>
      <c r="C1563" s="53" t="str">
        <f>B1556</f>
        <v>CH</v>
      </c>
      <c r="D1563" s="53" t="str">
        <f>B1560</f>
        <v>megajoule</v>
      </c>
      <c r="E1563" s="53"/>
      <c r="F1563" s="53" t="s">
        <v>15</v>
      </c>
      <c r="H1563" s="53" t="str">
        <f>B1558</f>
        <v>heat</v>
      </c>
      <c r="I1563" s="53"/>
      <c r="J1563" s="53"/>
      <c r="K1563" s="53"/>
      <c r="L1563" s="53"/>
    </row>
    <row r="1564" spans="1:12" ns3:dyDescent="0.2">
      <c r="A1564" s="53" t="s">
        <v>315</v>
      </c>
      <c r="B1564">
        <f>1/(0.0705467372134039*19.1)</f>
        <v>0.74214659685863837</v>
      </c>
      <c r="C1564" t="s">
        <v>104</v>
      </c>
      <c r="D1564" t="s">
        <v>17</v>
      </c>
      <c r="F1564" t="s">
        <v>18</v>
      </c>
      <c r="H1564" t="s">
        <v>295</v>
      </c>
    </row>
    <row r="1565" spans="1:12" ns3:dyDescent="0.2">
      <c r="B1565"/>
    </row>
    <row r="1566" spans="1:12" ht="16" ns3:dyDescent="0.2">
      <c r="A1566" s="1" t="s">
        <v>0</v>
      </c>
      <c r="B1566" s="1" t="s">
        <v>317</v>
      </c>
      <c r="C1566" s="53"/>
      <c r="D1566" s="53"/>
      <c r="E1566" s="53"/>
      <c r="F1566" s="53"/>
      <c r="H1566" s="53"/>
    </row>
    <row r="1567" spans="1:12" ns3:dyDescent="0.2">
      <c r="A1567" s="53" t="s">
        <v>1</v>
      </c>
      <c r="B1567" s="53" t="s">
        <v>104</v>
      </c>
      <c r="C1567" s="53"/>
      <c r="D1567" s="53"/>
      <c r="E1567" s="53"/>
      <c r="F1567" s="53"/>
      <c r="H1567" s="53"/>
      <c r="I1567" s="53"/>
      <c r="J1567" s="53"/>
      <c r="K1567" s="53"/>
      <c r="L1567" s="53"/>
    </row>
    <row r="1568" spans="1:12" ns3:dyDescent="0.2">
      <c r="A1568" s="53" t="s">
        <v>2</v>
      </c>
      <c r="B1568" s="53">
        <v>1</v>
      </c>
      <c r="C1568" s="53"/>
      <c r="D1568" s="53"/>
      <c r="E1568" s="53"/>
      <c r="F1568" s="53"/>
      <c r="H1568" s="53"/>
      <c r="I1568" s="53"/>
      <c r="J1568" s="53"/>
      <c r="K1568" s="53"/>
      <c r="L1568" s="53"/>
    </row>
    <row r="1569" spans="1:12" ns3:dyDescent="0.2">
      <c r="A1569" s="53" t="s">
        <v>3</v>
      </c>
      <c r="B1569" s="53" t="s">
        <v>285</v>
      </c>
      <c r="C1569" s="53"/>
      <c r="D1569" s="53"/>
      <c r="E1569" s="53"/>
      <c r="F1569" s="53"/>
      <c r="H1569" s="53"/>
      <c r="I1569" s="53"/>
      <c r="J1569" s="53"/>
    </row>
    <row r="1570" spans="1:12" ns3:dyDescent="0.2">
      <c r="A1570" s="53" t="s">
        <v>4</v>
      </c>
      <c r="B1570" s="53" t="s">
        <v>5</v>
      </c>
      <c r="C1570" s="53"/>
      <c r="D1570" s="53"/>
      <c r="E1570" s="53"/>
      <c r="F1570" s="53"/>
      <c r="H1570" s="53"/>
      <c r="I1570" s="53"/>
      <c r="J1570" s="53"/>
      <c r="K1570" s="53"/>
      <c r="L1570" s="53"/>
    </row>
    <row r="1571" spans="1:12" ns3:dyDescent="0.2">
      <c r="A1571" s="53" t="s">
        <v>6</v>
      </c>
      <c r="B1571" s="53" t="s">
        <v>17</v>
      </c>
      <c r="C1571" s="53"/>
      <c r="D1571" s="53"/>
      <c r="E1571" s="53"/>
      <c r="F1571" s="53"/>
      <c r="H1571" s="53"/>
      <c r="I1571" s="53"/>
      <c r="J1571" s="53"/>
      <c r="K1571" s="53"/>
      <c r="L1571" s="53"/>
    </row>
    <row r="1572" spans="1:12" ht="16" ns3:dyDescent="0.2">
      <c r="A1572" s="1" t="s">
        <v>10</v>
      </c>
      <c r="B1572" s="53"/>
      <c r="C1572" s="53"/>
      <c r="D1572" s="53"/>
      <c r="E1572" s="53"/>
      <c r="F1572" s="53"/>
      <c r="H1572" s="53"/>
      <c r="I1572" s="53"/>
      <c r="J1572" s="53"/>
      <c r="K1572" s="53"/>
      <c r="L1572" s="53"/>
    </row>
    <row r="1573" spans="1:12" ns3:dyDescent="0.2">
      <c r="A1573" s="53" t="s">
        <v>11</v>
      </c>
      <c r="B1573" s="53" t="s">
        <v>12</v>
      </c>
      <c r="C1573" s="53" t="s">
        <v>1</v>
      </c>
      <c r="D1573" s="53" t="s">
        <v>6</v>
      </c>
      <c r="E1573" s="53" t="s">
        <v>13</v>
      </c>
      <c r="F1573" s="53" t="s">
        <v>4</v>
      </c>
      <c r="G1573" s="50" t="s">
        <v>9</v>
      </c>
      <c r="H1573" s="53" t="s">
        <v>3</v>
      </c>
      <c r="I1573" s="53"/>
      <c r="J1573" s="53"/>
      <c r="K1573" s="53"/>
    </row>
    <row r="1574" spans="1:12" ns3:dyDescent="0.2">
      <c r="A1574" s="53" t="str">
        <f>B1566</f>
        <v>pellet, burned in pellet industrial furnace 300kW</v>
      </c>
      <c r="B1574" s="53">
        <v>1</v>
      </c>
      <c r="C1574" s="53" t="str">
        <f>B1567</f>
        <v>CH</v>
      </c>
      <c r="D1574" s="53" t="str">
        <f>B1571</f>
        <v>megajoule</v>
      </c>
      <c r="E1574" s="53"/>
      <c r="F1574" s="53" t="s">
        <v>15</v>
      </c>
      <c r="H1574" s="53" t="str">
        <f>B1569</f>
        <v>heat</v>
      </c>
      <c r="I1574" s="53"/>
      <c r="J1574" s="53"/>
      <c r="K1574" s="53"/>
      <c r="L1574" s="53"/>
    </row>
    <row r="1575" spans="1:12" ns3:dyDescent="0.2">
      <c r="A1575" s="53" t="s">
        <v>316</v>
      </c>
      <c r="B1575">
        <f>1/(0.0711533333333334*19.1)</f>
        <v>0.73581965158448881</v>
      </c>
      <c r="C1575" t="s">
        <v>104</v>
      </c>
      <c r="D1575" t="s">
        <v>17</v>
      </c>
      <c r="F1575" t="s">
        <v>18</v>
      </c>
      <c r="H1575" t="s">
        <v>318</v>
      </c>
    </row>
    <row r="1576" spans="1:12" ns3:dyDescent="0.2">
      <c r="A1576" t="s">
        <v>35</v>
      </c>
      <c r="B1576">
        <v>1</v>
      </c>
      <c r="D1576" t="s">
        <v>17</v>
      </c>
      <c r="E1576" t="s">
        <v>36</v>
      </c>
      <c r="F1576" t="s">
        <v>27</v>
      </c>
    </row>
    <row r="1578" spans="1:12" ht="16" ns3:dyDescent="0.2">
      <c r="A1578" s="1" t="s">
        <v>0</v>
      </c>
      <c r="B1578" s="1" t="s">
        <v>320</v>
      </c>
      <c r="C1578" s="53"/>
      <c r="D1578" s="53"/>
      <c r="E1578" s="53"/>
      <c r="F1578" s="53"/>
      <c r="H1578" s="53"/>
    </row>
    <row r="1579" spans="1:12" ns3:dyDescent="0.2">
      <c r="A1579" s="53" t="s">
        <v>1</v>
      </c>
      <c r="B1579" s="53" t="s">
        <v>104</v>
      </c>
      <c r="C1579" s="53"/>
      <c r="D1579" s="53"/>
      <c r="E1579" s="53"/>
      <c r="F1579" s="53"/>
      <c r="H1579" s="53"/>
      <c r="I1579" s="53"/>
      <c r="J1579" s="53"/>
      <c r="K1579" s="53"/>
      <c r="L1579" s="53"/>
    </row>
    <row r="1580" spans="1:12" ns3:dyDescent="0.2">
      <c r="A1580" s="53" t="s">
        <v>2</v>
      </c>
      <c r="B1580" s="53">
        <v>1</v>
      </c>
      <c r="C1580" s="53"/>
      <c r="D1580" s="53"/>
      <c r="E1580" s="53"/>
      <c r="F1580" s="53"/>
      <c r="H1580" s="53"/>
      <c r="I1580" s="53"/>
      <c r="J1580" s="53"/>
      <c r="K1580" s="53"/>
      <c r="L1580" s="53"/>
    </row>
    <row r="1581" spans="1:12" ns3:dyDescent="0.2">
      <c r="A1581" s="53" t="s">
        <v>3</v>
      </c>
      <c r="B1581" s="53" t="s">
        <v>285</v>
      </c>
      <c r="C1581" s="53"/>
      <c r="D1581" s="53"/>
      <c r="E1581" s="53"/>
      <c r="F1581" s="53"/>
      <c r="H1581" s="53"/>
      <c r="I1581" s="53"/>
      <c r="J1581" s="53"/>
    </row>
    <row r="1582" spans="1:12" ns3:dyDescent="0.2">
      <c r="A1582" s="53" t="s">
        <v>4</v>
      </c>
      <c r="B1582" s="53" t="s">
        <v>5</v>
      </c>
      <c r="C1582" s="53"/>
      <c r="D1582" s="53"/>
      <c r="E1582" s="53"/>
      <c r="F1582" s="53"/>
      <c r="H1582" s="53"/>
      <c r="I1582" s="53"/>
      <c r="J1582" s="53"/>
      <c r="K1582" s="53"/>
      <c r="L1582" s="53"/>
    </row>
    <row r="1583" spans="1:12" ns3:dyDescent="0.2">
      <c r="A1583" s="53" t="s">
        <v>6</v>
      </c>
      <c r="B1583" s="53" t="s">
        <v>17</v>
      </c>
      <c r="C1583" s="53"/>
      <c r="D1583" s="53"/>
      <c r="E1583" s="53"/>
      <c r="F1583" s="53"/>
      <c r="H1583" s="53"/>
      <c r="I1583" s="53"/>
      <c r="J1583" s="53"/>
      <c r="K1583" s="53"/>
      <c r="L1583" s="53"/>
    </row>
    <row r="1584" spans="1:12" ht="16" ns3:dyDescent="0.2">
      <c r="A1584" s="1" t="s">
        <v>10</v>
      </c>
      <c r="B1584" s="53"/>
      <c r="C1584" s="53"/>
      <c r="D1584" s="53"/>
      <c r="E1584" s="53"/>
      <c r="F1584" s="53"/>
      <c r="H1584" s="53"/>
      <c r="I1584" s="53"/>
      <c r="J1584" s="53"/>
      <c r="K1584" s="53"/>
      <c r="L1584" s="53"/>
    </row>
    <row r="1585" spans="1:12" ns3:dyDescent="0.2">
      <c r="A1585" s="53" t="s">
        <v>11</v>
      </c>
      <c r="B1585" s="53" t="s">
        <v>12</v>
      </c>
      <c r="C1585" s="53" t="s">
        <v>1</v>
      </c>
      <c r="D1585" s="53" t="s">
        <v>6</v>
      </c>
      <c r="E1585" s="53" t="s">
        <v>13</v>
      </c>
      <c r="F1585" s="53" t="s">
        <v>4</v>
      </c>
      <c r="G1585" s="50" t="s">
        <v>9</v>
      </c>
      <c r="H1585" s="53" t="s">
        <v>3</v>
      </c>
      <c r="I1585" s="53"/>
      <c r="J1585" s="53"/>
      <c r="K1585" s="53"/>
    </row>
    <row r="1586" spans="1:12" ns3:dyDescent="0.2">
      <c r="A1586" s="53" t="str">
        <f>B1578</f>
        <v>non-renewable waste, burned in industrial furnace</v>
      </c>
      <c r="B1586" s="53">
        <v>1</v>
      </c>
      <c r="C1586" s="53" t="str">
        <f>B1579</f>
        <v>CH</v>
      </c>
      <c r="D1586" s="53" t="str">
        <f>B1583</f>
        <v>megajoule</v>
      </c>
      <c r="E1586" s="53"/>
      <c r="F1586" s="53" t="s">
        <v>15</v>
      </c>
      <c r="H1586" s="53" t="str">
        <f>B1581</f>
        <v>heat</v>
      </c>
      <c r="I1586" s="53"/>
      <c r="J1586" s="53"/>
      <c r="K1586" s="53"/>
      <c r="L1586" s="53"/>
    </row>
    <row r="1587" spans="1:12" ns3:dyDescent="0.2">
      <c r="A1587" s="53" t="s">
        <v>123</v>
      </c>
      <c r="B1587">
        <f>1/6.1</f>
        <v>0.16393442622950821</v>
      </c>
      <c r="C1587" t="s">
        <v>104</v>
      </c>
      <c r="D1587" t="s">
        <v>17</v>
      </c>
      <c r="F1587" t="s">
        <v>18</v>
      </c>
      <c r="H1587" t="s">
        <v>124</v>
      </c>
    </row>
    <row r="1588" spans="1:12" ns3:dyDescent="0.2">
      <c r="B1588"/>
    </row>
    <row r="1589" spans="1:12" ht="16" ns3:dyDescent="0.2">
      <c r="A1589" s="1" t="s">
        <v>0</v>
      </c>
      <c r="B1589" s="1" t="s">
        <v>323</v>
      </c>
      <c r="C1589" s="53"/>
      <c r="D1589" s="53"/>
      <c r="E1589" s="53"/>
      <c r="F1589" s="53"/>
      <c r="H1589" s="53"/>
    </row>
    <row r="1590" spans="1:12" ns3:dyDescent="0.2">
      <c r="A1590" s="53" t="s">
        <v>1</v>
      </c>
      <c r="B1590" s="53" t="s">
        <v>104</v>
      </c>
      <c r="C1590" s="53"/>
      <c r="D1590" s="53"/>
      <c r="E1590" s="53"/>
      <c r="F1590" s="53"/>
      <c r="H1590" s="53"/>
      <c r="I1590" s="53"/>
      <c r="J1590" s="53"/>
      <c r="K1590" s="53"/>
      <c r="L1590" s="53"/>
    </row>
    <row r="1591" spans="1:12" ns3:dyDescent="0.2">
      <c r="A1591" s="53" t="s">
        <v>2</v>
      </c>
      <c r="B1591" s="53">
        <v>1</v>
      </c>
      <c r="C1591" s="53"/>
      <c r="D1591" s="53"/>
      <c r="E1591" s="53"/>
      <c r="F1591" s="53"/>
      <c r="H1591" s="53"/>
      <c r="I1591" s="53"/>
      <c r="J1591" s="53"/>
      <c r="K1591" s="53"/>
      <c r="L1591" s="53"/>
    </row>
    <row r="1592" spans="1:12" ns3:dyDescent="0.2">
      <c r="A1592" s="53" t="s">
        <v>3</v>
      </c>
      <c r="B1592" s="53" t="s">
        <v>285</v>
      </c>
      <c r="C1592" s="53"/>
      <c r="D1592" s="53"/>
      <c r="E1592" s="53"/>
      <c r="F1592" s="53"/>
      <c r="H1592" s="53"/>
      <c r="I1592" s="53"/>
      <c r="J1592" s="53"/>
    </row>
    <row r="1593" spans="1:12" ns3:dyDescent="0.2">
      <c r="A1593" s="53" t="s">
        <v>4</v>
      </c>
      <c r="B1593" s="53" t="s">
        <v>5</v>
      </c>
      <c r="C1593" s="53"/>
      <c r="D1593" s="53"/>
      <c r="E1593" s="53"/>
      <c r="F1593" s="53"/>
      <c r="H1593" s="53"/>
      <c r="I1593" s="53"/>
      <c r="J1593" s="53"/>
      <c r="K1593" s="53"/>
      <c r="L1593" s="53"/>
    </row>
    <row r="1594" spans="1:12" ns3:dyDescent="0.2">
      <c r="A1594" s="53" t="s">
        <v>6</v>
      </c>
      <c r="B1594" s="53" t="s">
        <v>17</v>
      </c>
      <c r="C1594" s="53"/>
      <c r="D1594" s="53"/>
      <c r="E1594" s="53"/>
      <c r="F1594" s="53"/>
      <c r="H1594" s="53"/>
      <c r="I1594" s="53"/>
      <c r="J1594" s="53"/>
      <c r="K1594" s="53"/>
      <c r="L1594" s="53"/>
    </row>
    <row r="1595" spans="1:12" ht="16" ns3:dyDescent="0.2">
      <c r="A1595" s="1" t="s">
        <v>10</v>
      </c>
      <c r="B1595" s="53"/>
      <c r="C1595" s="53"/>
      <c r="D1595" s="53"/>
      <c r="E1595" s="53"/>
      <c r="F1595" s="53"/>
      <c r="H1595" s="53"/>
      <c r="I1595" s="53"/>
      <c r="J1595" s="53"/>
      <c r="K1595" s="53"/>
      <c r="L1595" s="53"/>
    </row>
    <row r="1596" spans="1:12" ns3:dyDescent="0.2">
      <c r="A1596" s="53" t="s">
        <v>11</v>
      </c>
      <c r="B1596" s="53" t="s">
        <v>12</v>
      </c>
      <c r="C1596" s="53" t="s">
        <v>1</v>
      </c>
      <c r="D1596" s="53" t="s">
        <v>6</v>
      </c>
      <c r="E1596" s="53" t="s">
        <v>13</v>
      </c>
      <c r="F1596" s="53" t="s">
        <v>4</v>
      </c>
      <c r="G1596" s="50" t="s">
        <v>9</v>
      </c>
      <c r="H1596" s="53" t="s">
        <v>3</v>
      </c>
      <c r="I1596" s="53"/>
      <c r="J1596" s="53"/>
      <c r="K1596" s="53"/>
    </row>
    <row r="1597" spans="1:12" ns3:dyDescent="0.2">
      <c r="A1597" s="53" t="str">
        <f>B1589</f>
        <v>renewable waste, burned in industrial furnace</v>
      </c>
      <c r="B1597" s="53">
        <v>1</v>
      </c>
      <c r="C1597" s="53" t="str">
        <f>B1590</f>
        <v>CH</v>
      </c>
      <c r="D1597" s="53" t="str">
        <f>B1594</f>
        <v>megajoule</v>
      </c>
      <c r="E1597" s="53"/>
      <c r="F1597" s="53" t="s">
        <v>15</v>
      </c>
      <c r="H1597" s="53" t="str">
        <f>B1592</f>
        <v>heat</v>
      </c>
      <c r="I1597" s="53"/>
      <c r="J1597" s="53"/>
      <c r="K1597" s="53"/>
      <c r="L1597" s="53"/>
    </row>
    <row r="1598" spans="1:12" ns3:dyDescent="0.2">
      <c r="A1598" s="53" t="s">
        <v>130</v>
      </c>
      <c r="B1598">
        <f>1/4.28</f>
        <v>0.23364485981308411</v>
      </c>
      <c r="C1598" t="s">
        <v>104</v>
      </c>
      <c r="D1598" t="s">
        <v>17</v>
      </c>
      <c r="F1598" t="s">
        <v>18</v>
      </c>
      <c r="H1598" t="s">
        <v>130</v>
      </c>
    </row>
    <row r="1599" spans="1:12" ns3:dyDescent="0.2">
      <c r="B1599"/>
    </row>
    <row r="1600" spans="1:12" ht="16" ns3:dyDescent="0.2">
      <c r="A1600" s="1" t="s">
        <v>0</v>
      </c>
      <c r="B1600" s="1" t="s">
        <v>324</v>
      </c>
      <c r="C1600" s="53"/>
      <c r="D1600" s="53"/>
      <c r="E1600" s="53"/>
      <c r="F1600" s="53"/>
      <c r="H1600" s="53"/>
    </row>
    <row r="1601" spans="1:12" ns3:dyDescent="0.2">
      <c r="A1601" s="53" t="s">
        <v>1</v>
      </c>
      <c r="B1601" s="53" t="s">
        <v>104</v>
      </c>
      <c r="C1601" s="53"/>
      <c r="D1601" s="53"/>
      <c r="E1601" s="53"/>
      <c r="F1601" s="53"/>
      <c r="H1601" s="53"/>
      <c r="I1601" s="53"/>
      <c r="J1601" s="53"/>
      <c r="K1601" s="53"/>
      <c r="L1601" s="53"/>
    </row>
    <row r="1602" spans="1:12" ns3:dyDescent="0.2">
      <c r="A1602" s="53" t="s">
        <v>2</v>
      </c>
      <c r="B1602" s="53">
        <v>1</v>
      </c>
      <c r="C1602" s="53"/>
      <c r="D1602" s="53"/>
      <c r="E1602" s="53"/>
      <c r="F1602" s="53"/>
      <c r="H1602" s="53"/>
      <c r="I1602" s="53"/>
      <c r="J1602" s="53"/>
      <c r="K1602" s="53"/>
      <c r="L1602" s="53"/>
    </row>
    <row r="1603" spans="1:12" ns3:dyDescent="0.2">
      <c r="A1603" s="53" t="s">
        <v>3</v>
      </c>
      <c r="B1603" s="53" t="s">
        <v>285</v>
      </c>
      <c r="C1603" s="53"/>
      <c r="D1603" s="53"/>
      <c r="E1603" s="53"/>
      <c r="F1603" s="53"/>
      <c r="H1603" s="53"/>
      <c r="I1603" s="53"/>
      <c r="J1603" s="53"/>
    </row>
    <row r="1604" spans="1:12" ns3:dyDescent="0.2">
      <c r="A1604" s="53" t="s">
        <v>4</v>
      </c>
      <c r="B1604" s="53" t="s">
        <v>5</v>
      </c>
      <c r="C1604" s="53"/>
      <c r="D1604" s="53"/>
      <c r="E1604" s="53"/>
      <c r="F1604" s="53"/>
      <c r="H1604" s="53"/>
      <c r="I1604" s="53"/>
      <c r="J1604" s="53"/>
      <c r="K1604" s="53"/>
      <c r="L1604" s="53"/>
    </row>
    <row r="1605" spans="1:12" ns3:dyDescent="0.2">
      <c r="A1605" s="53" t="s">
        <v>6</v>
      </c>
      <c r="B1605" s="53" t="s">
        <v>17</v>
      </c>
      <c r="C1605" s="53"/>
      <c r="D1605" s="53"/>
      <c r="E1605" s="53"/>
      <c r="F1605" s="53"/>
      <c r="H1605" s="53"/>
      <c r="I1605" s="53"/>
      <c r="J1605" s="53"/>
      <c r="K1605" s="53"/>
      <c r="L1605" s="53"/>
    </row>
    <row r="1606" spans="1:12" ht="16" ns3:dyDescent="0.2">
      <c r="A1606" s="1" t="s">
        <v>10</v>
      </c>
      <c r="B1606" s="53"/>
      <c r="C1606" s="53"/>
      <c r="D1606" s="53"/>
      <c r="E1606" s="53"/>
      <c r="F1606" s="53"/>
      <c r="H1606" s="53"/>
      <c r="I1606" s="53"/>
      <c r="J1606" s="53"/>
      <c r="K1606" s="53"/>
      <c r="L1606" s="53"/>
    </row>
    <row r="1607" spans="1:12" ns3:dyDescent="0.2">
      <c r="A1607" s="53" t="s">
        <v>11</v>
      </c>
      <c r="B1607" s="53" t="s">
        <v>12</v>
      </c>
      <c r="C1607" s="53" t="s">
        <v>1</v>
      </c>
      <c r="D1607" s="53" t="s">
        <v>6</v>
      </c>
      <c r="E1607" s="53" t="s">
        <v>13</v>
      </c>
      <c r="F1607" s="53" t="s">
        <v>4</v>
      </c>
      <c r="G1607" s="50" t="s">
        <v>9</v>
      </c>
      <c r="H1607" s="53" t="s">
        <v>3</v>
      </c>
      <c r="I1607" s="53"/>
      <c r="J1607" s="53"/>
      <c r="K1607" s="53"/>
    </row>
    <row r="1608" spans="1:12" ns3:dyDescent="0.2">
      <c r="A1608" s="53" t="str">
        <f>B1600</f>
        <v>solar energy, from industrial hot water tank</v>
      </c>
      <c r="B1608" s="53">
        <v>1</v>
      </c>
      <c r="C1608" s="53" t="str">
        <f>B1601</f>
        <v>CH</v>
      </c>
      <c r="D1608" s="53" t="str">
        <f>B1605</f>
        <v>megajoule</v>
      </c>
      <c r="E1608" s="53"/>
      <c r="F1608" s="53" t="s">
        <v>15</v>
      </c>
      <c r="H1608" s="53" t="str">
        <f>B1603</f>
        <v>heat</v>
      </c>
      <c r="I1608" s="53"/>
      <c r="J1608" s="53"/>
      <c r="K1608" s="53"/>
      <c r="L1608" s="53"/>
    </row>
    <row r="1609" spans="1:12" ns3:dyDescent="0.2">
      <c r="A1609" s="53" t="s">
        <v>325</v>
      </c>
      <c r="B1609">
        <f>1/0.28851</f>
        <v>3.4660843644934318</v>
      </c>
      <c r="C1609" t="s">
        <v>104</v>
      </c>
      <c r="D1609" t="s">
        <v>17</v>
      </c>
      <c r="F1609" t="s">
        <v>18</v>
      </c>
      <c r="H1609" t="s">
        <v>326</v>
      </c>
    </row>
    <row r="1610" spans="1:12" ns3:dyDescent="0.2">
      <c r="B1610"/>
    </row>
    <row r="1611" spans="1:15" ht="16" ns3:dyDescent="0.2">
      <c r="A1611" s="1" t="s">
        <v>0</v>
      </c>
      <c r="B1611" s="1" t="s">
        <v>336</v>
      </c>
      <c r="C1611" s="53"/>
      <c r="D1611" s="53"/>
      <c r="E1611" s="53"/>
      <c r="F1611" s="53"/>
      <c r="H1611" s="53"/>
    </row>
    <row r="1612" spans="1:15" ns3:dyDescent="0.2">
      <c r="A1612" s="53" t="s">
        <v>1</v>
      </c>
      <c r="B1612" s="53" t="s">
        <v>104</v>
      </c>
      <c r="C1612" s="53"/>
      <c r="D1612" s="53"/>
      <c r="E1612" s="53"/>
      <c r="F1612" s="53"/>
      <c r="H1612" s="53"/>
      <c r="I1612" s="53"/>
      <c r="J1612" s="53"/>
      <c r="K1612" s="53"/>
      <c r="L1612" s="53"/>
    </row>
    <row r="1613" spans="1:15" ns3:dyDescent="0.2">
      <c r="A1613" s="53" t="s">
        <v>2</v>
      </c>
      <c r="B1613" s="53">
        <v>1</v>
      </c>
      <c r="C1613" s="53"/>
      <c r="D1613" s="53"/>
      <c r="E1613" s="53"/>
      <c r="F1613" s="53"/>
      <c r="H1613" s="53"/>
      <c r="I1613" s="53"/>
      <c r="J1613" s="53"/>
      <c r="K1613" s="53"/>
      <c r="L1613" s="53"/>
    </row>
    <row r="1614" spans="1:15" ns3:dyDescent="0.2">
      <c r="A1614" s="53" t="s">
        <v>3</v>
      </c>
      <c r="B1614" s="53" t="s">
        <v>285</v>
      </c>
      <c r="C1614" s="53"/>
      <c r="D1614" s="53"/>
      <c r="E1614" s="53"/>
      <c r="F1614" s="53"/>
      <c r="H1614" s="53"/>
      <c r="I1614" s="53"/>
      <c r="J1614" s="53"/>
    </row>
    <row r="1615" spans="1:15" ns3:dyDescent="0.2">
      <c r="A1615" s="53" t="s">
        <v>4</v>
      </c>
      <c r="B1615" s="53" t="s">
        <v>5</v>
      </c>
      <c r="C1615" s="53"/>
      <c r="D1615" s="53"/>
      <c r="E1615" s="53"/>
      <c r="F1615" s="53"/>
      <c r="H1615" s="53"/>
      <c r="I1615" s="53"/>
      <c r="J1615" s="53"/>
      <c r="K1615" s="53"/>
      <c r="L1615" s="53"/>
    </row>
    <row r="1616" spans="1:15" ns3:dyDescent="0.2">
      <c r="A1616" s="53" t="s">
        <v>6</v>
      </c>
      <c r="B1616" s="53" t="s">
        <v>17</v>
      </c>
      <c r="C1616" s="53"/>
      <c r="D1616" s="53"/>
      <c r="E1616" s="53"/>
      <c r="F1616" s="53"/>
      <c r="H1616" s="53"/>
      <c r="I1616" s="53"/>
      <c r="J1616" s="53"/>
      <c r="K1616" s="53"/>
      <c r="L1616" s="53"/>
    </row>
    <row r="1617" spans="1:15" ht="16" ns3:dyDescent="0.2">
      <c r="A1617" s="1" t="s">
        <v>10</v>
      </c>
      <c r="B1617" s="53"/>
      <c r="C1617" s="53"/>
      <c r="D1617" s="53"/>
      <c r="E1617" s="53"/>
      <c r="F1617" s="53"/>
      <c r="H1617" s="53"/>
      <c r="I1617" s="53"/>
      <c r="J1617" s="53"/>
      <c r="K1617" s="53"/>
      <c r="L1617" s="53"/>
    </row>
    <row r="1618" spans="1:15" ns3:dyDescent="0.2">
      <c r="A1618" s="53" t="s">
        <v>11</v>
      </c>
      <c r="B1618" s="53" t="s">
        <v>12</v>
      </c>
      <c r="C1618" s="53" t="s">
        <v>1</v>
      </c>
      <c r="D1618" s="53" t="s">
        <v>6</v>
      </c>
      <c r="E1618" s="53" t="s">
        <v>13</v>
      </c>
      <c r="F1618" s="53" t="s">
        <v>4</v>
      </c>
      <c r="G1618" s="50" t="s">
        <v>9</v>
      </c>
      <c r="H1618" s="53" t="s">
        <v>3</v>
      </c>
      <c r="I1618" s="53"/>
      <c r="J1618" s="53"/>
      <c r="K1618" s="53"/>
    </row>
    <row r="1619" spans="1:15" ns3:dyDescent="0.2">
      <c r="A1619" s="53" t="str">
        <f>B1611</f>
        <v>hydrogen burned, in hydrogen boiler</v>
      </c>
      <c r="B1619" s="53">
        <v>1</v>
      </c>
      <c r="C1619" s="53" t="str">
        <f>B1612</f>
        <v>CH</v>
      </c>
      <c r="D1619" s="53" t="str">
        <f>B1616</f>
        <v>megajoule</v>
      </c>
      <c r="E1619" s="53"/>
      <c r="F1619" s="53" t="s">
        <v>15</v>
      </c>
      <c r="H1619" s="53" t="str">
        <f>B1614</f>
        <v>heat</v>
      </c>
      <c r="I1619" s="53"/>
      <c r="J1619" s="53"/>
      <c r="K1619" s="53"/>
      <c r="L1619" s="53"/>
    </row>
    <row r="1620" spans="1:15" ns3:dyDescent="0.2">
      <c r="A1620" t="s">
        <v>331</v>
      </c>
      <c r="B1620" s="3">
        <v>4.4004494642869032E-7</v>
      </c>
      <c r="C1620" t="s">
        <v>24</v>
      </c>
      <c r="D1620" t="s">
        <v>6</v>
      </c>
      <c r="F1620" t="s">
        <v>18</v>
      </c>
      <c r="H1620" t="s">
        <v>330</v>
      </c>
    </row>
    <row r="1621" spans="1:15" ns3:dyDescent="0.2">
      <c r="A1621" t="s">
        <v>334</v>
      </c>
      <c r="B1621" s="3">
        <v>8.8008989285738064E-7</v>
      </c>
      <c r="C1621" t="s">
        <v>24</v>
      </c>
      <c r="D1621" t="s">
        <v>332</v>
      </c>
      <c r="F1621" t="s">
        <v>18</v>
      </c>
      <c r="H1621" t="s">
        <v>333</v>
      </c>
    </row>
    <row r="1622" spans="1:15" ns3:dyDescent="0.2">
      <c r="A1622" t="s">
        <v>288</v>
      </c>
      <c r="B1622">
        <v>8.1068656716417958E-4</v>
      </c>
      <c r="C1622" t="s">
        <v>104</v>
      </c>
      <c r="D1622" t="s">
        <v>126</v>
      </c>
      <c r="F1622" t="s">
        <v>18</v>
      </c>
      <c r="H1622" t="s">
        <v>287</v>
      </c>
    </row>
    <row r="1623" spans="1:15" s="55" customFormat="1" ht="16" ns3:dyDescent="0.2">
      <c r="A1623" s="53" t="s">
        <v>491</v>
      </c>
      <c r="B1623" s="59">
        <f>1/120</f>
        <v>8.3333333333333332E-3</v>
      </c>
      <c r="C1623" s="55" t="s">
        <v>103</v>
      </c>
      <c r="D1623" s="55" t="s">
        <v>7</v>
      </c>
      <c r="F1623" s="55" t="s">
        <v>18</v>
      </c>
      <c r="H1623" s="53" t="s">
        <v>492</v>
      </c>
      <c r="K1623" s="57"/>
      <c r="L1623"/>
      <c r="M1623"/>
      <c r="O1623" s="56"/>
    </row>
    <row r="1624" spans="1:15" ns3:dyDescent="0.2">
      <c r="A1624" s="53" t="s">
        <v>228</v>
      </c>
      <c r="B1624" s="54">
        <v>7.4626865671641873E-5</v>
      </c>
      <c r="C1624" s="53"/>
      <c r="D1624" s="53" t="s">
        <v>37</v>
      </c>
      <c r="E1624" s="53" t="s">
        <v>136</v>
      </c>
      <c r="F1624" t="s">
        <v>27</v>
      </c>
      <c r="H1624" s="53"/>
      <c r="I1624" s="53"/>
      <c r="J1624" s="53"/>
      <c r="K1624" s="53"/>
      <c r="L1624" s="53"/>
    </row>
    <row r="1625" spans="1:15" ns3:dyDescent="0.2">
      <c r="A1625" s="53" t="s">
        <v>215</v>
      </c>
      <c r="B1625" s="54">
        <v>7.669983416252073E-6</v>
      </c>
      <c r="C1625" s="53"/>
      <c r="D1625" s="53" t="s">
        <v>7</v>
      </c>
      <c r="E1625" s="53" t="s">
        <v>136</v>
      </c>
      <c r="F1625" t="s">
        <v>27</v>
      </c>
      <c r="H1625" s="53"/>
      <c r="I1625" s="53"/>
      <c r="J1625" s="53"/>
      <c r="K1625" s="53"/>
      <c r="L1625" s="53"/>
    </row>
    <row r="1626" spans="1:15" ns3:dyDescent="0.2">
      <c r="A1626" s="53" t="s">
        <v>335</v>
      </c>
      <c r="B1626" s="54">
        <v>4.1459369817577878E-5</v>
      </c>
      <c r="C1626" s="53"/>
      <c r="D1626" s="53" t="s">
        <v>7</v>
      </c>
      <c r="E1626" s="53" t="s">
        <v>136</v>
      </c>
      <c r="F1626" t="s">
        <v>27</v>
      </c>
      <c r="H1626" s="53"/>
      <c r="I1626" s="53"/>
      <c r="J1626" s="53"/>
    </row>
    <row r="1627" spans="1:12" ns3:dyDescent="0.2">
      <c r="A1627" s="53"/>
      <c r="B1627" s="53"/>
      <c r="C1627" s="53"/>
      <c r="D1627" s="53"/>
      <c r="E1627" s="53"/>
      <c r="F1627" s="53"/>
      <c r="H1627" s="53"/>
      <c r="I1627" s="53"/>
      <c r="J1627" s="53"/>
      <c r="K1627" s="53"/>
      <c r="L1627" s="53"/>
    </row>
    <row r="1628">
      <c r="A1628" t="inlineStr">
        <is>
          <t>Activity</t>
        </is>
      </c>
      <c r="B1628" t="inlineStr">
        <is>
          <t>electricity, used in residential electric boiler</t>
        </is>
      </c>
    </row>
    <row r="1629">
      <c r="A1629" t="inlineStr">
        <is>
          <t>location</t>
        </is>
      </c>
      <c r="B1629" t="inlineStr">
        <is>
          <t>CH</t>
        </is>
      </c>
    </row>
    <row r="1630">
      <c r="A1630" t="inlineStr">
        <is>
          <t>production amount</t>
        </is>
      </c>
      <c r="B1630">
        <v>1</v>
      </c>
    </row>
    <row r="1631">
      <c r="A1631" t="inlineStr">
        <is>
          <t>reference product</t>
        </is>
      </c>
      <c r="B1631" t="inlineStr">
        <is>
          <t>electricity, low voltage</t>
        </is>
      </c>
    </row>
    <row r="1632">
      <c r="A1632" t="inlineStr">
        <is>
          <t>type</t>
        </is>
      </c>
      <c r="B1632" t="inlineStr">
        <is>
          <t>process</t>
        </is>
      </c>
    </row>
    <row r="1633">
      <c r="A1633" t="inlineStr">
        <is>
          <t>unit</t>
        </is>
      </c>
      <c r="B1633" t="inlineStr">
        <is>
          <t>megajoule</t>
        </is>
      </c>
    </row>
    <row r="1634">
      <c r="A1634" t="inlineStr">
        <is>
          <t>electric boiler equipment</t>
        </is>
      </c>
      <c r="B1634" t="inlineStr">
        <is>
          <t>{"model": "CTC EL 9", "name": "electricity, used in residential electric boiler", "power_kW": 9, "mass_kg": 9.3, "lifetime_years": 20, "lifetime_range": [20, 25], "material_fractions": {"stainless": 0.577, "brass": 0.041, "electronics": 0.207, "rubber": 0.089, "unmodelled": 0.086}, "source_ids": ["ctc_bvd", "ctc_manual"], "limitations": ["EU resistance-flow heater proxy; Swiss installed technology mix is unknown.", "Steel group represented by 18/8 stainless; actual steel grades and their split are not disclosed.", "Cable/electronics mass uses generic control-unit electronics; unidentified 8.6% remains unmodelled. The control-unit composition is an LCI proxy, not a measured split.", "Installation, circulation pump and manufacturing assembly energy are not quantified by the declaration."], "pathway": "FE_residential_space_heating_electric_boiler", "capacity_variable": "Space and water heat boiler capacity in Residential sector|Space heating|Electricty|Electric boiler", "energy_variable": "Fuel consumption in Residential sector|Electricity|Space heating|Electric boiler", "id": "residential_space", "sources": {"ctc_bvd": {"url": "https://ctc.no/file-download/a9a26013a5c285864d4ad53326bec18c.pdf", "sha256": "8b279c4c47d0e0c1c239d98dea2952f67fade9527b9fcec1e38bd8e0bc6c423a", "locator": "BVD-0045 to BVD-0047, 2022-01-10, material declarations and 20–25 year technical life"}, "ctc_manual": {"url": "https://ctc.se/file-download/97d743f2ce1f34e17d2586fda373f7de.pdf", "sha256": "27c305afaf9e86a445d278b409566a064093ccf6831bc3a7fdb837d533c3b23e", "locator": "Section 3; EL 9 net mass 9.3 kg, EL 42 net mass 33 kg; element EN 1.4404, tube EN 1.4301"}}, "boundary": "Dedicated electric heating equipment only; building fabric and heat-distribution networks excluded.", "hardware": ["electric boiler equipment production, CTC EL 9", "CTC EL 9", "RER", "unit"], "materials_kg": {"stainless": 5.3661, "brass": 0.38130000000000003, "electronics": 1.9251, "rubber": 0.8277, "unmodelled": 0.7998}, "material_suppliers": {"stainless": ["market for steel, chromium steel 18/8", "steel, chromium steel 18/8", "GLO", "kilogram"], "brass": ["market for brass", "brass", "RoW", "kilogram"], "electronics": ["market for electronics, for control units", "electronics, for control units", "GLO", "kilogram"], "rubber": ["market for synthetic rubber", "synthetic rubber", "GLO", "kilogram"]}, "unmodelled_mass_kg": 0.7998}</t>
        </is>
      </c>
    </row>
    <row r="1635">
      <c r="A1635" t="inlineStr">
        <is>
          <t>comment</t>
        </is>
      </c>
      <c r="B1635" t="inlineStr">
        <is>
          <t>Consumes exactly 1 MJ final electricity. Baseline hardware allocation uses SPS1/2020 installed capacity divided by annual electricity and lifetime; the build adapter replaces this for every scenario/year. EU resistance-flow heater proxy; Swiss installed technology mix is unknown. Steel group represented by 18/8 stainless; actual steel grades and their split are not disclosed. Cable/electronics mass uses generic control-unit electronics; unidentified 8.6% remains unmodelled. The control-unit composition is an LCI proxy, not a measured split. Installation, circulation pump and manufacturing assembly energy are not quantified by the declaration.</t>
        </is>
      </c>
    </row>
    <row r="1636">
      <c r="A1636" t="inlineStr">
        <is>
          <t>Exchanges</t>
        </is>
      </c>
    </row>
    <row r="1637">
      <c r="A1637" t="inlineStr">
        <is>
          <t>name</t>
        </is>
      </c>
      <c r="B1637" t="inlineStr">
        <is>
          <t>amount</t>
        </is>
      </c>
      <c r="C1637" t="inlineStr">
        <is>
          <t>location</t>
        </is>
      </c>
      <c r="D1637" t="inlineStr">
        <is>
          <t>unit</t>
        </is>
      </c>
      <c r="E1637" t="inlineStr">
        <is>
          <t>categories</t>
        </is>
      </c>
      <c r="F1637" t="inlineStr">
        <is>
          <t>type</t>
        </is>
      </c>
      <c r="G1637" t="inlineStr">
        <is>
          <t>reference product</t>
        </is>
      </c>
      <c r="H1637" t="inlineStr">
        <is>
          <t>comment</t>
        </is>
      </c>
      <c r="I1637" t="inlineStr">
        <is>
          <t>uncertainty type</t>
        </is>
      </c>
    </row>
    <row r="1638">
      <c r="A1638" t="inlineStr">
        <is>
          <t>electricity, used in residential electric boiler</t>
        </is>
      </c>
      <c r="B1638">
        <v>1</v>
      </c>
      <c r="C1638" t="inlineStr">
        <is>
          <t>CH</t>
        </is>
      </c>
      <c r="D1638" t="inlineStr">
        <is>
          <t>megajoule</t>
        </is>
      </c>
      <c r="F1638" t="inlineStr">
        <is>
          <t>production</t>
        </is>
      </c>
      <c r="G1638" t="inlineStr">
        <is>
          <t>electricity, low voltage</t>
        </is>
      </c>
    </row>
    <row r="1639">
      <c r="A1639" t="inlineStr">
        <is>
          <t>market for electricity, low voltage</t>
        </is>
      </c>
      <c r="B1639">
        <v>0.2777777777777778</v>
      </c>
      <c r="C1639" t="inlineStr">
        <is>
          <t>CH</t>
        </is>
      </c>
      <c r="D1639" t="inlineStr">
        <is>
          <t>kilowatt hour</t>
        </is>
      </c>
      <c r="F1639" t="inlineStr">
        <is>
          <t>technosphere</t>
        </is>
      </c>
      <c r="G1639" t="inlineStr">
        <is>
          <t>electricity, low voltage</t>
        </is>
      </c>
    </row>
    <row r="1640">
      <c r="A1640" t="inlineStr">
        <is>
          <t>electric boiler equipment production, CTC EL 9</t>
        </is>
      </c>
      <c r="B1640">
        <v>3.984801568585644e-07</v>
      </c>
      <c r="C1640" t="inlineStr">
        <is>
          <t>RER</t>
        </is>
      </c>
      <c r="D1640" t="inlineStr">
        <is>
          <t>unit</t>
        </is>
      </c>
      <c r="F1640" t="inlineStr">
        <is>
          <t>technosphere</t>
        </is>
      </c>
      <c r="G1640" t="inlineStr">
        <is>
          <t>CTC EL 9</t>
        </is>
      </c>
    </row>
    <row r="1641"/>
    <row r="1642" spans="1:12" ht="16" ns3:dyDescent="0.2">
      <c r="A1642" s="1" t="s">
        <v>0</v>
      </c>
      <c r="B1642" s="1" t="s">
        <v>340</v>
      </c>
      <c r="C1642" s="53"/>
      <c r="D1642" s="53"/>
      <c r="E1642" s="53"/>
      <c r="F1642" s="53"/>
      <c r="G1642" s="53"/>
      <c r="H1642" s="53"/>
    </row>
    <row r="1643" spans="1:12" ns3:dyDescent="0.2">
      <c r="A1643" s="53" t="s">
        <v>1</v>
      </c>
      <c r="B1643" s="53" t="s">
        <v>104</v>
      </c>
      <c r="C1643" s="53"/>
      <c r="D1643" s="53"/>
      <c r="E1643" s="53"/>
      <c r="F1643" s="53"/>
      <c r="G1643" s="53"/>
      <c r="H1643" s="53"/>
      <c r="I1643" s="53"/>
      <c r="J1643" s="53"/>
      <c r="K1643" s="53"/>
      <c r="L1643" s="53"/>
    </row>
    <row r="1644" spans="1:12" ns3:dyDescent="0.2">
      <c r="A1644" s="53" t="s">
        <v>2</v>
      </c>
      <c r="B1644" s="53">
        <v>1</v>
      </c>
      <c r="C1644" s="53"/>
      <c r="D1644" s="53"/>
      <c r="E1644" s="53"/>
      <c r="F1644" s="53"/>
      <c r="G1644" s="53"/>
      <c r="H1644" s="53"/>
      <c r="I1644" s="53"/>
      <c r="J1644" s="53"/>
      <c r="K1644" s="53"/>
      <c r="L1644" s="53"/>
    </row>
    <row r="1645" spans="1:12" ns3:dyDescent="0.2">
      <c r="A1645" s="53" t="s">
        <v>3</v>
      </c>
      <c r="B1645" s="53" t="s">
        <v>287</v>
      </c>
      <c r="C1645" s="53"/>
      <c r="D1645" s="53"/>
      <c r="E1645" s="53"/>
      <c r="F1645" s="53"/>
      <c r="G1645" s="53"/>
      <c r="H1645" s="53"/>
      <c r="I1645" s="53"/>
      <c r="J1645" s="53"/>
    </row>
    <row r="1646" spans="1:12" ns3:dyDescent="0.2">
      <c r="A1646" s="53" t="s">
        <v>4</v>
      </c>
      <c r="B1646" s="53" t="s">
        <v>5</v>
      </c>
      <c r="C1646" s="53"/>
      <c r="D1646" s="53"/>
      <c r="E1646" s="53"/>
      <c r="F1646" s="53"/>
      <c r="G1646" s="53"/>
      <c r="H1646" s="53"/>
      <c r="I1646" s="53"/>
      <c r="J1646" s="53"/>
      <c r="K1646" s="53"/>
      <c r="L1646" s="53"/>
    </row>
    <row r="1647" spans="1:12" ns3:dyDescent="0.2">
      <c r="A1647" s="53" t="s">
        <v>6</v>
      </c>
      <c r="B1647" s="53" t="s">
        <v>17</v>
      </c>
      <c r="C1647" s="53"/>
      <c r="D1647" s="53"/>
      <c r="E1647" s="53"/>
      <c r="F1647" s="53"/>
      <c r="G1647" s="53"/>
      <c r="H1647" s="53"/>
      <c r="I1647" s="53"/>
      <c r="J1647" s="53"/>
      <c r="K1647" s="53"/>
      <c r="L1647" s="53"/>
    </row>
    <row r="1648" spans="1:12" ht="16" ns3:dyDescent="0.2">
      <c r="A1648" s="1" t="s">
        <v>10</v>
      </c>
      <c r="B1648" s="53"/>
      <c r="C1648" s="53"/>
      <c r="D1648" s="53"/>
      <c r="E1648" s="53"/>
      <c r="F1648" s="53"/>
      <c r="G1648" s="53"/>
      <c r="H1648" s="53"/>
      <c r="I1648" s="53"/>
      <c r="J1648" s="53"/>
      <c r="K1648" s="53"/>
      <c r="L1648" s="53"/>
    </row>
    <row r="1649" spans="1:12" ns3:dyDescent="0.2">
      <c r="A1649" s="53" t="s">
        <v>11</v>
      </c>
      <c r="B1649" s="53" t="s">
        <v>12</v>
      </c>
      <c r="C1649" s="53" t="s">
        <v>1</v>
      </c>
      <c r="D1649" s="53" t="s">
        <v>6</v>
      </c>
      <c r="E1649" s="53" t="s">
        <v>13</v>
      </c>
      <c r="F1649" s="53" t="s">
        <v>4</v>
      </c>
      <c r="G1649" s="50" t="s">
        <v>9</v>
      </c>
      <c r="H1649" s="53" t="s">
        <v>3</v>
      </c>
      <c r="I1649" s="53"/>
      <c r="J1649" s="53"/>
      <c r="K1649" s="53"/>
    </row>
    <row r="1650" spans="1:12" ns3:dyDescent="0.2">
      <c r="A1650" s="53" t="str">
        <f>B1642</f>
        <v>electricity, used in residential heat pump</v>
      </c>
      <c r="B1650" s="53">
        <v>1</v>
      </c>
      <c r="C1650" s="53" t="str">
        <f>B1643</f>
        <v>CH</v>
      </c>
      <c r="D1650" s="53" t="str">
        <f>B1647</f>
        <v>megajoule</v>
      </c>
      <c r="E1650" s="53"/>
      <c r="F1650" s="53" t="s">
        <v>15</v>
      </c>
      <c r="H1650" s="53" t="str">
        <f>B1645</f>
        <v>electricity, low voltage</v>
      </c>
      <c r="I1650" s="53"/>
      <c r="J1650" s="53"/>
      <c r="K1650" s="53"/>
      <c r="L1650" s="53"/>
    </row>
    <row r="1651" spans="1:12" ns3:dyDescent="0.2">
      <c r="A1651" s="53" t="s">
        <v>291</v>
      </c>
      <c r="B1651" s="2">
        <f>1/0.357</f>
        <v>2.801120448179272</v>
      </c>
      <c r="C1651" t="s">
        <v>104</v>
      </c>
      <c r="D1651" t="s">
        <v>17</v>
      </c>
      <c r="F1651" t="s">
        <v>18</v>
      </c>
      <c r="H1651" t="s">
        <v>292</v>
      </c>
    </row>
    <row r="1652" spans="1:12" ns3:dyDescent="0.2">
      <c r="A1652" t="s">
        <v>482</v>
      </c>
      <c r="B1652" s="2">
        <v>2</v>
      </c>
      <c r="D1652" t="s">
        <v>17</v>
      </c>
      <c r="E1652" t="s">
        <v>485</v>
      </c>
      <c r="F1652" t="s">
        <v>27</v>
      </c>
    </row>
    <row r="1653" spans="1:12" ns3:dyDescent="0.2">
      <c r="A1653" s="53"/>
      <c r="B1653"/>
    </row>
    <row r="1654">
      <c r="A1654" t="inlineStr">
        <is>
          <t>Activity</t>
        </is>
      </c>
      <c r="B1654" t="inlineStr">
        <is>
          <t>electricity, used in residential electric appliances</t>
        </is>
      </c>
    </row>
    <row r="1655">
      <c r="A1655" t="inlineStr">
        <is>
          <t>location</t>
        </is>
      </c>
      <c r="B1655" t="inlineStr">
        <is>
          <t>CH</t>
        </is>
      </c>
    </row>
    <row r="1656">
      <c r="A1656" t="inlineStr">
        <is>
          <t>production amount</t>
        </is>
      </c>
      <c r="B1656">
        <v>1</v>
      </c>
    </row>
    <row r="1657">
      <c r="A1657" t="inlineStr">
        <is>
          <t>reference product</t>
        </is>
      </c>
      <c r="B1657" t="inlineStr">
        <is>
          <t>electricity, low voltage</t>
        </is>
      </c>
    </row>
    <row r="1658">
      <c r="A1658" t="inlineStr">
        <is>
          <t>type</t>
        </is>
      </c>
      <c r="B1658" t="inlineStr">
        <is>
          <t>process</t>
        </is>
      </c>
    </row>
    <row r="1659">
      <c r="A1659" t="inlineStr">
        <is>
          <t>unit</t>
        </is>
      </c>
      <c r="B1659" t="inlineStr">
        <is>
          <t>megajoule</t>
        </is>
      </c>
    </row>
    <row r="1660">
      <c r="A1660" t="inlineStr">
        <is>
          <t>aggregate electric equipment</t>
        </is>
      </c>
      <c r="B1660" t="inlineStr">
        <is>
          <t>{"pathway": "FE_residential_FE_other_electric", "name": "electricity, used in residential electric appliances", "energy_PJ": {"lighting": 5.0, "refrigerator": 5.6, "washer": 4.5, "dishwasher": 2.1, "unresolved_HVAC": 4.2, "unresolved_ICT": 6.0, "unresolved_other": 8.4, "unresolved_cooking": 8.2}, "limitations": ["Refrigerator, washer and dishwasher additions contain identifiable copper, cables and circuit boards only. Undifferentiated metal masses are not assigned to motors or heaters.", "Refrigerator represents freezing too; washer represents washing and drying. These proxies do not cover complete functional equipment.", "Appliance lifetimes use the source inventories, respectively 10, 10 and 12.5 years; Swiss stock energy use sets lifetime throughput.", "Lighting uses a CFL proxy. HVAC, ICT, cooking and residual equipment remain gaps."], "id": "residential", "sources": {"swiss_enduse": {"url": "https://pubdb.bfe.admin.ch/de/publication/download/12358", "locator": "Tables 23, 24, 28 and 32, 2020 columns; space/water/process heating excluded from industry/services other electricity."}, "swiss_appliances": {"url": "https://pubdb.bfe.admin.ch/de/publication/download/10742", "locator": "Sections 3.1.3, 3.2 and 3.5; 2020 stock consumption, 214 kWh/year refrigerator, 255 washer, 203 dishwasher. Later editions revise historical values."}, "abb_motor": {"url": "https://library.e.abb.com/public/6d5d9840ca2fa0f3c1256d63003e98bf/EPD%20M3JP180GB.pdf", "locator": "Page 1; M3JP 180MLB, 22 kW shaft output, 93.1% efficiency, 15 years, 5000 hours/year; product material table, excluding wooden packaging."}}, "boundary": "Energy conversion components only; appliance housings, structural frames, buildings and distribution networks excluded.", "interpretation": "Static representative equipment per lifetime MJ; Swiss 2020 energy shares are held constant to 2050, not projected technology shares.", "shares": {"lighting": 0.11363636363636363, "refrigerator": 0.12727272727272726, "washer": 0.10227272727272728, "dishwasher": 0.04772727272727273, "unresolved_HVAC": 0.09545454545454546, "unresolved_ICT": 0.13636363636363635, "unresolved_other": 0.19090909090909092, "unresolved_cooking": 0.18636363636363634}, "components": [{"category": "lighting", "share": 0.11363636363636363, "per_MJ_of_category": 0.002777777777777778, "exchange": {"name": "compact fluorescent lamp production", "product": "compact fluorescent lamp", "location": "GLO", "unit": "unit", "type": "technosphere", "amount": 0.0003156565656565657}}, {"category": "refrigerator", "share": 0.12727272727272726, "per_MJ_of_category": 0.00012980269989615784, "exchange": {"name": "energy equipment production, identified electrical components of refrigerator (SPS)", "product": "energy equipment production, identified electrical components of refrigerator (SPS)", "location": "RER", "unit": "unit", "type": "technosphere", "amount": 1.652034362314736e-05}}, {"category": "washer", "share": 0.10227272727272728, "per_MJ_of_category": 0.00010893246187363834, "exchange": {"name": "energy equipment production, identified electrical components of washer (SPS)", "product": "energy equipment production, identified electrical components of washer (SPS)", "location": "RER", "unit": "unit", "type": "technosphere", "amount": 1.1140819964349376e-05}}, {"category": "dishwasher", "share": 0.04772727272727273, "per_MJ_of_category": 0.00010946907498631637, "exchange": {"name": "energy equipment production, identified electrical components of dishwasher (SPS)", "product": "energy equipment production, identified electrical components of dishwasher (SPS)", "location": "RER", "unit": "unit", "type": "technosphere", "amount": 5.22466039707419e-06}}], "fraction with some identified components": 0.39090909090909093, "fraction without equipment": 0.6090909090909091}</t>
        </is>
      </c>
    </row>
    <row r="1661">
      <c r="A1661" t="inlineStr">
        <is>
          <t>comment</t>
        </is>
      </c>
      <c r="B1661" t="inlineStr">
        <is>
          <t>Energy conversion components only; appliance housings, structural frames, buildings and distribution networks excluded. Static representative equipment per lifetime MJ; Swiss 2020 energy shares are held constant to 2050, not projected technology shares. Refrigerator, washer and dishwasher additions contain identifiable copper, cables and circuit boards only. Undifferentiated metal masses are not assigned to motors or heaters. Refrigerator represents freezing too; washer represents washing and drying. These proxies do not cover complete functional equipment. Appliance lifetimes use the source inventories, respectively 10, 10 and 12.5 years; Swiss stock energy use sets lifetime throughput. Lighting uses a CFL proxy. HVAC, ICT, cooking and residual equipment remain gaps.</t>
        </is>
      </c>
    </row>
    <row r="1662">
      <c r="A1662" t="inlineStr">
        <is>
          <t>Exchanges</t>
        </is>
      </c>
    </row>
    <row r="1663">
      <c r="A1663" t="inlineStr">
        <is>
          <t>name</t>
        </is>
      </c>
      <c r="B1663" t="inlineStr">
        <is>
          <t>amount</t>
        </is>
      </c>
      <c r="C1663" t="inlineStr">
        <is>
          <t>location</t>
        </is>
      </c>
      <c r="D1663" t="inlineStr">
        <is>
          <t>unit</t>
        </is>
      </c>
      <c r="E1663" t="inlineStr">
        <is>
          <t>categories</t>
        </is>
      </c>
      <c r="F1663" t="inlineStr">
        <is>
          <t>type</t>
        </is>
      </c>
      <c r="G1663" t="inlineStr">
        <is>
          <t>reference product</t>
        </is>
      </c>
      <c r="H1663" t="inlineStr">
        <is>
          <t>comment</t>
        </is>
      </c>
      <c r="I1663" t="inlineStr">
        <is>
          <t>uncertainty type</t>
        </is>
      </c>
    </row>
    <row r="1664">
      <c r="A1664" t="inlineStr">
        <is>
          <t>electricity, used in residential electric appliances</t>
        </is>
      </c>
      <c r="B1664">
        <v>1</v>
      </c>
      <c r="C1664" t="inlineStr">
        <is>
          <t>CH</t>
        </is>
      </c>
      <c r="D1664" t="inlineStr">
        <is>
          <t>megajoule</t>
        </is>
      </c>
      <c r="F1664" t="inlineStr">
        <is>
          <t>production</t>
        </is>
      </c>
      <c r="G1664" t="inlineStr">
        <is>
          <t>electricity, low voltage</t>
        </is>
      </c>
    </row>
    <row r="1665">
      <c r="A1665" t="inlineStr">
        <is>
          <t>market for electricity, low voltage</t>
        </is>
      </c>
      <c r="B1665">
        <v>0.2777777777777778</v>
      </c>
      <c r="C1665" t="inlineStr">
        <is>
          <t>CH</t>
        </is>
      </c>
      <c r="D1665" t="inlineStr">
        <is>
          <t>kilowatt hour</t>
        </is>
      </c>
      <c r="F1665" t="inlineStr">
        <is>
          <t>technosphere</t>
        </is>
      </c>
      <c r="G1665" t="inlineStr">
        <is>
          <t>electricity, low voltage</t>
        </is>
      </c>
    </row>
    <row r="1666">
      <c r="A1666" t="inlineStr">
        <is>
          <t>compact fluorescent lamp production</t>
        </is>
      </c>
      <c r="B1666">
        <v>0.0003156565656565657</v>
      </c>
      <c r="C1666" t="inlineStr">
        <is>
          <t>GLO</t>
        </is>
      </c>
      <c r="D1666" t="inlineStr">
        <is>
          <t>unit</t>
        </is>
      </c>
      <c r="F1666" t="inlineStr">
        <is>
          <t>technosphere</t>
        </is>
      </c>
      <c r="G1666" t="inlineStr">
        <is>
          <t>compact fluorescent lamp</t>
        </is>
      </c>
    </row>
    <row r="1667">
      <c r="A1667" t="inlineStr">
        <is>
          <t>energy equipment production, identified electrical components of refrigerator (SPS)</t>
        </is>
      </c>
      <c r="B1667">
        <v>1.652034362314736e-05</v>
      </c>
      <c r="C1667" t="inlineStr">
        <is>
          <t>RER</t>
        </is>
      </c>
      <c r="D1667" t="inlineStr">
        <is>
          <t>unit</t>
        </is>
      </c>
      <c r="F1667" t="inlineStr">
        <is>
          <t>technosphere</t>
        </is>
      </c>
      <c r="G1667" t="inlineStr">
        <is>
          <t>energy equipment production, identified electrical components of refrigerator (SPS)</t>
        </is>
      </c>
    </row>
    <row r="1668">
      <c r="A1668" t="inlineStr">
        <is>
          <t>energy equipment production, identified electrical components of washer (SPS)</t>
        </is>
      </c>
      <c r="B1668">
        <v>1.1140819964349376e-05</v>
      </c>
      <c r="C1668" t="inlineStr">
        <is>
          <t>RER</t>
        </is>
      </c>
      <c r="D1668" t="inlineStr">
        <is>
          <t>unit</t>
        </is>
      </c>
      <c r="F1668" t="inlineStr">
        <is>
          <t>technosphere</t>
        </is>
      </c>
      <c r="G1668" t="inlineStr">
        <is>
          <t>energy equipment production, identified electrical components of washer (SPS)</t>
        </is>
      </c>
    </row>
    <row r="1669">
      <c r="A1669" t="inlineStr">
        <is>
          <t>energy equipment production, identified electrical components of dishwasher (SPS)</t>
        </is>
      </c>
      <c r="B1669">
        <v>5.22466039707419e-06</v>
      </c>
      <c r="C1669" t="inlineStr">
        <is>
          <t>RER</t>
        </is>
      </c>
      <c r="D1669" t="inlineStr">
        <is>
          <t>unit</t>
        </is>
      </c>
      <c r="F1669" t="inlineStr">
        <is>
          <t>technosphere</t>
        </is>
      </c>
      <c r="G1669" t="inlineStr">
        <is>
          <t>energy equipment production, identified electrical components of dishwasher (SPS)</t>
        </is>
      </c>
    </row>
    <row r="1670"/>
    <row r="1671" spans="1:12" ht="16" ns3:dyDescent="0.2">
      <c r="A1671" s="1" t="s">
        <v>0</v>
      </c>
      <c r="B1671" s="1" t="s">
        <v>346</v>
      </c>
      <c r="C1671" s="53"/>
      <c r="D1671" s="53"/>
      <c r="E1671" s="53"/>
      <c r="F1671" s="53"/>
      <c r="G1671" s="53"/>
      <c r="H1671" s="53"/>
    </row>
    <row r="1672" spans="1:12" ns3:dyDescent="0.2">
      <c r="A1672" s="53" t="s">
        <v>1</v>
      </c>
      <c r="B1672" s="53" t="s">
        <v>104</v>
      </c>
      <c r="C1672" s="53"/>
      <c r="D1672" s="53"/>
      <c r="E1672" s="53"/>
      <c r="F1672" s="53"/>
      <c r="G1672" s="53"/>
      <c r="H1672" s="53"/>
      <c r="I1672" s="53"/>
      <c r="J1672" s="53"/>
      <c r="K1672" s="53"/>
      <c r="L1672" s="53"/>
    </row>
    <row r="1673" spans="1:12" ns3:dyDescent="0.2">
      <c r="A1673" s="53" t="s">
        <v>2</v>
      </c>
      <c r="B1673" s="53">
        <v>1</v>
      </c>
      <c r="C1673" s="53"/>
      <c r="D1673" s="53"/>
      <c r="E1673" s="53"/>
      <c r="F1673" s="53"/>
      <c r="G1673" s="53"/>
      <c r="H1673" s="53"/>
      <c r="I1673" s="53"/>
      <c r="J1673" s="53"/>
      <c r="K1673" s="53"/>
      <c r="L1673" s="53"/>
    </row>
    <row r="1674" spans="1:12" ns3:dyDescent="0.2">
      <c r="A1674" s="53" t="s">
        <v>3</v>
      </c>
      <c r="B1674" s="53" t="s">
        <v>285</v>
      </c>
      <c r="C1674" s="53"/>
      <c r="D1674" s="53"/>
      <c r="E1674" s="53"/>
      <c r="F1674" s="53"/>
      <c r="G1674" s="53"/>
      <c r="H1674" s="53"/>
      <c r="I1674" s="53"/>
      <c r="J1674" s="53"/>
    </row>
    <row r="1675" spans="1:12" ns3:dyDescent="0.2">
      <c r="A1675" s="53" t="s">
        <v>4</v>
      </c>
      <c r="B1675" s="53" t="s">
        <v>5</v>
      </c>
      <c r="C1675" s="53"/>
      <c r="D1675" s="53"/>
      <c r="E1675" s="53"/>
      <c r="F1675" s="53"/>
      <c r="G1675" s="53"/>
      <c r="H1675" s="53"/>
      <c r="I1675" s="53"/>
      <c r="J1675" s="53"/>
      <c r="K1675" s="53"/>
      <c r="L1675" s="53"/>
    </row>
    <row r="1676" spans="1:12" ns3:dyDescent="0.2">
      <c r="A1676" s="53" t="s">
        <v>6</v>
      </c>
      <c r="B1676" s="53" t="s">
        <v>17</v>
      </c>
      <c r="C1676" s="53"/>
      <c r="D1676" s="53"/>
      <c r="E1676" s="53"/>
      <c r="F1676" s="53"/>
      <c r="G1676" s="53"/>
      <c r="H1676" s="53"/>
      <c r="I1676" s="53"/>
      <c r="J1676" s="53"/>
      <c r="K1676" s="53"/>
      <c r="L1676" s="53"/>
    </row>
    <row r="1677" spans="1:12" ht="16" ns3:dyDescent="0.2">
      <c r="A1677" s="1" t="s">
        <v>10</v>
      </c>
      <c r="B1677" s="53"/>
      <c r="C1677" s="53"/>
      <c r="D1677" s="53"/>
      <c r="E1677" s="53"/>
      <c r="F1677" s="53"/>
      <c r="G1677" s="53"/>
      <c r="H1677" s="53"/>
      <c r="I1677" s="53"/>
      <c r="J1677" s="53"/>
      <c r="K1677" s="53"/>
      <c r="L1677" s="53"/>
    </row>
    <row r="1678" spans="1:12" ns3:dyDescent="0.2">
      <c r="A1678" s="53" t="s">
        <v>11</v>
      </c>
      <c r="B1678" s="53" t="s">
        <v>12</v>
      </c>
      <c r="C1678" s="53" t="s">
        <v>1</v>
      </c>
      <c r="D1678" s="53" t="s">
        <v>6</v>
      </c>
      <c r="E1678" s="53" t="s">
        <v>13</v>
      </c>
      <c r="F1678" s="53" t="s">
        <v>4</v>
      </c>
      <c r="G1678" s="50" t="s">
        <v>9</v>
      </c>
      <c r="H1678" s="53" t="s">
        <v>3</v>
      </c>
      <c r="I1678" s="53"/>
      <c r="J1678" s="53"/>
      <c r="K1678" s="53"/>
    </row>
    <row r="1679" spans="1:12" ns3:dyDescent="0.2">
      <c r="A1679" s="53" t="str">
        <f>B1671</f>
        <v>light fuel oil, burned in residential 10kW boiler</v>
      </c>
      <c r="B1679" s="53">
        <v>1</v>
      </c>
      <c r="C1679" s="53" t="str">
        <f>B1672</f>
        <v>CH</v>
      </c>
      <c r="D1679" s="53" t="str">
        <f>B1676</f>
        <v>megajoule</v>
      </c>
      <c r="E1679" s="53"/>
      <c r="F1679" s="53" t="s">
        <v>15</v>
      </c>
      <c r="H1679" s="53" t="str">
        <f>B1674</f>
        <v>heat</v>
      </c>
      <c r="I1679" s="53"/>
      <c r="J1679" s="53"/>
      <c r="K1679" s="53"/>
      <c r="L1679" s="53"/>
    </row>
    <row r="1680" spans="1:12" ns3:dyDescent="0.2">
      <c r="A1680" s="53" t="s">
        <v>345</v>
      </c>
      <c r="B1680">
        <f>1/(0.02342*40.1)</f>
        <v>1.0648017019790403</v>
      </c>
      <c r="C1680" t="s">
        <v>104</v>
      </c>
      <c r="D1680" t="s">
        <v>17</v>
      </c>
      <c r="F1680" t="s">
        <v>18</v>
      </c>
      <c r="H1680" t="s">
        <v>318</v>
      </c>
    </row>
    <row r="1682" spans="1:12" ht="16" ns3:dyDescent="0.2">
      <c r="A1682" s="1" t="s">
        <v>0</v>
      </c>
      <c r="B1682" s="1" t="s">
        <v>349</v>
      </c>
      <c r="C1682" s="53"/>
      <c r="D1682" s="53"/>
      <c r="E1682" s="53"/>
      <c r="F1682" s="53"/>
      <c r="H1682" s="53"/>
    </row>
    <row r="1683" spans="1:12" ns3:dyDescent="0.2">
      <c r="A1683" s="53" t="s">
        <v>1</v>
      </c>
      <c r="B1683" s="53" t="s">
        <v>104</v>
      </c>
      <c r="C1683" s="53"/>
      <c r="D1683" s="53"/>
      <c r="E1683" s="53"/>
      <c r="F1683" s="53"/>
      <c r="H1683" s="53"/>
      <c r="I1683" s="53"/>
      <c r="J1683" s="53"/>
      <c r="K1683" s="53"/>
      <c r="L1683" s="53"/>
    </row>
    <row r="1684" spans="1:12" ns3:dyDescent="0.2">
      <c r="A1684" s="53" t="s">
        <v>2</v>
      </c>
      <c r="B1684" s="53">
        <v>1</v>
      </c>
      <c r="C1684" s="53"/>
      <c r="D1684" s="53"/>
      <c r="E1684" s="53"/>
      <c r="F1684" s="53"/>
      <c r="H1684" s="53"/>
      <c r="I1684" s="53"/>
      <c r="J1684" s="53"/>
      <c r="K1684" s="53"/>
      <c r="L1684" s="53"/>
    </row>
    <row r="1685" spans="1:12" ns3:dyDescent="0.2">
      <c r="A1685" s="53" t="s">
        <v>3</v>
      </c>
      <c r="B1685" s="53" t="s">
        <v>285</v>
      </c>
      <c r="C1685" s="53"/>
      <c r="D1685" s="53"/>
      <c r="E1685" s="53"/>
      <c r="F1685" s="53"/>
      <c r="H1685" s="53"/>
      <c r="I1685" s="53"/>
      <c r="J1685" s="53"/>
    </row>
    <row r="1686" spans="1:12" ns3:dyDescent="0.2">
      <c r="A1686" s="53" t="s">
        <v>4</v>
      </c>
      <c r="B1686" s="53" t="s">
        <v>5</v>
      </c>
      <c r="C1686" s="53"/>
      <c r="D1686" s="53"/>
      <c r="E1686" s="53"/>
      <c r="F1686" s="53"/>
      <c r="H1686" s="53"/>
      <c r="I1686" s="53"/>
      <c r="J1686" s="53"/>
      <c r="K1686" s="53"/>
      <c r="L1686" s="53"/>
    </row>
    <row r="1687" spans="1:12" ns3:dyDescent="0.2">
      <c r="A1687" s="53" t="s">
        <v>6</v>
      </c>
      <c r="B1687" s="53" t="s">
        <v>17</v>
      </c>
      <c r="C1687" s="53"/>
      <c r="D1687" s="53"/>
      <c r="E1687" s="53"/>
      <c r="F1687" s="53"/>
      <c r="H1687" s="53"/>
      <c r="I1687" s="53"/>
      <c r="J1687" s="53"/>
      <c r="K1687" s="53"/>
      <c r="L1687" s="53"/>
    </row>
    <row r="1688" spans="1:12" ht="16" ns3:dyDescent="0.2">
      <c r="A1688" s="1" t="s">
        <v>10</v>
      </c>
      <c r="B1688" s="53"/>
      <c r="C1688" s="53"/>
      <c r="D1688" s="53"/>
      <c r="E1688" s="53"/>
      <c r="F1688" s="53"/>
      <c r="H1688" s="53"/>
      <c r="I1688" s="53"/>
      <c r="J1688" s="53"/>
      <c r="K1688" s="53"/>
      <c r="L1688" s="53"/>
    </row>
    <row r="1689" spans="1:12" ns3:dyDescent="0.2">
      <c r="A1689" s="53" t="s">
        <v>11</v>
      </c>
      <c r="B1689" s="53" t="s">
        <v>12</v>
      </c>
      <c r="C1689" s="53" t="s">
        <v>1</v>
      </c>
      <c r="D1689" s="53" t="s">
        <v>6</v>
      </c>
      <c r="E1689" s="53" t="s">
        <v>13</v>
      </c>
      <c r="F1689" s="53" t="s">
        <v>4</v>
      </c>
      <c r="G1689" s="50" t="s">
        <v>9</v>
      </c>
      <c r="H1689" s="53" t="s">
        <v>3</v>
      </c>
      <c r="I1689" s="53"/>
      <c r="J1689" s="53"/>
      <c r="K1689" s="53"/>
    </row>
    <row r="1690" spans="1:12" ns3:dyDescent="0.2">
      <c r="A1690" s="53" t="str">
        <f>B1682</f>
        <v>natural gas, burned in residential natural gas boiler &lt;100kW</v>
      </c>
      <c r="B1690" s="53">
        <v>1</v>
      </c>
      <c r="C1690" s="53" t="str">
        <f>B1683</f>
        <v>CH</v>
      </c>
      <c r="D1690" s="53" t="str">
        <f>B1687</f>
        <v>megajoule</v>
      </c>
      <c r="E1690" s="53"/>
      <c r="F1690" s="53" t="s">
        <v>15</v>
      </c>
      <c r="H1690" s="53" t="str">
        <f>B1685</f>
        <v>heat</v>
      </c>
      <c r="I1690" s="53"/>
      <c r="J1690" s="53"/>
      <c r="K1690" s="53"/>
      <c r="L1690" s="53"/>
    </row>
    <row r="1691" spans="1:12" ns3:dyDescent="0.2">
      <c r="A1691" s="53" t="s">
        <v>347</v>
      </c>
      <c r="B1691">
        <f>1/(0.025337607*36)</f>
        <v>1.0963062840850668</v>
      </c>
      <c r="C1691" t="s">
        <v>104</v>
      </c>
      <c r="D1691" t="s">
        <v>17</v>
      </c>
      <c r="F1691" t="s">
        <v>18</v>
      </c>
      <c r="H1691" t="s">
        <v>348</v>
      </c>
    </row>
    <row r="1692" spans="1:12" ns3:dyDescent="0.2">
      <c r="B1692"/>
    </row>
    <row r="1693">
      <c r="A1693" t="inlineStr">
        <is>
          <t>Activity</t>
        </is>
      </c>
      <c r="B1693" t="inlineStr">
        <is>
          <t>hard coal, burned in hard coal residential boiler 5-15kW</t>
        </is>
      </c>
    </row>
    <row r="1694">
      <c r="A1694" t="inlineStr">
        <is>
          <t>location</t>
        </is>
      </c>
      <c r="B1694" t="inlineStr">
        <is>
          <t>CH</t>
        </is>
      </c>
    </row>
    <row r="1695">
      <c r="A1695" t="inlineStr">
        <is>
          <t>production amount</t>
        </is>
      </c>
      <c r="B1695">
        <v>1</v>
      </c>
    </row>
    <row r="1696">
      <c r="A1696" t="inlineStr">
        <is>
          <t>reference product</t>
        </is>
      </c>
      <c r="B1696" t="inlineStr">
        <is>
          <t>heat</t>
        </is>
      </c>
    </row>
    <row r="1697">
      <c r="A1697" t="inlineStr">
        <is>
          <t>type</t>
        </is>
      </c>
      <c r="B1697" t="inlineStr">
        <is>
          <t>process</t>
        </is>
      </c>
    </row>
    <row r="1698">
      <c r="A1698" t="inlineStr">
        <is>
          <t>unit</t>
        </is>
      </c>
      <c r="B1698" t="inlineStr">
        <is>
          <t>megajoule</t>
        </is>
      </c>
    </row>
    <row r="1699">
      <c r="A1699" t="inlineStr">
        <is>
          <t>Swiss heat provider routing</t>
        </is>
      </c>
      <c r="B1699" t="inlineStr">
        <is>
          <t>[{"wrapper": "hard coal, burned in hard coal residential boiler 5-15kW", "wrapper_product": "heat", "supplier": "heat production, hard coal briquette, stove 5-15kW", "product": "heat, central or small-scale, other than natural gas", "previous_location": "Europe without Switzerland", "location": "CH", "amount": 0.8, "unit": "megajoule"}]</t>
        </is>
      </c>
    </row>
    <row r="1700">
      <c r="A1700" t="inlineStr">
        <is>
          <t>Exchanges</t>
        </is>
      </c>
    </row>
    <row r="1701">
      <c r="A1701" t="inlineStr">
        <is>
          <t>name</t>
        </is>
      </c>
      <c r="B1701" t="inlineStr">
        <is>
          <t>amount</t>
        </is>
      </c>
      <c r="C1701" t="inlineStr">
        <is>
          <t>location</t>
        </is>
      </c>
      <c r="D1701" t="inlineStr">
        <is>
          <t>unit</t>
        </is>
      </c>
      <c r="E1701" t="inlineStr">
        <is>
          <t>categories</t>
        </is>
      </c>
      <c r="F1701" t="inlineStr">
        <is>
          <t>type</t>
        </is>
      </c>
      <c r="G1701" t="inlineStr">
        <is>
          <t>reference product</t>
        </is>
      </c>
      <c r="H1701" t="inlineStr">
        <is>
          <t>comment</t>
        </is>
      </c>
      <c r="I1701" t="inlineStr">
        <is>
          <t>uncertainty type</t>
        </is>
      </c>
    </row>
    <row r="1702">
      <c r="A1702" t="inlineStr">
        <is>
          <t>hard coal, burned in hard coal residential boiler 5-15kW</t>
        </is>
      </c>
      <c r="B1702">
        <v>1</v>
      </c>
      <c r="C1702" t="inlineStr">
        <is>
          <t>CH</t>
        </is>
      </c>
      <c r="D1702" t="inlineStr">
        <is>
          <t>megajoule</t>
        </is>
      </c>
      <c r="F1702" t="inlineStr">
        <is>
          <t>production</t>
        </is>
      </c>
      <c r="G1702" t="inlineStr">
        <is>
          <t>heat</t>
        </is>
      </c>
    </row>
    <row r="1703">
      <c r="A1703" t="inlineStr">
        <is>
          <t>heat production, hard coal briquette, stove 5-15kW</t>
        </is>
      </c>
      <c r="B1703">
        <v>0.8</v>
      </c>
      <c r="C1703" t="inlineStr">
        <is>
          <t>Europe without Switzerland</t>
        </is>
      </c>
      <c r="D1703" t="inlineStr">
        <is>
          <t>megajoule</t>
        </is>
      </c>
      <c r="F1703" t="inlineStr">
        <is>
          <t>technosphere</t>
        </is>
      </c>
      <c r="G1703" t="inlineStr">
        <is>
          <t>heat, central or small-scale, other than natural gas</t>
        </is>
      </c>
    </row>
    <row r="1704"/>
    <row r="1705" spans="1:12" ht="16" ns3:dyDescent="0.2">
      <c r="A1705" s="1" t="s">
        <v>0</v>
      </c>
      <c r="B1705" s="1" t="s">
        <v>353</v>
      </c>
      <c r="C1705" s="53"/>
      <c r="D1705" s="53"/>
      <c r="E1705" s="53"/>
      <c r="F1705" s="53"/>
      <c r="H1705" s="53"/>
    </row>
    <row r="1706" spans="1:12" ns3:dyDescent="0.2">
      <c r="A1706" s="53" t="s">
        <v>1</v>
      </c>
      <c r="B1706" s="53" t="s">
        <v>104</v>
      </c>
      <c r="C1706" s="53"/>
      <c r="D1706" s="53"/>
      <c r="E1706" s="53"/>
      <c r="F1706" s="53"/>
      <c r="H1706" s="53"/>
      <c r="I1706" s="53"/>
      <c r="J1706" s="53"/>
      <c r="K1706" s="53"/>
      <c r="L1706" s="53"/>
    </row>
    <row r="1707" spans="1:12" ns3:dyDescent="0.2">
      <c r="A1707" s="53" t="s">
        <v>2</v>
      </c>
      <c r="B1707" s="53">
        <v>1</v>
      </c>
      <c r="C1707" s="53"/>
      <c r="D1707" s="53"/>
      <c r="E1707" s="53"/>
      <c r="F1707" s="53"/>
      <c r="H1707" s="53"/>
      <c r="I1707" s="53"/>
      <c r="J1707" s="53"/>
      <c r="K1707" s="53"/>
      <c r="L1707" s="53"/>
    </row>
    <row r="1708" spans="1:12" ns3:dyDescent="0.2">
      <c r="A1708" s="53" t="s">
        <v>3</v>
      </c>
      <c r="B1708" s="53" t="s">
        <v>285</v>
      </c>
      <c r="C1708" s="53"/>
      <c r="D1708" s="53"/>
      <c r="E1708" s="53"/>
      <c r="F1708" s="53"/>
      <c r="H1708" s="53"/>
      <c r="I1708" s="53"/>
      <c r="J1708" s="53"/>
    </row>
    <row r="1709" spans="1:12" ns3:dyDescent="0.2">
      <c r="A1709" s="53" t="s">
        <v>4</v>
      </c>
      <c r="B1709" s="53" t="s">
        <v>5</v>
      </c>
      <c r="C1709" s="53"/>
      <c r="D1709" s="53"/>
      <c r="E1709" s="53"/>
      <c r="F1709" s="53"/>
      <c r="H1709" s="53"/>
      <c r="I1709" s="53"/>
      <c r="J1709" s="53"/>
      <c r="K1709" s="53"/>
      <c r="L1709" s="53"/>
    </row>
    <row r="1710" spans="1:12" ns3:dyDescent="0.2">
      <c r="A1710" s="53" t="s">
        <v>6</v>
      </c>
      <c r="B1710" s="53" t="s">
        <v>17</v>
      </c>
      <c r="C1710" s="53"/>
      <c r="D1710" s="53"/>
      <c r="E1710" s="53"/>
      <c r="F1710" s="53"/>
      <c r="H1710" s="53"/>
      <c r="I1710" s="53"/>
      <c r="J1710" s="53"/>
      <c r="K1710" s="53"/>
      <c r="L1710" s="53"/>
    </row>
    <row r="1711" spans="1:12" ht="16" ns3:dyDescent="0.2">
      <c r="A1711" s="1" t="s">
        <v>10</v>
      </c>
      <c r="B1711" s="53"/>
      <c r="C1711" s="53"/>
      <c r="D1711" s="53"/>
      <c r="E1711" s="53"/>
      <c r="F1711" s="53"/>
      <c r="H1711" s="53"/>
      <c r="I1711" s="53"/>
      <c r="J1711" s="53"/>
      <c r="K1711" s="53"/>
      <c r="L1711" s="53"/>
    </row>
    <row r="1712" spans="1:12" ns3:dyDescent="0.2">
      <c r="A1712" s="53" t="s">
        <v>11</v>
      </c>
      <c r="B1712" s="53" t="s">
        <v>12</v>
      </c>
      <c r="C1712" s="53" t="s">
        <v>1</v>
      </c>
      <c r="D1712" s="53" t="s">
        <v>6</v>
      </c>
      <c r="E1712" s="53" t="s">
        <v>13</v>
      </c>
      <c r="F1712" s="53" t="s">
        <v>4</v>
      </c>
      <c r="G1712" s="50" t="s">
        <v>9</v>
      </c>
      <c r="H1712" s="53" t="s">
        <v>3</v>
      </c>
      <c r="I1712" s="53"/>
      <c r="J1712" s="53"/>
      <c r="K1712" s="53"/>
    </row>
    <row r="1713" spans="1:12" ns3:dyDescent="0.2">
      <c r="A1713" s="53" t="str">
        <f>B1705</f>
        <v>wood, burned in residential wood stove 5-15kW</v>
      </c>
      <c r="B1713" s="53">
        <v>1</v>
      </c>
      <c r="C1713" s="53" t="str">
        <f>B1706</f>
        <v>CH</v>
      </c>
      <c r="D1713" s="53" t="str">
        <f>B1710</f>
        <v>megajoule</v>
      </c>
      <c r="E1713" s="53"/>
      <c r="F1713" s="53" t="s">
        <v>15</v>
      </c>
      <c r="H1713" s="53" t="str">
        <f>B1708</f>
        <v>heat</v>
      </c>
      <c r="I1713" s="53"/>
      <c r="J1713" s="53"/>
      <c r="K1713" s="53"/>
      <c r="L1713" s="53"/>
    </row>
    <row r="1714" spans="1:12" ns3:dyDescent="0.2">
      <c r="A1714" s="53" t="s">
        <v>352</v>
      </c>
      <c r="B1714">
        <f>1/(0.1078*19.1)</f>
        <v>0.48567737423384383</v>
      </c>
      <c r="C1714" t="s">
        <v>104</v>
      </c>
      <c r="D1714" t="s">
        <v>17</v>
      </c>
      <c r="F1714" t="s">
        <v>18</v>
      </c>
      <c r="H1714" t="s">
        <v>318</v>
      </c>
    </row>
    <row r="1715" spans="1:12" ns3:dyDescent="0.2">
      <c r="B1715"/>
    </row>
    <row r="1716" spans="1:12" ht="16" ns3:dyDescent="0.2">
      <c r="A1716" s="1" t="s">
        <v>0</v>
      </c>
      <c r="B1716" s="1" t="s">
        <v>354</v>
      </c>
      <c r="C1716" s="53"/>
      <c r="D1716" s="53"/>
      <c r="E1716" s="53"/>
      <c r="F1716" s="53"/>
      <c r="H1716" s="53"/>
    </row>
    <row r="1717" spans="1:12" ns3:dyDescent="0.2">
      <c r="A1717" s="53" t="s">
        <v>1</v>
      </c>
      <c r="B1717" s="53" t="s">
        <v>104</v>
      </c>
      <c r="C1717" s="53"/>
      <c r="D1717" s="53"/>
      <c r="E1717" s="53"/>
      <c r="F1717" s="53"/>
      <c r="H1717" s="53"/>
      <c r="I1717" s="53"/>
      <c r="J1717" s="53"/>
      <c r="K1717" s="53"/>
      <c r="L1717" s="53"/>
    </row>
    <row r="1718" spans="1:12" ns3:dyDescent="0.2">
      <c r="A1718" s="53" t="s">
        <v>2</v>
      </c>
      <c r="B1718" s="53">
        <v>1</v>
      </c>
      <c r="C1718" s="53"/>
      <c r="D1718" s="53"/>
      <c r="E1718" s="53"/>
      <c r="F1718" s="53"/>
      <c r="H1718" s="53"/>
      <c r="I1718" s="53"/>
      <c r="J1718" s="53"/>
      <c r="K1718" s="53"/>
      <c r="L1718" s="53"/>
    </row>
    <row r="1719" spans="1:12" ns3:dyDescent="0.2">
      <c r="A1719" s="53" t="s">
        <v>3</v>
      </c>
      <c r="B1719" s="53" t="s">
        <v>285</v>
      </c>
      <c r="C1719" s="53"/>
      <c r="D1719" s="53"/>
      <c r="E1719" s="53"/>
      <c r="F1719" s="53"/>
      <c r="H1719" s="53"/>
      <c r="I1719" s="53"/>
      <c r="J1719" s="53"/>
    </row>
    <row r="1720" spans="1:12" ns3:dyDescent="0.2">
      <c r="A1720" s="53" t="s">
        <v>4</v>
      </c>
      <c r="B1720" s="53" t="s">
        <v>5</v>
      </c>
      <c r="C1720" s="53"/>
      <c r="D1720" s="53"/>
      <c r="E1720" s="53"/>
      <c r="F1720" s="53"/>
      <c r="H1720" s="53"/>
      <c r="I1720" s="53"/>
      <c r="J1720" s="53"/>
      <c r="K1720" s="53"/>
      <c r="L1720" s="53"/>
    </row>
    <row r="1721" spans="1:12" ns3:dyDescent="0.2">
      <c r="A1721" s="53" t="s">
        <v>6</v>
      </c>
      <c r="B1721" s="53" t="s">
        <v>17</v>
      </c>
      <c r="C1721" s="53"/>
      <c r="D1721" s="53"/>
      <c r="E1721" s="53"/>
      <c r="F1721" s="53"/>
      <c r="H1721" s="53"/>
      <c r="I1721" s="53"/>
      <c r="J1721" s="53"/>
      <c r="K1721" s="53"/>
      <c r="L1721" s="53"/>
    </row>
    <row r="1722" spans="1:12" ht="16" ns3:dyDescent="0.2">
      <c r="A1722" s="1" t="s">
        <v>10</v>
      </c>
      <c r="B1722" s="53"/>
      <c r="C1722" s="53"/>
      <c r="D1722" s="53"/>
      <c r="E1722" s="53"/>
      <c r="F1722" s="53"/>
      <c r="H1722" s="53"/>
      <c r="I1722" s="53"/>
      <c r="J1722" s="53"/>
      <c r="K1722" s="53"/>
      <c r="L1722" s="53"/>
    </row>
    <row r="1723" spans="1:12" ns3:dyDescent="0.2">
      <c r="A1723" s="53" t="s">
        <v>11</v>
      </c>
      <c r="B1723" s="53" t="s">
        <v>12</v>
      </c>
      <c r="C1723" s="53" t="s">
        <v>1</v>
      </c>
      <c r="D1723" s="53" t="s">
        <v>6</v>
      </c>
      <c r="E1723" s="53" t="s">
        <v>13</v>
      </c>
      <c r="F1723" s="53" t="s">
        <v>4</v>
      </c>
      <c r="G1723" s="50" t="s">
        <v>9</v>
      </c>
      <c r="H1723" s="53" t="s">
        <v>3</v>
      </c>
      <c r="I1723" s="53"/>
      <c r="J1723" s="53"/>
      <c r="K1723" s="53"/>
    </row>
    <row r="1724" spans="1:12" ns3:dyDescent="0.2">
      <c r="A1724" s="53" t="str">
        <f>B1716</f>
        <v>pellet, burned in residential pellet stove 5-15kW</v>
      </c>
      <c r="B1724" s="53">
        <v>1</v>
      </c>
      <c r="C1724" s="53" t="str">
        <f>B1717</f>
        <v>CH</v>
      </c>
      <c r="D1724" s="53" t="str">
        <f>B1721</f>
        <v>megajoule</v>
      </c>
      <c r="E1724" s="53"/>
      <c r="F1724" s="53" t="s">
        <v>15</v>
      </c>
      <c r="H1724" s="53" t="str">
        <f>B1719</f>
        <v>heat</v>
      </c>
      <c r="I1724" s="53"/>
      <c r="J1724" s="53"/>
      <c r="K1724" s="53"/>
      <c r="L1724" s="53"/>
    </row>
    <row r="1725" spans="1:12" ns3:dyDescent="0.2">
      <c r="A1725" s="53" t="s">
        <v>355</v>
      </c>
      <c r="B1725">
        <f>1/(0.0762357142857144*19.1)</f>
        <v>0.68676500814552244</v>
      </c>
      <c r="C1725" t="s">
        <v>104</v>
      </c>
      <c r="D1725" t="s">
        <v>17</v>
      </c>
      <c r="F1725" t="s">
        <v>18</v>
      </c>
      <c r="H1725" t="s">
        <v>318</v>
      </c>
    </row>
    <row r="1726" spans="1:12" ns3:dyDescent="0.2">
      <c r="A1726" t="s">
        <v>35</v>
      </c>
      <c r="B1726">
        <v>1</v>
      </c>
      <c r="D1726" t="s">
        <v>17</v>
      </c>
      <c r="E1726" t="s">
        <v>36</v>
      </c>
      <c r="F1726" t="s">
        <v>27</v>
      </c>
    </row>
    <row r="1728" spans="1:12" ht="16" ns3:dyDescent="0.2">
      <c r="A1728" s="1" t="s">
        <v>0</v>
      </c>
      <c r="B1728" s="1" t="s">
        <v>344</v>
      </c>
      <c r="C1728" s="53"/>
      <c r="D1728" s="53"/>
      <c r="E1728" s="53"/>
      <c r="F1728" s="53"/>
      <c r="H1728" s="53"/>
    </row>
    <row r="1729" spans="1:12" ns3:dyDescent="0.2">
      <c r="A1729" s="53" t="s">
        <v>1</v>
      </c>
      <c r="B1729" s="53" t="s">
        <v>104</v>
      </c>
      <c r="C1729" s="53"/>
      <c r="D1729" s="53"/>
      <c r="E1729" s="53"/>
      <c r="F1729" s="53"/>
      <c r="H1729" s="53"/>
      <c r="I1729" s="53"/>
      <c r="J1729" s="53"/>
      <c r="K1729" s="53"/>
      <c r="L1729" s="53"/>
    </row>
    <row r="1730" spans="1:12" ns3:dyDescent="0.2">
      <c r="A1730" s="53" t="s">
        <v>2</v>
      </c>
      <c r="B1730" s="53">
        <v>1</v>
      </c>
      <c r="C1730" s="53"/>
      <c r="D1730" s="53"/>
      <c r="E1730" s="53"/>
      <c r="F1730" s="53"/>
      <c r="H1730" s="53"/>
      <c r="I1730" s="53"/>
      <c r="J1730" s="53"/>
      <c r="K1730" s="53"/>
      <c r="L1730" s="53"/>
    </row>
    <row r="1731" spans="1:12" ns3:dyDescent="0.2">
      <c r="A1731" s="53" t="s">
        <v>3</v>
      </c>
      <c r="B1731" s="53" t="s">
        <v>285</v>
      </c>
      <c r="C1731" s="53"/>
      <c r="D1731" s="53"/>
      <c r="E1731" s="53"/>
      <c r="F1731" s="53"/>
      <c r="H1731" s="53"/>
      <c r="I1731" s="53"/>
      <c r="J1731" s="53"/>
    </row>
    <row r="1732" spans="1:12" ns3:dyDescent="0.2">
      <c r="A1732" s="53" t="s">
        <v>4</v>
      </c>
      <c r="B1732" s="53" t="s">
        <v>5</v>
      </c>
      <c r="C1732" s="53"/>
      <c r="D1732" s="53"/>
      <c r="E1732" s="53"/>
      <c r="F1732" s="53"/>
      <c r="H1732" s="53"/>
      <c r="I1732" s="53"/>
      <c r="J1732" s="53"/>
      <c r="K1732" s="53"/>
      <c r="L1732" s="53"/>
    </row>
    <row r="1733" spans="1:12" ns3:dyDescent="0.2">
      <c r="A1733" s="53" t="s">
        <v>6</v>
      </c>
      <c r="B1733" s="53" t="s">
        <v>17</v>
      </c>
      <c r="C1733" s="53"/>
      <c r="D1733" s="53"/>
      <c r="E1733" s="53"/>
      <c r="F1733" s="53"/>
      <c r="H1733" s="53"/>
      <c r="I1733" s="53"/>
      <c r="J1733" s="53"/>
      <c r="K1733" s="53"/>
      <c r="L1733" s="53"/>
    </row>
    <row r="1734" spans="1:12" ht="16" ns3:dyDescent="0.2">
      <c r="A1734" s="1" t="s">
        <v>10</v>
      </c>
      <c r="B1734" s="53"/>
      <c r="C1734" s="53"/>
      <c r="D1734" s="53"/>
      <c r="E1734" s="53"/>
      <c r="F1734" s="53"/>
      <c r="H1734" s="53"/>
      <c r="I1734" s="53"/>
      <c r="J1734" s="53"/>
      <c r="K1734" s="53"/>
      <c r="L1734" s="53"/>
    </row>
    <row r="1735" spans="1:12" ns3:dyDescent="0.2">
      <c r="A1735" s="53" t="s">
        <v>11</v>
      </c>
      <c r="B1735" s="53" t="s">
        <v>12</v>
      </c>
      <c r="C1735" s="53" t="s">
        <v>1</v>
      </c>
      <c r="D1735" s="53" t="s">
        <v>6</v>
      </c>
      <c r="E1735" s="53" t="s">
        <v>13</v>
      </c>
      <c r="F1735" s="53" t="s">
        <v>4</v>
      </c>
      <c r="G1735" s="50" t="s">
        <v>9</v>
      </c>
      <c r="H1735" s="53" t="s">
        <v>3</v>
      </c>
      <c r="I1735" s="53"/>
      <c r="J1735" s="53"/>
      <c r="K1735" s="53"/>
    </row>
    <row r="1736" spans="1:12" ns3:dyDescent="0.2">
      <c r="A1736" s="53" t="str">
        <f>B1728</f>
        <v>solar energy, from residential hot water tank</v>
      </c>
      <c r="B1736" s="53">
        <v>1</v>
      </c>
      <c r="C1736" s="53" t="str">
        <f>B1729</f>
        <v>CH</v>
      </c>
      <c r="D1736" s="53" t="str">
        <f>B1733</f>
        <v>megajoule</v>
      </c>
      <c r="E1736" s="53"/>
      <c r="F1736" s="53" t="s">
        <v>15</v>
      </c>
      <c r="H1736" s="53" t="str">
        <f>B1731</f>
        <v>heat</v>
      </c>
      <c r="I1736" s="53"/>
      <c r="J1736" s="53"/>
      <c r="K1736" s="53"/>
      <c r="L1736" s="53"/>
    </row>
    <row r="1737" spans="1:12" ns3:dyDescent="0.2">
      <c r="A1737" s="53" t="s">
        <v>325</v>
      </c>
      <c r="B1737">
        <f>1/0.28851</f>
        <v>3.4660843644934318</v>
      </c>
      <c r="C1737" t="s">
        <v>104</v>
      </c>
      <c r="D1737" t="s">
        <v>17</v>
      </c>
      <c r="F1737" t="s">
        <v>18</v>
      </c>
      <c r="H1737" t="s">
        <v>326</v>
      </c>
    </row>
    <row r="1738" spans="1:12" ns3:dyDescent="0.2">
      <c r="B1738"/>
    </row>
    <row r="1739" spans="1:12" ht="16" ns3:dyDescent="0.2">
      <c r="A1739" s="1" t="s">
        <v>0</v>
      </c>
      <c r="B1739" s="1" t="s">
        <v>341</v>
      </c>
      <c r="C1739" s="53"/>
      <c r="D1739" s="53"/>
      <c r="E1739" s="53"/>
      <c r="F1739" s="53"/>
      <c r="H1739" s="53"/>
    </row>
    <row r="1740" spans="1:12" ns3:dyDescent="0.2">
      <c r="A1740" s="53" t="s">
        <v>1</v>
      </c>
      <c r="B1740" s="53" t="s">
        <v>104</v>
      </c>
      <c r="C1740" s="53"/>
      <c r="D1740" s="53"/>
      <c r="E1740" s="53"/>
      <c r="F1740" s="53"/>
      <c r="H1740" s="53"/>
      <c r="I1740" s="53"/>
      <c r="J1740" s="53"/>
      <c r="K1740" s="53"/>
      <c r="L1740" s="53"/>
    </row>
    <row r="1741" spans="1:12" ns3:dyDescent="0.2">
      <c r="A1741" s="53" t="s">
        <v>2</v>
      </c>
      <c r="B1741" s="53">
        <v>1</v>
      </c>
      <c r="C1741" s="53"/>
      <c r="D1741" s="53"/>
      <c r="E1741" s="53"/>
      <c r="F1741" s="53"/>
      <c r="H1741" s="53"/>
      <c r="I1741" s="53"/>
      <c r="J1741" s="53"/>
      <c r="K1741" s="53"/>
      <c r="L1741" s="53"/>
    </row>
    <row r="1742" spans="1:12" ns3:dyDescent="0.2">
      <c r="A1742" s="53" t="s">
        <v>3</v>
      </c>
      <c r="B1742" s="53" t="s">
        <v>285</v>
      </c>
      <c r="C1742" s="53"/>
      <c r="D1742" s="53"/>
      <c r="E1742" s="53"/>
      <c r="F1742" s="53"/>
      <c r="H1742" s="53"/>
      <c r="I1742" s="53"/>
      <c r="J1742" s="53"/>
    </row>
    <row r="1743" spans="1:12" ns3:dyDescent="0.2">
      <c r="A1743" s="53" t="s">
        <v>4</v>
      </c>
      <c r="B1743" s="53" t="s">
        <v>5</v>
      </c>
      <c r="C1743" s="53"/>
      <c r="D1743" s="53"/>
      <c r="E1743" s="53"/>
      <c r="F1743" s="53"/>
      <c r="H1743" s="53"/>
      <c r="I1743" s="53"/>
      <c r="J1743" s="53"/>
      <c r="K1743" s="53"/>
      <c r="L1743" s="53"/>
    </row>
    <row r="1744" spans="1:12" ns3:dyDescent="0.2">
      <c r="A1744" s="53" t="s">
        <v>6</v>
      </c>
      <c r="B1744" s="53" t="s">
        <v>17</v>
      </c>
      <c r="C1744" s="53"/>
      <c r="D1744" s="53"/>
      <c r="E1744" s="53"/>
      <c r="F1744" s="53"/>
      <c r="H1744" s="53"/>
      <c r="I1744" s="53"/>
      <c r="J1744" s="53"/>
      <c r="K1744" s="53"/>
      <c r="L1744" s="53"/>
    </row>
    <row r="1745" spans="1:12" ht="16" ns3:dyDescent="0.2">
      <c r="A1745" s="1" t="s">
        <v>10</v>
      </c>
      <c r="B1745" s="53"/>
      <c r="C1745" s="53"/>
      <c r="D1745" s="53"/>
      <c r="E1745" s="53"/>
      <c r="F1745" s="53"/>
      <c r="H1745" s="53"/>
      <c r="I1745" s="53"/>
      <c r="J1745" s="53"/>
      <c r="K1745" s="53"/>
      <c r="L1745" s="53"/>
    </row>
    <row r="1746" spans="1:12" ns3:dyDescent="0.2">
      <c r="A1746" s="53" t="s">
        <v>11</v>
      </c>
      <c r="B1746" s="53" t="s">
        <v>12</v>
      </c>
      <c r="C1746" s="53" t="s">
        <v>1</v>
      </c>
      <c r="D1746" s="53" t="s">
        <v>6</v>
      </c>
      <c r="E1746" s="53" t="s">
        <v>13</v>
      </c>
      <c r="F1746" s="53" t="s">
        <v>4</v>
      </c>
      <c r="G1746" s="50" t="s">
        <v>9</v>
      </c>
      <c r="H1746" s="53" t="s">
        <v>3</v>
      </c>
      <c r="I1746" s="53"/>
      <c r="J1746" s="53"/>
      <c r="K1746" s="53"/>
    </row>
    <row r="1747" spans="1:12" ns3:dyDescent="0.2">
      <c r="A1747" s="53" t="str">
        <f>B1739</f>
        <v>heat, from on-site residential gas-fired CHP</v>
      </c>
      <c r="B1747" s="53">
        <v>1</v>
      </c>
      <c r="C1747" s="53" t="str">
        <f>B1740</f>
        <v>CH</v>
      </c>
      <c r="D1747" s="53" t="str">
        <f>B1744</f>
        <v>megajoule</v>
      </c>
      <c r="E1747" s="53"/>
      <c r="F1747" s="53" t="s">
        <v>15</v>
      </c>
      <c r="H1747" s="53" t="str">
        <f>B1742</f>
        <v>heat</v>
      </c>
      <c r="I1747" s="53"/>
      <c r="J1747" s="53"/>
      <c r="K1747" s="53"/>
      <c r="L1747" s="53"/>
    </row>
    <row r="1748" spans="1:12" ns3:dyDescent="0.2">
      <c r="A1748" s="53" t="s">
        <v>305</v>
      </c>
      <c r="B1748">
        <f>1/(0.0095*36)</f>
        <v>2.9239766081871346</v>
      </c>
      <c r="C1748" t="s">
        <v>104</v>
      </c>
      <c r="D1748" t="s">
        <v>17</v>
      </c>
      <c r="F1748" t="s">
        <v>18</v>
      </c>
      <c r="H1748" t="s">
        <v>187</v>
      </c>
    </row>
    <row r="1749" spans="1:12" ns3:dyDescent="0.2">
      <c r="B1749"/>
    </row>
    <row r="1750" spans="1:12" ht="16" ns3:dyDescent="0.2">
      <c r="A1750" s="1" t="s">
        <v>0</v>
      </c>
      <c r="B1750" s="1" t="s">
        <v>342</v>
      </c>
      <c r="C1750" s="53"/>
      <c r="D1750" s="53"/>
      <c r="E1750" s="53"/>
      <c r="F1750" s="53"/>
      <c r="H1750" s="53"/>
    </row>
    <row r="1751" spans="1:12" ns3:dyDescent="0.2">
      <c r="A1751" s="53" t="s">
        <v>1</v>
      </c>
      <c r="B1751" s="53" t="s">
        <v>104</v>
      </c>
      <c r="C1751" s="53"/>
      <c r="D1751" s="53"/>
      <c r="E1751" s="53"/>
      <c r="F1751" s="53"/>
      <c r="H1751" s="53"/>
      <c r="I1751" s="53"/>
      <c r="J1751" s="53"/>
      <c r="K1751" s="53"/>
      <c r="L1751" s="53"/>
    </row>
    <row r="1752" spans="1:12" ns3:dyDescent="0.2">
      <c r="A1752" s="53" t="s">
        <v>2</v>
      </c>
      <c r="B1752" s="53">
        <v>1</v>
      </c>
      <c r="C1752" s="53"/>
      <c r="D1752" s="53"/>
      <c r="E1752" s="53"/>
      <c r="F1752" s="53"/>
      <c r="H1752" s="53"/>
      <c r="I1752" s="53"/>
      <c r="J1752" s="53"/>
      <c r="K1752" s="53"/>
      <c r="L1752" s="53"/>
    </row>
    <row r="1753" spans="1:12" ns3:dyDescent="0.2">
      <c r="A1753" s="53" t="s">
        <v>3</v>
      </c>
      <c r="B1753" s="53" t="s">
        <v>285</v>
      </c>
      <c r="C1753" s="53"/>
      <c r="D1753" s="53"/>
      <c r="E1753" s="53"/>
      <c r="F1753" s="53"/>
      <c r="H1753" s="53"/>
      <c r="I1753" s="53"/>
      <c r="J1753" s="53"/>
    </row>
    <row r="1754" spans="1:12" ns3:dyDescent="0.2">
      <c r="A1754" s="53" t="s">
        <v>4</v>
      </c>
      <c r="B1754" s="53" t="s">
        <v>5</v>
      </c>
      <c r="C1754" s="53"/>
      <c r="D1754" s="53"/>
      <c r="E1754" s="53"/>
      <c r="F1754" s="53"/>
      <c r="H1754" s="53"/>
      <c r="I1754" s="53"/>
      <c r="J1754" s="53"/>
      <c r="K1754" s="53"/>
      <c r="L1754" s="53"/>
    </row>
    <row r="1755" spans="1:12" ns3:dyDescent="0.2">
      <c r="A1755" s="53" t="s">
        <v>6</v>
      </c>
      <c r="B1755" s="53" t="s">
        <v>17</v>
      </c>
      <c r="C1755" s="53"/>
      <c r="D1755" s="53"/>
      <c r="E1755" s="53"/>
      <c r="F1755" s="53"/>
      <c r="H1755" s="53"/>
      <c r="I1755" s="53"/>
      <c r="J1755" s="53"/>
      <c r="K1755" s="53"/>
      <c r="L1755" s="53"/>
    </row>
    <row r="1756" spans="1:12" ht="16" ns3:dyDescent="0.2">
      <c r="A1756" s="1" t="s">
        <v>10</v>
      </c>
      <c r="B1756" s="53"/>
      <c r="C1756" s="53"/>
      <c r="D1756" s="53"/>
      <c r="E1756" s="53"/>
      <c r="F1756" s="53"/>
      <c r="H1756" s="53"/>
      <c r="I1756" s="53"/>
      <c r="J1756" s="53"/>
      <c r="K1756" s="53"/>
      <c r="L1756" s="53"/>
    </row>
    <row r="1757" spans="1:12" ns3:dyDescent="0.2">
      <c r="A1757" s="53" t="s">
        <v>11</v>
      </c>
      <c r="B1757" s="53" t="s">
        <v>12</v>
      </c>
      <c r="C1757" s="53" t="s">
        <v>1</v>
      </c>
      <c r="D1757" s="53" t="s">
        <v>6</v>
      </c>
      <c r="E1757" s="53" t="s">
        <v>13</v>
      </c>
      <c r="F1757" s="53" t="s">
        <v>4</v>
      </c>
      <c r="G1757" s="50" t="s">
        <v>9</v>
      </c>
      <c r="H1757" s="53" t="s">
        <v>3</v>
      </c>
      <c r="I1757" s="53"/>
      <c r="J1757" s="53"/>
      <c r="K1757" s="53"/>
    </row>
    <row r="1758" spans="1:12" ns3:dyDescent="0.2">
      <c r="A1758" s="53" t="str">
        <f>B1750</f>
        <v>heat, from on-site residential fuel cell CHP</v>
      </c>
      <c r="B1758" s="53">
        <v>1</v>
      </c>
      <c r="C1758" s="53" t="str">
        <f>B1751</f>
        <v>CH</v>
      </c>
      <c r="D1758" s="53" t="str">
        <f>B1755</f>
        <v>megajoule</v>
      </c>
      <c r="E1758" s="53"/>
      <c r="F1758" s="53" t="s">
        <v>15</v>
      </c>
      <c r="H1758" s="53" t="str">
        <f>B1753</f>
        <v>heat</v>
      </c>
      <c r="I1758" s="53"/>
      <c r="J1758" s="53"/>
      <c r="K1758" s="53"/>
      <c r="L1758" s="53"/>
    </row>
    <row r="1759" spans="1:12" ns3:dyDescent="0.2">
      <c r="A1759" s="53" t="s">
        <v>305</v>
      </c>
      <c r="B1759">
        <f>1/(0.0095*36)</f>
        <v>2.9239766081871346</v>
      </c>
      <c r="C1759" t="s">
        <v>104</v>
      </c>
      <c r="D1759" t="s">
        <v>17</v>
      </c>
      <c r="F1759" t="s">
        <v>18</v>
      </c>
      <c r="H1759" t="s">
        <v>187</v>
      </c>
    </row>
    <row r="1760" spans="1:12" ns3:dyDescent="0.2">
      <c r="B1760"/>
    </row>
    <row r="1761" spans="1:12" ht="16" ns3:dyDescent="0.2">
      <c r="A1761" s="1" t="s">
        <v>0</v>
      </c>
      <c r="B1761" s="1" t="s">
        <v>343</v>
      </c>
      <c r="C1761" s="53"/>
      <c r="D1761" s="53"/>
      <c r="E1761" s="53"/>
      <c r="F1761" s="53"/>
      <c r="H1761" s="53"/>
    </row>
    <row r="1762" spans="1:12" ns3:dyDescent="0.2">
      <c r="A1762" s="53" t="s">
        <v>1</v>
      </c>
      <c r="B1762" s="53" t="s">
        <v>104</v>
      </c>
      <c r="C1762" s="53"/>
      <c r="D1762" s="53"/>
      <c r="E1762" s="53"/>
      <c r="F1762" s="53"/>
      <c r="H1762" s="53"/>
      <c r="I1762" s="53"/>
      <c r="J1762" s="53"/>
      <c r="K1762" s="53"/>
      <c r="L1762" s="53"/>
    </row>
    <row r="1763" spans="1:12" ns3:dyDescent="0.2">
      <c r="A1763" s="53" t="s">
        <v>2</v>
      </c>
      <c r="B1763" s="53">
        <v>1</v>
      </c>
      <c r="C1763" s="53"/>
      <c r="D1763" s="53"/>
      <c r="E1763" s="53"/>
      <c r="F1763" s="53"/>
      <c r="H1763" s="53"/>
      <c r="I1763" s="53"/>
      <c r="J1763" s="53"/>
      <c r="K1763" s="53"/>
      <c r="L1763" s="53"/>
    </row>
    <row r="1764" spans="1:12" ns3:dyDescent="0.2">
      <c r="A1764" s="53" t="s">
        <v>3</v>
      </c>
      <c r="B1764" s="53" t="s">
        <v>285</v>
      </c>
      <c r="C1764" s="53"/>
      <c r="D1764" s="53"/>
      <c r="E1764" s="53"/>
      <c r="F1764" s="53"/>
      <c r="H1764" s="53"/>
      <c r="I1764" s="53"/>
      <c r="J1764" s="53"/>
    </row>
    <row r="1765" spans="1:12" ns3:dyDescent="0.2">
      <c r="A1765" s="53" t="s">
        <v>4</v>
      </c>
      <c r="B1765" s="53" t="s">
        <v>5</v>
      </c>
      <c r="C1765" s="53"/>
      <c r="D1765" s="53"/>
      <c r="E1765" s="53"/>
      <c r="F1765" s="53"/>
      <c r="H1765" s="53"/>
      <c r="I1765" s="53"/>
      <c r="J1765" s="53"/>
      <c r="K1765" s="53"/>
      <c r="L1765" s="53"/>
    </row>
    <row r="1766" spans="1:12" ns3:dyDescent="0.2">
      <c r="A1766" s="53" t="s">
        <v>6</v>
      </c>
      <c r="B1766" s="53" t="s">
        <v>17</v>
      </c>
      <c r="C1766" s="53"/>
      <c r="D1766" s="53"/>
      <c r="E1766" s="53"/>
      <c r="F1766" s="53"/>
      <c r="H1766" s="53"/>
      <c r="I1766" s="53"/>
      <c r="J1766" s="53"/>
      <c r="K1766" s="53"/>
      <c r="L1766" s="53"/>
    </row>
    <row r="1767" spans="1:12" ht="16" ns3:dyDescent="0.2">
      <c r="A1767" s="1" t="s">
        <v>10</v>
      </c>
      <c r="B1767" s="53"/>
      <c r="C1767" s="53"/>
      <c r="D1767" s="53"/>
      <c r="E1767" s="53"/>
      <c r="F1767" s="53"/>
      <c r="H1767" s="53"/>
      <c r="I1767" s="53"/>
      <c r="J1767" s="53"/>
      <c r="K1767" s="53"/>
      <c r="L1767" s="53"/>
    </row>
    <row r="1768" spans="1:12" ns3:dyDescent="0.2">
      <c r="A1768" s="53" t="s">
        <v>11</v>
      </c>
      <c r="B1768" s="53" t="s">
        <v>12</v>
      </c>
      <c r="C1768" s="53" t="s">
        <v>1</v>
      </c>
      <c r="D1768" s="53" t="s">
        <v>6</v>
      </c>
      <c r="E1768" s="53" t="s">
        <v>13</v>
      </c>
      <c r="F1768" s="53" t="s">
        <v>4</v>
      </c>
      <c r="G1768" s="50" t="s">
        <v>9</v>
      </c>
      <c r="H1768" s="53" t="s">
        <v>3</v>
      </c>
      <c r="I1768" s="53"/>
      <c r="J1768" s="53"/>
      <c r="K1768" s="53"/>
    </row>
    <row r="1769" spans="1:12" ns3:dyDescent="0.2">
      <c r="A1769" s="53" t="str">
        <f>B1761</f>
        <v>heat, from on-site residential wood-fired CHP</v>
      </c>
      <c r="B1769" s="53">
        <v>1</v>
      </c>
      <c r="C1769" s="53" t="str">
        <f>B1762</f>
        <v>CH</v>
      </c>
      <c r="D1769" s="53" t="str">
        <f>B1766</f>
        <v>megajoule</v>
      </c>
      <c r="E1769" s="53"/>
      <c r="F1769" s="53" t="s">
        <v>15</v>
      </c>
      <c r="H1769" s="53" t="str">
        <f>B1764</f>
        <v>heat</v>
      </c>
      <c r="I1769" s="53"/>
      <c r="J1769" s="53"/>
      <c r="K1769" s="53"/>
      <c r="L1769" s="53"/>
    </row>
    <row r="1770" spans="1:12" ns3:dyDescent="0.2">
      <c r="A1770" s="53" t="s">
        <v>327</v>
      </c>
      <c r="B1770">
        <f>1/(0.0396618169378429*19)</f>
        <v>1.3270087709257352</v>
      </c>
      <c r="C1770" t="s">
        <v>104</v>
      </c>
      <c r="D1770" t="s">
        <v>17</v>
      </c>
      <c r="F1770" t="s">
        <v>18</v>
      </c>
      <c r="H1770" t="s">
        <v>295</v>
      </c>
    </row>
    <row r="1772" spans="1:12" ns3:dyDescent="0.2">
      <c r="B1772"/>
    </row>
    <row r="1773">
      <c r="A1773" t="inlineStr">
        <is>
          <t>Activity</t>
        </is>
      </c>
      <c r="B1773" t="inlineStr">
        <is>
          <t>diesel, burned in passenger car vehicle</t>
        </is>
      </c>
    </row>
    <row r="1774">
      <c r="A1774" t="inlineStr">
        <is>
          <t>location</t>
        </is>
      </c>
      <c r="B1774" t="inlineStr">
        <is>
          <t>CH</t>
        </is>
      </c>
    </row>
    <row r="1775">
      <c r="A1775" t="inlineStr">
        <is>
          <t>production amount</t>
        </is>
      </c>
      <c r="B1775">
        <v>1</v>
      </c>
    </row>
    <row r="1776">
      <c r="A1776" t="inlineStr">
        <is>
          <t>reference product</t>
        </is>
      </c>
      <c r="B1776" t="inlineStr">
        <is>
          <t>heat</t>
        </is>
      </c>
    </row>
    <row r="1777">
      <c r="A1777" t="inlineStr">
        <is>
          <t>type</t>
        </is>
      </c>
      <c r="B1777" t="inlineStr">
        <is>
          <t>process</t>
        </is>
      </c>
    </row>
    <row r="1778">
      <c r="A1778" t="inlineStr">
        <is>
          <t>unit</t>
        </is>
      </c>
      <c r="B1778" t="inlineStr">
        <is>
          <t>megajoule</t>
        </is>
      </c>
    </row>
    <row r="1779">
      <c r="A1779" t="inlineStr">
        <is>
          <t>energy use source</t>
        </is>
      </c>
      <c r="B1779"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 "vehicle per source service": 4.999999873689376e-06}], "alternative fuel recipe retained": false}</t>
        </is>
      </c>
    </row>
    <row r="1780">
      <c r="A1780" t="inlineStr">
        <is>
          <t>comment</t>
        </is>
      </c>
      <c r="B1780"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1781">
      <c r="A1781" t="inlineStr">
        <is>
          <t>Exchanges</t>
        </is>
      </c>
    </row>
    <row r="1782">
      <c r="A1782" t="inlineStr">
        <is>
          <t>name</t>
        </is>
      </c>
      <c r="B1782" t="inlineStr">
        <is>
          <t>amount</t>
        </is>
      </c>
      <c r="C1782" t="inlineStr">
        <is>
          <t>location</t>
        </is>
      </c>
      <c r="D1782" t="inlineStr">
        <is>
          <t>unit</t>
        </is>
      </c>
      <c r="E1782" t="inlineStr">
        <is>
          <t>categories</t>
        </is>
      </c>
      <c r="F1782" t="inlineStr">
        <is>
          <t>type</t>
        </is>
      </c>
      <c r="G1782" t="inlineStr">
        <is>
          <t>reference product</t>
        </is>
      </c>
      <c r="H1782" t="inlineStr">
        <is>
          <t>comment</t>
        </is>
      </c>
      <c r="I1782" t="inlineStr">
        <is>
          <t>uncertainty type</t>
        </is>
      </c>
    </row>
    <row r="1783">
      <c r="A1783" t="inlineStr">
        <is>
          <t>diesel, burned in passenger car vehicle</t>
        </is>
      </c>
      <c r="B1783">
        <v>1.0</v>
      </c>
      <c r="C1783" t="inlineStr">
        <is>
          <t>CH</t>
        </is>
      </c>
      <c r="D1783" t="inlineStr">
        <is>
          <t>megajoule</t>
        </is>
      </c>
      <c r="F1783" t="inlineStr">
        <is>
          <t>production</t>
        </is>
      </c>
      <c r="G1783" t="inlineStr">
        <is>
          <t>heat</t>
        </is>
      </c>
      <c r="I1783">
        <v>0</v>
      </c>
    </row>
    <row r="1784">
      <c r="A1784" t="inlineStr">
        <is>
          <t>market for diesel, low-sulfur</t>
        </is>
      </c>
      <c r="B1784">
        <v>0.023255813953488375</v>
      </c>
      <c r="C1784" t="inlineStr">
        <is>
          <t>Europe without Switzerland</t>
        </is>
      </c>
      <c r="D1784" t="inlineStr">
        <is>
          <t>kilogram</t>
        </is>
      </c>
      <c r="F1784" t="inlineStr">
        <is>
          <t>technosphere</t>
        </is>
      </c>
      <c r="G1784" t="inlineStr">
        <is>
          <t>diesel, low-sulfur</t>
        </is>
      </c>
      <c r="H1784" t="inlineStr">
        <is>
          <t>Default carculator fuel energy preserved (1.86607492037 MJ/vkm); premise reference LHV 43.0 MJ/kg. Regional scenario blend belongs to premise.</t>
        </is>
      </c>
      <c r="I1784">
        <v>0</v>
      </c>
    </row>
    <row r="1785">
      <c r="A1785" t="inlineStr">
        <is>
          <t>treatment of brake wear emissions, passenger car</t>
        </is>
      </c>
      <c r="B1785">
        <v>-7.967052081550097e-06</v>
      </c>
      <c r="C1785" t="inlineStr">
        <is>
          <t>RER</t>
        </is>
      </c>
      <c r="D1785" t="inlineStr">
        <is>
          <t>kilogram</t>
        </is>
      </c>
      <c r="F1785" t="inlineStr">
        <is>
          <t>technosphere</t>
        </is>
      </c>
      <c r="G1785" t="inlineStr">
        <is>
          <t>brake wear emissions, passenger car</t>
        </is>
      </c>
      <c r="I1785">
        <v>0</v>
      </c>
    </row>
    <row r="1786">
      <c r="A1786" t="inlineStr">
        <is>
          <t>treatment of road wear emissions, passenger car</t>
        </is>
      </c>
      <c r="B1786">
        <v>-9.150770397723165e-06</v>
      </c>
      <c r="C1786" t="inlineStr">
        <is>
          <t>RER</t>
        </is>
      </c>
      <c r="D1786" t="inlineStr">
        <is>
          <t>kilogram</t>
        </is>
      </c>
      <c r="F1786" t="inlineStr">
        <is>
          <t>technosphere</t>
        </is>
      </c>
      <c r="G1786" t="inlineStr">
        <is>
          <t>road wear emissions, passenger car</t>
        </is>
      </c>
      <c r="I1786">
        <v>0</v>
      </c>
    </row>
    <row r="1787">
      <c r="A1787" t="inlineStr">
        <is>
          <t>treatment of tyre wear emissions, passenger car</t>
        </is>
      </c>
      <c r="B1787">
        <v>-1.0568832109350394e-05</v>
      </c>
      <c r="C1787" t="inlineStr">
        <is>
          <t>RER</t>
        </is>
      </c>
      <c r="D1787" t="inlineStr">
        <is>
          <t>kilogram</t>
        </is>
      </c>
      <c r="F1787" t="inlineStr">
        <is>
          <t>technosphere</t>
        </is>
      </c>
      <c r="G1787" t="inlineStr">
        <is>
          <t>tyre wear emissions, passenger car</t>
        </is>
      </c>
      <c r="I1787">
        <v>0</v>
      </c>
    </row>
    <row r="1788">
      <c r="A1788" t="inlineStr">
        <is>
          <t>market for tetrafluoroethane, R134a</t>
        </is>
      </c>
      <c r="B1788">
        <v>3.4832470313950515e-06</v>
      </c>
      <c r="C1788" t="inlineStr">
        <is>
          <t>GLO</t>
        </is>
      </c>
      <c r="D1788" t="inlineStr">
        <is>
          <t>kilogram</t>
        </is>
      </c>
      <c r="F1788" t="inlineStr">
        <is>
          <t>technosphere</t>
        </is>
      </c>
      <c r="G1788" t="inlineStr">
        <is>
          <t>tetrafluoroethane, R134a</t>
        </is>
      </c>
      <c r="I1788">
        <v>0</v>
      </c>
    </row>
    <row r="1789">
      <c r="A1789" t="inlineStr">
        <is>
          <t>Toluene</t>
        </is>
      </c>
      <c r="B1789">
        <v>1.8388993477254683e-09</v>
      </c>
      <c r="D1789" t="inlineStr">
        <is>
          <t>kilogram</t>
        </is>
      </c>
      <c r="E1789" t="inlineStr">
        <is>
          <t>air::non-urban air or from high stacks</t>
        </is>
      </c>
      <c r="F1789" t="inlineStr">
        <is>
          <t>biosphere</t>
        </is>
      </c>
      <c r="I1789">
        <v>0</v>
      </c>
    </row>
    <row r="1790">
      <c r="A1790" t="inlineStr">
        <is>
          <t>NMVOC, non-methane volatile organic compounds</t>
        </is>
      </c>
      <c r="B1790">
        <v>1.4657892889270108e-07</v>
      </c>
      <c r="D1790" t="inlineStr">
        <is>
          <t>kilogram</t>
        </is>
      </c>
      <c r="E1790" t="inlineStr">
        <is>
          <t>air::non-urban air or from high stacks</t>
        </is>
      </c>
      <c r="F1790" t="inlineStr">
        <is>
          <t>biosphere</t>
        </is>
      </c>
      <c r="I1790">
        <v>0</v>
      </c>
    </row>
    <row r="1791">
      <c r="A1791" t="inlineStr">
        <is>
          <t>Dinitrogen monoxide</t>
        </is>
      </c>
      <c r="B1791">
        <v>1.3837910754355256e-06</v>
      </c>
      <c r="D1791" t="inlineStr">
        <is>
          <t>kilogram</t>
        </is>
      </c>
      <c r="E1791" t="inlineStr">
        <is>
          <t>air::non-urban air or from high stacks</t>
        </is>
      </c>
      <c r="F1791" t="inlineStr">
        <is>
          <t>biosphere</t>
        </is>
      </c>
      <c r="I1791">
        <v>0</v>
      </c>
    </row>
    <row r="1792">
      <c r="A1792" t="inlineStr">
        <is>
          <t>Ethane</t>
        </is>
      </c>
      <c r="B1792">
        <v>4.072149787837132e-09</v>
      </c>
      <c r="D1792" t="inlineStr">
        <is>
          <t>kilogram</t>
        </is>
      </c>
      <c r="E1792" t="inlineStr">
        <is>
          <t>air::urban air close to ground</t>
        </is>
      </c>
      <c r="F1792" t="inlineStr">
        <is>
          <t>biosphere</t>
        </is>
      </c>
      <c r="I1792">
        <v>0</v>
      </c>
    </row>
    <row r="1793">
      <c r="A1793" t="inlineStr">
        <is>
          <t>Pentane</t>
        </is>
      </c>
      <c r="B1793">
        <v>4.935939064657017e-10</v>
      </c>
      <c r="D1793" t="inlineStr">
        <is>
          <t>kilogram</t>
        </is>
      </c>
      <c r="E1793" t="inlineStr">
        <is>
          <t>air::urban air close to ground</t>
        </is>
      </c>
      <c r="F1793" t="inlineStr">
        <is>
          <t>biosphere</t>
        </is>
      </c>
      <c r="I1793">
        <v>0</v>
      </c>
    </row>
    <row r="1794">
      <c r="A1794" t="inlineStr">
        <is>
          <t>Selenium IV</t>
        </is>
      </c>
      <c r="B1794">
        <v>1.4312488373385127e-12</v>
      </c>
      <c r="D1794" t="inlineStr">
        <is>
          <t>kilogram</t>
        </is>
      </c>
      <c r="E1794" t="inlineStr">
        <is>
          <t>air::non-urban air or from high stacks</t>
        </is>
      </c>
      <c r="F1794" t="inlineStr">
        <is>
          <t>biosphere</t>
        </is>
      </c>
      <c r="I1794">
        <v>0</v>
      </c>
    </row>
    <row r="1795">
      <c r="A1795" t="inlineStr">
        <is>
          <t>Arsenic ion</t>
        </is>
      </c>
      <c r="B1795">
        <v>1.4312488373385127e-12</v>
      </c>
      <c r="D1795" t="inlineStr">
        <is>
          <t>kilogram</t>
        </is>
      </c>
      <c r="E1795" t="inlineStr">
        <is>
          <t>air::non-urban air or from high stacks</t>
        </is>
      </c>
      <c r="F1795" t="inlineStr">
        <is>
          <t>biosphere</t>
        </is>
      </c>
      <c r="I1795">
        <v>0</v>
      </c>
    </row>
    <row r="1796">
      <c r="A1796" t="inlineStr">
        <is>
          <t>Arsenic ion</t>
        </is>
      </c>
      <c r="B1796">
        <v>8.98750956554421e-13</v>
      </c>
      <c r="D1796" t="inlineStr">
        <is>
          <t>kilogram</t>
        </is>
      </c>
      <c r="E1796" t="inlineStr">
        <is>
          <t>air::urban air close to ground</t>
        </is>
      </c>
      <c r="F1796" t="inlineStr">
        <is>
          <t>biosphere</t>
        </is>
      </c>
      <c r="I1796">
        <v>0</v>
      </c>
    </row>
    <row r="1797">
      <c r="A1797" t="inlineStr">
        <is>
          <t>Propylene</t>
        </is>
      </c>
      <c r="B1797">
        <v>9.594256886963272e-09</v>
      </c>
      <c r="D1797" t="inlineStr">
        <is>
          <t>kilogram</t>
        </is>
      </c>
      <c r="E1797" t="inlineStr">
        <is>
          <t>air::non-urban air or from high stacks</t>
        </is>
      </c>
      <c r="F1797" t="inlineStr">
        <is>
          <t>biosphere</t>
        </is>
      </c>
      <c r="I1797">
        <v>0</v>
      </c>
    </row>
    <row r="1798">
      <c r="A1798" t="inlineStr">
        <is>
          <t>Particulate Matter, &lt; 2.5 um</t>
        </is>
      </c>
      <c r="B1798">
        <v>1.636891619531532e-07</v>
      </c>
      <c r="D1798" t="inlineStr">
        <is>
          <t>kilogram</t>
        </is>
      </c>
      <c r="E1798" t="inlineStr">
        <is>
          <t>air::urban air close to ground</t>
        </is>
      </c>
      <c r="F1798" t="inlineStr">
        <is>
          <t>biosphere</t>
        </is>
      </c>
      <c r="I1798">
        <v>0</v>
      </c>
    </row>
    <row r="1799">
      <c r="A1799" t="inlineStr">
        <is>
          <t>Nickel II</t>
        </is>
      </c>
      <c r="B1799">
        <v>2.856355271045539e-12</v>
      </c>
      <c r="D1799" t="inlineStr">
        <is>
          <t>kilogram</t>
        </is>
      </c>
      <c r="E1799" t="inlineStr">
        <is>
          <t>air::non-urban air or from high stacks</t>
        </is>
      </c>
      <c r="F1799" t="inlineStr">
        <is>
          <t>biosphere</t>
        </is>
      </c>
      <c r="I1799">
        <v>0</v>
      </c>
    </row>
    <row r="1800">
      <c r="A1800" t="inlineStr">
        <is>
          <t>Methane, fossil</t>
        </is>
      </c>
      <c r="B1800">
        <v>2.3985624245130236e-06</v>
      </c>
      <c r="D1800" t="inlineStr">
        <is>
          <t>kilogram</t>
        </is>
      </c>
      <c r="E1800" t="inlineStr">
        <is>
          <t>air::non-urban air or from high stacks</t>
        </is>
      </c>
      <c r="F1800" t="inlineStr">
        <is>
          <t>biosphere</t>
        </is>
      </c>
      <c r="I1800">
        <v>0</v>
      </c>
    </row>
    <row r="1801">
      <c r="A1801" t="inlineStr">
        <is>
          <t>Mercury II</t>
        </is>
      </c>
      <c r="B1801">
        <v>7.555519944566824e-11</v>
      </c>
      <c r="D1801" t="inlineStr">
        <is>
          <t>kilogram</t>
        </is>
      </c>
      <c r="E1801" t="inlineStr">
        <is>
          <t>air::non-urban air or from high stacks</t>
        </is>
      </c>
      <c r="F1801" t="inlineStr">
        <is>
          <t>biosphere</t>
        </is>
      </c>
      <c r="I1801">
        <v>0</v>
      </c>
    </row>
    <row r="1802">
      <c r="A1802" t="inlineStr">
        <is>
          <t>Ammonia</t>
        </is>
      </c>
      <c r="B1802">
        <v>8.515878173642505e-07</v>
      </c>
      <c r="D1802" t="inlineStr">
        <is>
          <t>kilogram</t>
        </is>
      </c>
      <c r="E1802" t="inlineStr">
        <is>
          <t>air::non-urban air or from high stacks</t>
        </is>
      </c>
      <c r="F1802" t="inlineStr">
        <is>
          <t>biosphere</t>
        </is>
      </c>
      <c r="I1802">
        <v>0</v>
      </c>
    </row>
    <row r="1803">
      <c r="A1803" t="inlineStr">
        <is>
          <t>Ethane</t>
        </is>
      </c>
      <c r="B1803">
        <v>8.794736114330666e-10</v>
      </c>
      <c r="D1803" t="inlineStr">
        <is>
          <t>kilogram</t>
        </is>
      </c>
      <c r="E1803" t="inlineStr">
        <is>
          <t>air::non-urban air or from high stacks</t>
        </is>
      </c>
      <c r="F1803" t="inlineStr">
        <is>
          <t>biosphere</t>
        </is>
      </c>
      <c r="I1803">
        <v>0</v>
      </c>
    </row>
    <row r="1804">
      <c r="A1804" t="inlineStr">
        <is>
          <t>Nickel II</t>
        </is>
      </c>
      <c r="B1804">
        <v>1.7936446091257316e-12</v>
      </c>
      <c r="D1804" t="inlineStr">
        <is>
          <t>kilogram</t>
        </is>
      </c>
      <c r="E1804" t="inlineStr">
        <is>
          <t>air::urban air close to ground</t>
        </is>
      </c>
      <c r="F1804" t="inlineStr">
        <is>
          <t>biosphere</t>
        </is>
      </c>
      <c r="I1804">
        <v>0</v>
      </c>
    </row>
    <row r="1805">
      <c r="A1805" t="inlineStr">
        <is>
          <t>Cadmium II</t>
        </is>
      </c>
      <c r="B1805">
        <v>7.12553100652158e-13</v>
      </c>
      <c r="D1805" t="inlineStr">
        <is>
          <t>kilogram</t>
        </is>
      </c>
      <c r="E1805" t="inlineStr">
        <is>
          <t>air::non-urban air or from high stacks</t>
        </is>
      </c>
      <c r="F1805" t="inlineStr">
        <is>
          <t>biosphere</t>
        </is>
      </c>
      <c r="I1805">
        <v>0</v>
      </c>
    </row>
    <row r="1806">
      <c r="A1806" t="inlineStr">
        <is>
          <t>Ammonia</t>
        </is>
      </c>
      <c r="B1806">
        <v>5.347535547726079e-07</v>
      </c>
      <c r="D1806" t="inlineStr">
        <is>
          <t>kilogram</t>
        </is>
      </c>
      <c r="E1806" t="inlineStr">
        <is>
          <t>air::urban air close to ground</t>
        </is>
      </c>
      <c r="F1806" t="inlineStr">
        <is>
          <t>biosphere</t>
        </is>
      </c>
      <c r="I1806">
        <v>0</v>
      </c>
    </row>
    <row r="1807">
      <c r="A1807" t="inlineStr">
        <is>
          <t>Butane</t>
        </is>
      </c>
      <c r="B1807">
        <v>2.9315788039353776e-10</v>
      </c>
      <c r="D1807" t="inlineStr">
        <is>
          <t>kilogram</t>
        </is>
      </c>
      <c r="E1807" t="inlineStr">
        <is>
          <t>air::non-urban air or from high stacks</t>
        </is>
      </c>
      <c r="F1807" t="inlineStr">
        <is>
          <t>biosphere</t>
        </is>
      </c>
      <c r="I1807">
        <v>0</v>
      </c>
    </row>
    <row r="1808">
      <c r="A1808" t="inlineStr">
        <is>
          <t>PAH, polycyclic aromatic hydrocarbons</t>
        </is>
      </c>
      <c r="B1808">
        <v>5.091636535281869e-10</v>
      </c>
      <c r="D1808" t="inlineStr">
        <is>
          <t>kilogram</t>
        </is>
      </c>
      <c r="E1808" t="inlineStr">
        <is>
          <t>air::urban air close to ground</t>
        </is>
      </c>
      <c r="F1808" t="inlineStr">
        <is>
          <t>biosphere</t>
        </is>
      </c>
      <c r="I1808">
        <v>0</v>
      </c>
    </row>
    <row r="1809">
      <c r="A1809" t="inlineStr">
        <is>
          <t>Copper ion</t>
        </is>
      </c>
      <c r="B1809">
        <v>8.16979042710669e-11</v>
      </c>
      <c r="D1809" t="inlineStr">
        <is>
          <t>kilogram</t>
        </is>
      </c>
      <c r="E1809" t="inlineStr">
        <is>
          <t>air::non-urban air or from high stacks</t>
        </is>
      </c>
      <c r="F1809" t="inlineStr">
        <is>
          <t>biosphere</t>
        </is>
      </c>
      <c r="I1809">
        <v>0</v>
      </c>
    </row>
    <row r="1810">
      <c r="A1810" t="inlineStr">
        <is>
          <t>Nitrogen oxides</t>
        </is>
      </c>
      <c r="B1810">
        <v>1.2205207650351623e-05</v>
      </c>
      <c r="D1810" t="inlineStr">
        <is>
          <t>kilogram</t>
        </is>
      </c>
      <c r="E1810" t="inlineStr">
        <is>
          <t>air::non-urban air or from high stacks</t>
        </is>
      </c>
      <c r="F1810" t="inlineStr">
        <is>
          <t>biosphere</t>
        </is>
      </c>
      <c r="I1810">
        <v>0</v>
      </c>
    </row>
    <row r="1811">
      <c r="A1811" t="inlineStr">
        <is>
          <t>Butane</t>
        </is>
      </c>
      <c r="B1811">
        <v>1.3573831832855856e-09</v>
      </c>
      <c r="D1811" t="inlineStr">
        <is>
          <t>kilogram</t>
        </is>
      </c>
      <c r="E1811" t="inlineStr">
        <is>
          <t>air::urban air close to ground</t>
        </is>
      </c>
      <c r="F1811" t="inlineStr">
        <is>
          <t>biosphere</t>
        </is>
      </c>
      <c r="I1811">
        <v>0</v>
      </c>
    </row>
    <row r="1812">
      <c r="A1812" t="inlineStr">
        <is>
          <t>Copper ion</t>
        </is>
      </c>
      <c r="B1812">
        <v>5.130209510040208e-11</v>
      </c>
      <c r="D1812" t="inlineStr">
        <is>
          <t>kilogram</t>
        </is>
      </c>
      <c r="E1812" t="inlineStr">
        <is>
          <t>air::urban air close to ground</t>
        </is>
      </c>
      <c r="F1812" t="inlineStr">
        <is>
          <t>biosphere</t>
        </is>
      </c>
      <c r="I1812">
        <v>0</v>
      </c>
    </row>
    <row r="1813">
      <c r="A1813" t="inlineStr">
        <is>
          <t>Chromium III</t>
        </is>
      </c>
      <c r="B1813">
        <v>7.637454356709601e-11</v>
      </c>
      <c r="D1813" t="inlineStr">
        <is>
          <t>kilogram</t>
        </is>
      </c>
      <c r="E1813" t="inlineStr">
        <is>
          <t>air::urban air close to ground</t>
        </is>
      </c>
      <c r="F1813" t="inlineStr">
        <is>
          <t>biosphere</t>
        </is>
      </c>
      <c r="I1813">
        <v>0</v>
      </c>
    </row>
    <row r="1814">
      <c r="A1814" t="inlineStr">
        <is>
          <t>Propane</t>
        </is>
      </c>
      <c r="B1814">
        <v>1.3573831832855856e-09</v>
      </c>
      <c r="D1814" t="inlineStr">
        <is>
          <t>kilogram</t>
        </is>
      </c>
      <c r="E1814" t="inlineStr">
        <is>
          <t>air::urban air close to ground</t>
        </is>
      </c>
      <c r="F1814" t="inlineStr">
        <is>
          <t>biosphere</t>
        </is>
      </c>
      <c r="I1814">
        <v>0</v>
      </c>
    </row>
    <row r="1815">
      <c r="A1815" t="inlineStr">
        <is>
          <t>Toluene</t>
        </is>
      </c>
      <c r="B1815">
        <v>8.514495184008822e-09</v>
      </c>
      <c r="D1815" t="inlineStr">
        <is>
          <t>kilogram</t>
        </is>
      </c>
      <c r="E1815" t="inlineStr">
        <is>
          <t>air::urban air close to ground</t>
        </is>
      </c>
      <c r="F1815" t="inlineStr">
        <is>
          <t>biosphere</t>
        </is>
      </c>
      <c r="I1815">
        <v>0</v>
      </c>
    </row>
    <row r="1816">
      <c r="A1816" t="inlineStr">
        <is>
          <t>Dinitrogen monoxide</t>
        </is>
      </c>
      <c r="B1816">
        <v>8.68949829854063e-07</v>
      </c>
      <c r="D1816" t="inlineStr">
        <is>
          <t>kilogram</t>
        </is>
      </c>
      <c r="E1816" t="inlineStr">
        <is>
          <t>air::urban air close to ground</t>
        </is>
      </c>
      <c r="F1816" t="inlineStr">
        <is>
          <t>biosphere</t>
        </is>
      </c>
      <c r="I1816">
        <v>0</v>
      </c>
    </row>
    <row r="1817">
      <c r="A1817" t="inlineStr">
        <is>
          <t>Zinc II</t>
        </is>
      </c>
      <c r="B1817">
        <v>1.6162087653443074e-10</v>
      </c>
      <c r="D1817" t="inlineStr">
        <is>
          <t>kilogram</t>
        </is>
      </c>
      <c r="E1817" t="inlineStr">
        <is>
          <t>air::urban air close to ground</t>
        </is>
      </c>
      <c r="F1817" t="inlineStr">
        <is>
          <t>biosphere</t>
        </is>
      </c>
      <c r="I1817">
        <v>0</v>
      </c>
    </row>
    <row r="1818">
      <c r="A1818" t="inlineStr">
        <is>
          <t>Chromium VI</t>
        </is>
      </c>
      <c r="B1818">
        <v>2.426366216798939e-13</v>
      </c>
      <c r="D1818" t="inlineStr">
        <is>
          <t>kilogram</t>
        </is>
      </c>
      <c r="E1818" t="inlineStr">
        <is>
          <t>air::non-urban air or from high stacks</t>
        </is>
      </c>
      <c r="F1818" t="inlineStr">
        <is>
          <t>biosphere</t>
        </is>
      </c>
      <c r="I1818">
        <v>0</v>
      </c>
    </row>
    <row r="1819">
      <c r="A1819" t="inlineStr">
        <is>
          <t>Benzene</t>
        </is>
      </c>
      <c r="B1819">
        <v>2.1320570436842153e-08</v>
      </c>
      <c r="D1819" t="inlineStr">
        <is>
          <t>kilogram</t>
        </is>
      </c>
      <c r="E1819" t="inlineStr">
        <is>
          <t>air::non-urban air or from high stacks</t>
        </is>
      </c>
      <c r="F1819" t="inlineStr">
        <is>
          <t>biosphere</t>
        </is>
      </c>
      <c r="I1819">
        <v>0</v>
      </c>
    </row>
    <row r="1820">
      <c r="A1820" t="inlineStr">
        <is>
          <t>Carbon monoxide, fossil</t>
        </is>
      </c>
      <c r="B1820">
        <v>4.486574608647261e-06</v>
      </c>
      <c r="D1820" t="inlineStr">
        <is>
          <t>kilogram</t>
        </is>
      </c>
      <c r="E1820" t="inlineStr">
        <is>
          <t>air::non-urban air or from high stacks</t>
        </is>
      </c>
      <c r="F1820" t="inlineStr">
        <is>
          <t>biosphere</t>
        </is>
      </c>
      <c r="I1820">
        <v>0</v>
      </c>
    </row>
    <row r="1821">
      <c r="A1821" t="inlineStr">
        <is>
          <t>Chromium VI</t>
        </is>
      </c>
      <c r="B1821">
        <v>1.5236336208114335e-13</v>
      </c>
      <c r="D1821" t="inlineStr">
        <is>
          <t>kilogram</t>
        </is>
      </c>
      <c r="E1821" t="inlineStr">
        <is>
          <t>air::urban air close to ground</t>
        </is>
      </c>
      <c r="F1821" t="inlineStr">
        <is>
          <t>biosphere</t>
        </is>
      </c>
      <c r="I1821">
        <v>0</v>
      </c>
    </row>
    <row r="1822">
      <c r="A1822" t="inlineStr">
        <is>
          <t>Methane, fossil</t>
        </is>
      </c>
      <c r="B1822">
        <v>1.5324029278860158e-06</v>
      </c>
      <c r="D1822" t="inlineStr">
        <is>
          <t>kilogram</t>
        </is>
      </c>
      <c r="E1822" t="inlineStr">
        <is>
          <t>air::urban air close to ground</t>
        </is>
      </c>
      <c r="F1822" t="inlineStr">
        <is>
          <t>biosphere</t>
        </is>
      </c>
      <c r="I1822">
        <v>0</v>
      </c>
    </row>
    <row r="1823">
      <c r="A1823" t="inlineStr">
        <is>
          <t>Sulfur dioxide</t>
        </is>
      </c>
      <c r="B1823">
        <v>4.6773094625996215e-07</v>
      </c>
      <c r="D1823" t="inlineStr">
        <is>
          <t>kilogram</t>
        </is>
      </c>
      <c r="E1823" t="inlineStr">
        <is>
          <t>air</t>
        </is>
      </c>
      <c r="F1823" t="inlineStr">
        <is>
          <t>biosphere</t>
        </is>
      </c>
      <c r="I1823">
        <v>0</v>
      </c>
    </row>
    <row r="1824">
      <c r="A1824" t="inlineStr">
        <is>
          <t>NMVOC, non-methane volatile organic compounds</t>
        </is>
      </c>
      <c r="B1824">
        <v>6.786915792678135e-07</v>
      </c>
      <c r="D1824" t="inlineStr">
        <is>
          <t>kilogram</t>
        </is>
      </c>
      <c r="E1824" t="inlineStr">
        <is>
          <t>air::urban air close to ground</t>
        </is>
      </c>
      <c r="F1824" t="inlineStr">
        <is>
          <t>biosphere</t>
        </is>
      </c>
      <c r="I1824">
        <v>0</v>
      </c>
    </row>
    <row r="1825">
      <c r="A1825" t="inlineStr">
        <is>
          <t>Formaldehyde</t>
        </is>
      </c>
      <c r="B1825">
        <v>1.4807816718010298e-07</v>
      </c>
      <c r="D1825" t="inlineStr">
        <is>
          <t>kilogram</t>
        </is>
      </c>
      <c r="E1825" t="inlineStr">
        <is>
          <t>air::urban air close to ground</t>
        </is>
      </c>
      <c r="F1825" t="inlineStr">
        <is>
          <t>biosphere</t>
        </is>
      </c>
      <c r="I1825">
        <v>0</v>
      </c>
    </row>
    <row r="1826">
      <c r="A1826" t="inlineStr">
        <is>
          <t>Nitrogen oxides</t>
        </is>
      </c>
      <c r="B1826">
        <v>1.6646759692298164e-05</v>
      </c>
      <c r="D1826" t="inlineStr">
        <is>
          <t>kilogram</t>
        </is>
      </c>
      <c r="E1826" t="inlineStr">
        <is>
          <t>air::urban air close to ground</t>
        </is>
      </c>
      <c r="F1826" t="inlineStr">
        <is>
          <t>biosphere</t>
        </is>
      </c>
      <c r="I1826">
        <v>0</v>
      </c>
    </row>
    <row r="1827">
      <c r="A1827" t="inlineStr">
        <is>
          <t>Formaldehyde</t>
        </is>
      </c>
      <c r="B1827">
        <v>3.198085755910623e-08</v>
      </c>
      <c r="D1827" t="inlineStr">
        <is>
          <t>kilogram</t>
        </is>
      </c>
      <c r="E1827" t="inlineStr">
        <is>
          <t>air::non-urban air or from high stacks</t>
        </is>
      </c>
      <c r="F1827" t="inlineStr">
        <is>
          <t>biosphere</t>
        </is>
      </c>
      <c r="I1827">
        <v>0</v>
      </c>
    </row>
    <row r="1828">
      <c r="A1828" t="inlineStr">
        <is>
          <t>Zinc II</t>
        </is>
      </c>
      <c r="B1828">
        <v>2.5737910759022457e-10</v>
      </c>
      <c r="D1828" t="inlineStr">
        <is>
          <t>kilogram</t>
        </is>
      </c>
      <c r="E1828" t="inlineStr">
        <is>
          <t>air::non-urban air or from high stacks</t>
        </is>
      </c>
      <c r="F1828" t="inlineStr">
        <is>
          <t>biosphere</t>
        </is>
      </c>
      <c r="I1828">
        <v>0</v>
      </c>
    </row>
    <row r="1829">
      <c r="A1829" t="inlineStr">
        <is>
          <t>Carbon monoxide, fossil</t>
        </is>
      </c>
      <c r="B1829">
        <v>1.4237602031170576e-05</v>
      </c>
      <c r="D1829" t="inlineStr">
        <is>
          <t>kilogram</t>
        </is>
      </c>
      <c r="E1829" t="inlineStr">
        <is>
          <t>air::urban air close to ground</t>
        </is>
      </c>
      <c r="F1829" t="inlineStr">
        <is>
          <t>biosphere</t>
        </is>
      </c>
      <c r="I1829">
        <v>0</v>
      </c>
    </row>
    <row r="1830">
      <c r="A1830" t="inlineStr">
        <is>
          <t>m-Xylene</t>
        </is>
      </c>
      <c r="B1830">
        <v>7.527306895116669e-09</v>
      </c>
      <c r="D1830" t="inlineStr">
        <is>
          <t>kilogram</t>
        </is>
      </c>
      <c r="E1830" t="inlineStr">
        <is>
          <t>air::urban air close to ground</t>
        </is>
      </c>
      <c r="F1830" t="inlineStr">
        <is>
          <t>biosphere</t>
        </is>
      </c>
      <c r="I1830">
        <v>0</v>
      </c>
    </row>
    <row r="1831">
      <c r="A1831" t="inlineStr">
        <is>
          <t>PAH, polycyclic aromatic hydrocarbons</t>
        </is>
      </c>
      <c r="B1831">
        <v>8.108362635164032e-10</v>
      </c>
      <c r="D1831" t="inlineStr">
        <is>
          <t>kilogram</t>
        </is>
      </c>
      <c r="E1831" t="inlineStr">
        <is>
          <t>air::non-urban air or from high stacks</t>
        </is>
      </c>
      <c r="F1831" t="inlineStr">
        <is>
          <t>biosphere</t>
        </is>
      </c>
      <c r="I1831">
        <v>0</v>
      </c>
    </row>
    <row r="1832">
      <c r="A1832" t="inlineStr">
        <is>
          <t>Particulate Matter, &lt; 2.5 um</t>
        </is>
      </c>
      <c r="B1832">
        <v>1.5058152272837298e-07</v>
      </c>
      <c r="D1832" t="inlineStr">
        <is>
          <t>kilogram</t>
        </is>
      </c>
      <c r="E1832" t="inlineStr">
        <is>
          <t>air::non-urban air or from high stacks</t>
        </is>
      </c>
      <c r="F1832" t="inlineStr">
        <is>
          <t>biosphere</t>
        </is>
      </c>
      <c r="I1832">
        <v>0</v>
      </c>
    </row>
    <row r="1833">
      <c r="A1833" t="inlineStr">
        <is>
          <t>Pentane</t>
        </is>
      </c>
      <c r="B1833">
        <v>1.0660286289332767e-10</v>
      </c>
      <c r="D1833" t="inlineStr">
        <is>
          <t>kilogram</t>
        </is>
      </c>
      <c r="E1833" t="inlineStr">
        <is>
          <t>air::non-urban air or from high stacks</t>
        </is>
      </c>
      <c r="F1833" t="inlineStr">
        <is>
          <t>biosphere</t>
        </is>
      </c>
      <c r="I1833">
        <v>0</v>
      </c>
    </row>
    <row r="1834">
      <c r="A1834" t="inlineStr">
        <is>
          <t>1,1,1,2-Tetrafluoroethane</t>
        </is>
      </c>
      <c r="B1834">
        <v>2.00956556691731e-06</v>
      </c>
      <c r="D1834" t="inlineStr">
        <is>
          <t>kilogram</t>
        </is>
      </c>
      <c r="E1834" t="inlineStr">
        <is>
          <t>air</t>
        </is>
      </c>
      <c r="F1834" t="inlineStr">
        <is>
          <t>biosphere</t>
        </is>
      </c>
      <c r="I1834">
        <v>0</v>
      </c>
    </row>
    <row r="1835">
      <c r="A1835" t="inlineStr">
        <is>
          <t>Acetaldehyde</t>
        </is>
      </c>
      <c r="B1835">
        <v>7.983881383537138e-08</v>
      </c>
      <c r="D1835" t="inlineStr">
        <is>
          <t>kilogram</t>
        </is>
      </c>
      <c r="E1835" t="inlineStr">
        <is>
          <t>air::urban air close to ground</t>
        </is>
      </c>
      <c r="F1835" t="inlineStr">
        <is>
          <t>biosphere</t>
        </is>
      </c>
      <c r="I1835">
        <v>0</v>
      </c>
    </row>
    <row r="1836">
      <c r="A1836" t="inlineStr">
        <is>
          <t>Benzene</t>
        </is>
      </c>
      <c r="B1836">
        <v>2.617468470906676e-08</v>
      </c>
      <c r="D1836" t="inlineStr">
        <is>
          <t>kilogram</t>
        </is>
      </c>
      <c r="E1836" t="inlineStr">
        <is>
          <t>air::urban air close to ground</t>
        </is>
      </c>
      <c r="F1836" t="inlineStr">
        <is>
          <t>biosphere</t>
        </is>
      </c>
      <c r="I1836">
        <v>0</v>
      </c>
    </row>
    <row r="1837">
      <c r="A1837" t="inlineStr">
        <is>
          <t>Mercury II</t>
        </is>
      </c>
      <c r="B1837">
        <v>4.74447939061248e-11</v>
      </c>
      <c r="D1837" t="inlineStr">
        <is>
          <t>kilogram</t>
        </is>
      </c>
      <c r="E1837" t="inlineStr">
        <is>
          <t>air::urban air close to ground</t>
        </is>
      </c>
      <c r="F1837" t="inlineStr">
        <is>
          <t>biosphere</t>
        </is>
      </c>
      <c r="I1837">
        <v>0</v>
      </c>
    </row>
    <row r="1838">
      <c r="A1838" t="inlineStr">
        <is>
          <t>Cadmium II</t>
        </is>
      </c>
      <c r="B1838">
        <v>4.4744682628565553e-13</v>
      </c>
      <c r="D1838" t="inlineStr">
        <is>
          <t>kilogram</t>
        </is>
      </c>
      <c r="E1838" t="inlineStr">
        <is>
          <t>air::urban air close to ground</t>
        </is>
      </c>
      <c r="F1838" t="inlineStr">
        <is>
          <t>biosphere</t>
        </is>
      </c>
      <c r="I1838">
        <v>0</v>
      </c>
    </row>
    <row r="1839">
      <c r="A1839" t="inlineStr">
        <is>
          <t>Propane</t>
        </is>
      </c>
      <c r="B1839">
        <v>2.9315788039353776e-10</v>
      </c>
      <c r="D1839" t="inlineStr">
        <is>
          <t>kilogram</t>
        </is>
      </c>
      <c r="E1839" t="inlineStr">
        <is>
          <t>air::non-urban air or from high stacks</t>
        </is>
      </c>
      <c r="F1839" t="inlineStr">
        <is>
          <t>biosphere</t>
        </is>
      </c>
      <c r="I1839">
        <v>0</v>
      </c>
    </row>
    <row r="1840">
      <c r="A1840" t="inlineStr">
        <is>
          <t>Chromium III</t>
        </is>
      </c>
      <c r="B1840">
        <v>1.2162544101483783e-10</v>
      </c>
      <c r="D1840" t="inlineStr">
        <is>
          <t>kilogram</t>
        </is>
      </c>
      <c r="E1840" t="inlineStr">
        <is>
          <t>air::non-urban air or from high stacks</t>
        </is>
      </c>
      <c r="F1840" t="inlineStr">
        <is>
          <t>biosphere</t>
        </is>
      </c>
      <c r="I1840">
        <v>0</v>
      </c>
    </row>
    <row r="1841">
      <c r="A1841" t="inlineStr">
        <is>
          <t>Acetone</t>
        </is>
      </c>
      <c r="B1841">
        <v>3.627915248219963e-08</v>
      </c>
      <c r="D1841" t="inlineStr">
        <is>
          <t>kilogram</t>
        </is>
      </c>
      <c r="E1841" t="inlineStr">
        <is>
          <t>air::urban air close to ground</t>
        </is>
      </c>
      <c r="F1841" t="inlineStr">
        <is>
          <t>biosphere</t>
        </is>
      </c>
      <c r="I1841">
        <v>0</v>
      </c>
    </row>
    <row r="1842">
      <c r="A1842" t="inlineStr">
        <is>
          <t>Acrolein</t>
        </is>
      </c>
      <c r="B1842">
        <v>4.4176654985650857e-08</v>
      </c>
      <c r="D1842" t="inlineStr">
        <is>
          <t>kilogram</t>
        </is>
      </c>
      <c r="E1842" t="inlineStr">
        <is>
          <t>air::urban air close to ground</t>
        </is>
      </c>
      <c r="F1842" t="inlineStr">
        <is>
          <t>biosphere</t>
        </is>
      </c>
      <c r="I1842">
        <v>0</v>
      </c>
    </row>
    <row r="1843">
      <c r="A1843" t="inlineStr">
        <is>
          <t>Benzaldehyde</t>
        </is>
      </c>
      <c r="B1843">
        <v>1.061226839406165e-08</v>
      </c>
      <c r="D1843" t="inlineStr">
        <is>
          <t>kilogram</t>
        </is>
      </c>
      <c r="E1843" t="inlineStr">
        <is>
          <t>air::urban air close to ground</t>
        </is>
      </c>
      <c r="F1843" t="inlineStr">
        <is>
          <t>biosphere</t>
        </is>
      </c>
      <c r="I1843">
        <v>0</v>
      </c>
    </row>
    <row r="1844">
      <c r="A1844" t="inlineStr">
        <is>
          <t>Cyclohexane</t>
        </is>
      </c>
      <c r="B1844">
        <v>8.020901039562743e-09</v>
      </c>
      <c r="D1844" t="inlineStr">
        <is>
          <t>kilogram</t>
        </is>
      </c>
      <c r="E1844" t="inlineStr">
        <is>
          <t>air::urban air close to ground</t>
        </is>
      </c>
      <c r="F1844" t="inlineStr">
        <is>
          <t>biosphere</t>
        </is>
      </c>
      <c r="I1844">
        <v>0</v>
      </c>
    </row>
    <row r="1845">
      <c r="A1845" t="inlineStr">
        <is>
          <t>Heptane</t>
        </is>
      </c>
      <c r="B1845">
        <v>2.4679695323285083e-09</v>
      </c>
      <c r="D1845" t="inlineStr">
        <is>
          <t>kilogram</t>
        </is>
      </c>
      <c r="E1845" t="inlineStr">
        <is>
          <t>air::urban air close to ground</t>
        </is>
      </c>
      <c r="F1845" t="inlineStr">
        <is>
          <t>biosphere</t>
        </is>
      </c>
      <c r="I1845">
        <v>0</v>
      </c>
    </row>
    <row r="1846">
      <c r="A1846" t="inlineStr">
        <is>
          <t>Methyl ethyl ketone</t>
        </is>
      </c>
      <c r="B1846">
        <v>1.4807816718010298e-08</v>
      </c>
      <c r="D1846" t="inlineStr">
        <is>
          <t>kilogram</t>
        </is>
      </c>
      <c r="E1846" t="inlineStr">
        <is>
          <t>air::urban air close to ground</t>
        </is>
      </c>
      <c r="F1846" t="inlineStr">
        <is>
          <t>biosphere</t>
        </is>
      </c>
      <c r="I1846">
        <v>0</v>
      </c>
    </row>
    <row r="1847">
      <c r="A1847" t="inlineStr">
        <is>
          <t>o-Xylene</t>
        </is>
      </c>
      <c r="B1847">
        <v>3.331758809148392e-09</v>
      </c>
      <c r="D1847" t="inlineStr">
        <is>
          <t>kilogram</t>
        </is>
      </c>
      <c r="E1847" t="inlineStr">
        <is>
          <t>air::urban air close to ground</t>
        </is>
      </c>
      <c r="F1847" t="inlineStr">
        <is>
          <t>biosphere</t>
        </is>
      </c>
      <c r="I1847">
        <v>0</v>
      </c>
    </row>
    <row r="1848">
      <c r="A1848" t="inlineStr">
        <is>
          <t>Propylene</t>
        </is>
      </c>
      <c r="B1848">
        <v>4.4423450154030895e-08</v>
      </c>
      <c r="D1848" t="inlineStr">
        <is>
          <t>kilogram</t>
        </is>
      </c>
      <c r="E1848" t="inlineStr">
        <is>
          <t>air::urban air close to ground</t>
        </is>
      </c>
      <c r="F1848" t="inlineStr">
        <is>
          <t>biosphere</t>
        </is>
      </c>
      <c r="I1848">
        <v>0</v>
      </c>
    </row>
    <row r="1849">
      <c r="A1849" t="inlineStr">
        <is>
          <t>Selenium IV</t>
        </is>
      </c>
      <c r="B1849">
        <v>8.98750956554421e-13</v>
      </c>
      <c r="D1849" t="inlineStr">
        <is>
          <t>kilogram</t>
        </is>
      </c>
      <c r="E1849" t="inlineStr">
        <is>
          <t>air::urban air close to ground</t>
        </is>
      </c>
      <c r="F1849" t="inlineStr">
        <is>
          <t>biosphere</t>
        </is>
      </c>
      <c r="I1849">
        <v>0</v>
      </c>
    </row>
    <row r="1850">
      <c r="A1850" t="inlineStr">
        <is>
          <t>Styrene</t>
        </is>
      </c>
      <c r="B1850">
        <v>4.5657434563224585e-09</v>
      </c>
      <c r="D1850" t="inlineStr">
        <is>
          <t>kilogram</t>
        </is>
      </c>
      <c r="E1850" t="inlineStr">
        <is>
          <t>air::urban air close to ground</t>
        </is>
      </c>
      <c r="F1850" t="inlineStr">
        <is>
          <t>biosphere</t>
        </is>
      </c>
      <c r="I1850">
        <v>0</v>
      </c>
    </row>
    <row r="1851">
      <c r="A1851" t="inlineStr">
        <is>
          <t>Acetaldehyde</t>
        </is>
      </c>
      <c r="B1851">
        <v>1.7243010879114162e-08</v>
      </c>
      <c r="D1851" t="inlineStr">
        <is>
          <t>kilogram</t>
        </is>
      </c>
      <c r="E1851" t="inlineStr">
        <is>
          <t>air::non-urban air or from high stacks</t>
        </is>
      </c>
      <c r="F1851" t="inlineStr">
        <is>
          <t>biosphere</t>
        </is>
      </c>
      <c r="I1851">
        <v>0</v>
      </c>
    </row>
    <row r="1852">
      <c r="A1852" t="inlineStr">
        <is>
          <t>Acetone</t>
        </is>
      </c>
      <c r="B1852">
        <v>7.835309664097135e-09</v>
      </c>
      <c r="D1852" t="inlineStr">
        <is>
          <t>kilogram</t>
        </is>
      </c>
      <c r="E1852" t="inlineStr">
        <is>
          <t>air::non-urban air or from high stacks</t>
        </is>
      </c>
      <c r="F1852" t="inlineStr">
        <is>
          <t>biosphere</t>
        </is>
      </c>
      <c r="I1852">
        <v>0</v>
      </c>
    </row>
    <row r="1853">
      <c r="A1853" t="inlineStr">
        <is>
          <t>Acrolein</t>
        </is>
      </c>
      <c r="B1853">
        <v>9.540955946351132e-09</v>
      </c>
      <c r="D1853" t="inlineStr">
        <is>
          <t>kilogram</t>
        </is>
      </c>
      <c r="E1853" t="inlineStr">
        <is>
          <t>air::non-urban air or from high stacks</t>
        </is>
      </c>
      <c r="F1853" t="inlineStr">
        <is>
          <t>biosphere</t>
        </is>
      </c>
      <c r="I1853">
        <v>0</v>
      </c>
    </row>
    <row r="1854">
      <c r="A1854" t="inlineStr">
        <is>
          <t>Benzaldehyde</t>
        </is>
      </c>
      <c r="B1854">
        <v>2.291961388595036e-09</v>
      </c>
      <c r="D1854" t="inlineStr">
        <is>
          <t>kilogram</t>
        </is>
      </c>
      <c r="E1854" t="inlineStr">
        <is>
          <t>air::non-urban air or from high stacks</t>
        </is>
      </c>
      <c r="F1854" t="inlineStr">
        <is>
          <t>biosphere</t>
        </is>
      </c>
      <c r="I1854">
        <v>0</v>
      </c>
    </row>
    <row r="1855">
      <c r="A1855" t="inlineStr">
        <is>
          <t>Cyclohexane</t>
        </is>
      </c>
      <c r="B1855">
        <v>1.7322965145796874e-09</v>
      </c>
      <c r="D1855" t="inlineStr">
        <is>
          <t>kilogram</t>
        </is>
      </c>
      <c r="E1855" t="inlineStr">
        <is>
          <t>air::non-urban air or from high stacks</t>
        </is>
      </c>
      <c r="F1855" t="inlineStr">
        <is>
          <t>biosphere</t>
        </is>
      </c>
      <c r="I1855">
        <v>0</v>
      </c>
    </row>
    <row r="1856">
      <c r="A1856" t="inlineStr">
        <is>
          <t>Heptane</t>
        </is>
      </c>
      <c r="B1856">
        <v>5.330142847190914e-10</v>
      </c>
      <c r="D1856" t="inlineStr">
        <is>
          <t>kilogram</t>
        </is>
      </c>
      <c r="E1856" t="inlineStr">
        <is>
          <t>air::non-urban air or from high stacks</t>
        </is>
      </c>
      <c r="F1856" t="inlineStr">
        <is>
          <t>biosphere</t>
        </is>
      </c>
      <c r="I1856">
        <v>0</v>
      </c>
    </row>
    <row r="1857">
      <c r="A1857" t="inlineStr">
        <is>
          <t>Methyl ethyl ketone</t>
        </is>
      </c>
      <c r="B1857">
        <v>3.198085708314548e-09</v>
      </c>
      <c r="D1857" t="inlineStr">
        <is>
          <t>kilogram</t>
        </is>
      </c>
      <c r="E1857" t="inlineStr">
        <is>
          <t>air::non-urban air or from high stacks</t>
        </is>
      </c>
      <c r="F1857" t="inlineStr">
        <is>
          <t>biosphere</t>
        </is>
      </c>
      <c r="I1857">
        <v>0</v>
      </c>
    </row>
    <row r="1858">
      <c r="A1858" t="inlineStr">
        <is>
          <t>m-Xylene</t>
        </is>
      </c>
      <c r="B1858">
        <v>1.6256935624437191e-09</v>
      </c>
      <c r="D1858" t="inlineStr">
        <is>
          <t>kilogram</t>
        </is>
      </c>
      <c r="E1858" t="inlineStr">
        <is>
          <t>air::non-urban air or from high stacks</t>
        </is>
      </c>
      <c r="F1858" t="inlineStr">
        <is>
          <t>biosphere</t>
        </is>
      </c>
      <c r="I1858">
        <v>0</v>
      </c>
    </row>
    <row r="1859">
      <c r="A1859" t="inlineStr">
        <is>
          <t>o-Xylene</t>
        </is>
      </c>
      <c r="B1859">
        <v>7.195693022193013e-10</v>
      </c>
      <c r="D1859" t="inlineStr">
        <is>
          <t>kilogram</t>
        </is>
      </c>
      <c r="E1859" t="inlineStr">
        <is>
          <t>air::non-urban air or from high stacks</t>
        </is>
      </c>
      <c r="F1859" t="inlineStr">
        <is>
          <t>biosphere</t>
        </is>
      </c>
      <c r="I1859">
        <v>0</v>
      </c>
    </row>
    <row r="1860">
      <c r="A1860" t="inlineStr">
        <is>
          <t>Styrene</t>
        </is>
      </c>
      <c r="B1860">
        <v>9.86076444578847e-10</v>
      </c>
      <c r="D1860" t="inlineStr">
        <is>
          <t>kilogram</t>
        </is>
      </c>
      <c r="E1860" t="inlineStr">
        <is>
          <t>air::non-urban air or from high stacks</t>
        </is>
      </c>
      <c r="F1860" t="inlineStr">
        <is>
          <t>biosphere</t>
        </is>
      </c>
      <c r="I1860">
        <v>0</v>
      </c>
    </row>
    <row r="1861">
      <c r="A1861" t="inlineStr">
        <is>
          <t>Ethylene</t>
        </is>
      </c>
      <c r="B1861">
        <v>1.3536812652791e-07</v>
      </c>
      <c r="D1861" t="inlineStr">
        <is>
          <t>kilogram</t>
        </is>
      </c>
      <c r="E1861" t="inlineStr">
        <is>
          <t>air::urban air close to ground</t>
        </is>
      </c>
      <c r="F1861" t="inlineStr">
        <is>
          <t>biosphere</t>
        </is>
      </c>
      <c r="I1861">
        <v>0</v>
      </c>
    </row>
    <row r="1862">
      <c r="A1862" t="inlineStr">
        <is>
          <t>Ethylene</t>
        </is>
      </c>
      <c r="B1862">
        <v>2.923583389166125e-08</v>
      </c>
      <c r="D1862" t="inlineStr">
        <is>
          <t>kilogram</t>
        </is>
      </c>
      <c r="E1862" t="inlineStr">
        <is>
          <t>air::non-urban air or from high stacks</t>
        </is>
      </c>
      <c r="F1862" t="inlineStr">
        <is>
          <t>biosphere</t>
        </is>
      </c>
      <c r="I1862">
        <v>0</v>
      </c>
    </row>
    <row r="1863">
      <c r="A1863" t="inlineStr">
        <is>
          <t>market for internal combustion engine, passenger car</t>
        </is>
      </c>
      <c r="B1863">
        <v>0.0007866161325923368</v>
      </c>
      <c r="C1863" t="inlineStr">
        <is>
          <t>GLO</t>
        </is>
      </c>
      <c r="D1863" t="inlineStr">
        <is>
          <t>kilogram</t>
        </is>
      </c>
      <c r="F1863" t="inlineStr">
        <is>
          <t>technosphere</t>
        </is>
      </c>
      <c r="G1863" t="inlineStr">
        <is>
          <t>internal combustion engine, passenger car</t>
        </is>
      </c>
      <c r="H1863" t="inlineStr">
        <is>
          <t> Energy-use allocation: 293.5769348144531 * 4.999999873689376e-06 / 1.866074920371751 MJ per kilometer.</t>
        </is>
      </c>
      <c r="I1863">
        <v>0</v>
      </c>
    </row>
    <row r="1864">
      <c r="A1864" t="inlineStr">
        <is>
          <t>market for waste plastic, industrial electronics</t>
        </is>
      </c>
      <c r="B1864">
        <v>-0.00013127930051786527</v>
      </c>
      <c r="C1864" t="inlineStr">
        <is>
          <t>CH</t>
        </is>
      </c>
      <c r="D1864" t="inlineStr">
        <is>
          <t>kilogram</t>
        </is>
      </c>
      <c r="F1864" t="inlineStr">
        <is>
          <t>technosphere</t>
        </is>
      </c>
      <c r="G1864" t="inlineStr">
        <is>
          <t>waste plastic, industrial electronics</t>
        </is>
      </c>
      <c r="H1864" t="inlineStr">
        <is>
          <t> Energy-use allocation: -48.99540328979492 * 4.999999873689376e-06 / 1.866074920371751 MJ per kilometer.</t>
        </is>
      </c>
      <c r="I1864">
        <v>0</v>
      </c>
    </row>
    <row r="1865">
      <c r="A1865" t="inlineStr">
        <is>
          <t>polyethylene production, high density, granulate</t>
        </is>
      </c>
      <c r="B1865">
        <v>0.00013127930051786527</v>
      </c>
      <c r="C1865" t="inlineStr">
        <is>
          <t>RER</t>
        </is>
      </c>
      <c r="D1865" t="inlineStr">
        <is>
          <t>kilogram</t>
        </is>
      </c>
      <c r="F1865" t="inlineStr">
        <is>
          <t>technosphere</t>
        </is>
      </c>
      <c r="G1865" t="inlineStr">
        <is>
          <t>polyethylene, high density, granulate</t>
        </is>
      </c>
      <c r="H1865" t="inlineStr">
        <is>
          <t> Energy-use allocation: 48.99540328979492 * 4.999999873689376e-06 / 1.866074920371751 MJ per kilometer.</t>
        </is>
      </c>
      <c r="I1865">
        <v>0</v>
      </c>
    </row>
    <row r="1866">
      <c r="A1866" t="inlineStr">
        <is>
          <t>Carbon dioxide, fossil</t>
        </is>
      </c>
      <c r="B1866">
        <v>0.07320000000000003</v>
      </c>
      <c r="D1866" t="inlineStr">
        <is>
          <t>kilogram</t>
        </is>
      </c>
      <c r="E1866" t="inlineStr">
        <is>
          <t>air</t>
        </is>
      </c>
      <c r="F1866" t="inlineStr">
        <is>
          <t>biosphere</t>
        </is>
      </c>
      <c r="H1866" t="inlineStr">
        <is>
          <t>Reference fuel full-oxidation CO2; premise reclassifies fossil/biogenic emissions with its regional blend. Other carbon pollutants remain model defaults (not an elemental closure).</t>
        </is>
      </c>
      <c r="I1866">
        <v>0</v>
      </c>
    </row>
    <row r="1867"/>
    <row r="1868">
      <c r="A1868" t="inlineStr">
        <is>
          <t>Activity</t>
        </is>
      </c>
      <c r="B1868" t="inlineStr">
        <is>
          <t>petrol, burned in passenger car vehicle</t>
        </is>
      </c>
    </row>
    <row r="1869">
      <c r="A1869" t="inlineStr">
        <is>
          <t>location</t>
        </is>
      </c>
      <c r="B1869" t="inlineStr">
        <is>
          <t>CH</t>
        </is>
      </c>
    </row>
    <row r="1870">
      <c r="A1870" t="inlineStr">
        <is>
          <t>production amount</t>
        </is>
      </c>
      <c r="B1870">
        <v>1</v>
      </c>
    </row>
    <row r="1871">
      <c r="A1871" t="inlineStr">
        <is>
          <t>reference product</t>
        </is>
      </c>
      <c r="B1871" t="inlineStr">
        <is>
          <t>heat</t>
        </is>
      </c>
    </row>
    <row r="1872">
      <c r="A1872" t="inlineStr">
        <is>
          <t>type</t>
        </is>
      </c>
      <c r="B1872" t="inlineStr">
        <is>
          <t>process</t>
        </is>
      </c>
    </row>
    <row r="1873">
      <c r="A1873" t="inlineStr">
        <is>
          <t>unit</t>
        </is>
      </c>
      <c r="B1873" t="inlineStr">
        <is>
          <t>megajoule</t>
        </is>
      </c>
    </row>
    <row r="1874">
      <c r="A1874" t="inlineStr">
        <is>
          <t>energy use source</t>
        </is>
      </c>
      <c r="B187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 "vehicle per source service": 4.999999873689376e-06}], "alternative fuel recipe retained": false}</t>
        </is>
      </c>
    </row>
    <row r="1875">
      <c r="A1875" t="inlineStr">
        <is>
          <t>comment</t>
        </is>
      </c>
      <c r="B1875"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1876">
      <c r="A1876" t="inlineStr">
        <is>
          <t>Exchanges</t>
        </is>
      </c>
    </row>
    <row r="1877">
      <c r="A1877" t="inlineStr">
        <is>
          <t>name</t>
        </is>
      </c>
      <c r="B1877" t="inlineStr">
        <is>
          <t>amount</t>
        </is>
      </c>
      <c r="C1877" t="inlineStr">
        <is>
          <t>location</t>
        </is>
      </c>
      <c r="D1877" t="inlineStr">
        <is>
          <t>unit</t>
        </is>
      </c>
      <c r="E1877" t="inlineStr">
        <is>
          <t>categories</t>
        </is>
      </c>
      <c r="F1877" t="inlineStr">
        <is>
          <t>type</t>
        </is>
      </c>
      <c r="G1877" t="inlineStr">
        <is>
          <t>reference product</t>
        </is>
      </c>
      <c r="H1877" t="inlineStr">
        <is>
          <t>comment</t>
        </is>
      </c>
      <c r="I1877" t="inlineStr">
        <is>
          <t>uncertainty type</t>
        </is>
      </c>
    </row>
    <row r="1878">
      <c r="A1878" t="inlineStr">
        <is>
          <t>petrol, burned in passenger car vehicle</t>
        </is>
      </c>
      <c r="B1878">
        <v>1.0</v>
      </c>
      <c r="C1878" t="inlineStr">
        <is>
          <t>CH</t>
        </is>
      </c>
      <c r="D1878" t="inlineStr">
        <is>
          <t>megajoule</t>
        </is>
      </c>
      <c r="F1878" t="inlineStr">
        <is>
          <t>production</t>
        </is>
      </c>
      <c r="G1878" t="inlineStr">
        <is>
          <t>heat</t>
        </is>
      </c>
      <c r="I1878">
        <v>0</v>
      </c>
    </row>
    <row r="1879">
      <c r="A1879" t="inlineStr">
        <is>
          <t>market for petrol, low-sulfur</t>
        </is>
      </c>
      <c r="B1879">
        <v>0.023474178403755867</v>
      </c>
      <c r="C1879" t="inlineStr">
        <is>
          <t>Europe without Switzerland</t>
        </is>
      </c>
      <c r="D1879" t="inlineStr">
        <is>
          <t>kilogram</t>
        </is>
      </c>
      <c r="F1879" t="inlineStr">
        <is>
          <t>technosphere</t>
        </is>
      </c>
      <c r="G1879" t="inlineStr">
        <is>
          <t>petrol, low-sulfur</t>
        </is>
      </c>
      <c r="H1879" t="inlineStr">
        <is>
          <t>Default carculator fuel energy preserved (2.70629967951 MJ/vkm); premise reference LHV 42.6 MJ/kg. Regional scenario blend belongs to premise.</t>
        </is>
      </c>
      <c r="I1879">
        <v>0</v>
      </c>
    </row>
    <row r="1880">
      <c r="A1880" t="inlineStr">
        <is>
          <t>treatment of brake wear emissions, passenger car</t>
        </is>
      </c>
      <c r="B1880">
        <v>-5.438002312680902e-06</v>
      </c>
      <c r="C1880" t="inlineStr">
        <is>
          <t>RER</t>
        </is>
      </c>
      <c r="D1880" t="inlineStr">
        <is>
          <t>kilogram</t>
        </is>
      </c>
      <c r="F1880" t="inlineStr">
        <is>
          <t>technosphere</t>
        </is>
      </c>
      <c r="G1880" t="inlineStr">
        <is>
          <t>brake wear emissions, passenger car</t>
        </is>
      </c>
      <c r="I1880">
        <v>0</v>
      </c>
    </row>
    <row r="1881">
      <c r="A1881" t="inlineStr">
        <is>
          <t>treatment of road wear emissions, passenger car</t>
        </is>
      </c>
      <c r="B1881">
        <v>-6.242977641245232e-06</v>
      </c>
      <c r="C1881" t="inlineStr">
        <is>
          <t>RER</t>
        </is>
      </c>
      <c r="D1881" t="inlineStr">
        <is>
          <t>kilogram</t>
        </is>
      </c>
      <c r="F1881" t="inlineStr">
        <is>
          <t>technosphere</t>
        </is>
      </c>
      <c r="G1881" t="inlineStr">
        <is>
          <t>road wear emissions, passenger car</t>
        </is>
      </c>
      <c r="I1881">
        <v>0</v>
      </c>
    </row>
    <row r="1882">
      <c r="A1882" t="inlineStr">
        <is>
          <t>treatment of tyre wear emissions, passenger car</t>
        </is>
      </c>
      <c r="B1882">
        <v>-7.228598070295418e-06</v>
      </c>
      <c r="C1882" t="inlineStr">
        <is>
          <t>RER</t>
        </is>
      </c>
      <c r="D1882" t="inlineStr">
        <is>
          <t>kilogram</t>
        </is>
      </c>
      <c r="F1882" t="inlineStr">
        <is>
          <t>technosphere</t>
        </is>
      </c>
      <c r="G1882" t="inlineStr">
        <is>
          <t>tyre wear emissions, passenger car</t>
        </is>
      </c>
      <c r="I1882">
        <v>0</v>
      </c>
    </row>
    <row r="1883">
      <c r="A1883" t="inlineStr">
        <is>
          <t>market for tetrafluoroethane, R134a</t>
        </is>
      </c>
      <c r="B1883">
        <v>2.4018034573062128e-06</v>
      </c>
      <c r="C1883" t="inlineStr">
        <is>
          <t>GLO</t>
        </is>
      </c>
      <c r="D1883" t="inlineStr">
        <is>
          <t>kilogram</t>
        </is>
      </c>
      <c r="F1883" t="inlineStr">
        <is>
          <t>technosphere</t>
        </is>
      </c>
      <c r="G1883" t="inlineStr">
        <is>
          <t>tetrafluoroethane, R134a</t>
        </is>
      </c>
      <c r="I1883">
        <v>0</v>
      </c>
    </row>
    <row r="1884">
      <c r="A1884" t="inlineStr">
        <is>
          <t>Toluene</t>
        </is>
      </c>
      <c r="B1884">
        <v>8.485774790285088e-08</v>
      </c>
      <c r="D1884" t="inlineStr">
        <is>
          <t>kilogram</t>
        </is>
      </c>
      <c r="E1884" t="inlineStr">
        <is>
          <t>air::non-urban air or from high stacks</t>
        </is>
      </c>
      <c r="F1884" t="inlineStr">
        <is>
          <t>biosphere</t>
        </is>
      </c>
      <c r="I1884">
        <v>0</v>
      </c>
    </row>
    <row r="1885">
      <c r="A1885" t="inlineStr">
        <is>
          <t>NMVOC, non-methane volatile organic compounds</t>
        </is>
      </c>
      <c r="B1885">
        <v>3.1778359610804548e-06</v>
      </c>
      <c r="D1885" t="inlineStr">
        <is>
          <t>kilogram</t>
        </is>
      </c>
      <c r="E1885" t="inlineStr">
        <is>
          <t>air::non-urban air or from high stacks</t>
        </is>
      </c>
      <c r="F1885" t="inlineStr">
        <is>
          <t>biosphere</t>
        </is>
      </c>
      <c r="I1885">
        <v>0</v>
      </c>
    </row>
    <row r="1886">
      <c r="A1886" t="inlineStr">
        <is>
          <t>Dinitrogen monoxide</t>
        </is>
      </c>
      <c r="B1886">
        <v>4.674883409401355e-08</v>
      </c>
      <c r="D1886" t="inlineStr">
        <is>
          <t>kilogram</t>
        </is>
      </c>
      <c r="E1886" t="inlineStr">
        <is>
          <t>air::non-urban air or from high stacks</t>
        </is>
      </c>
      <c r="F1886" t="inlineStr">
        <is>
          <t>biosphere</t>
        </is>
      </c>
      <c r="I1886">
        <v>0</v>
      </c>
    </row>
    <row r="1887">
      <c r="A1887" t="inlineStr">
        <is>
          <t>Ethane</t>
        </is>
      </c>
      <c r="B1887">
        <v>6.178202979323652e-07</v>
      </c>
      <c r="D1887" t="inlineStr">
        <is>
          <t>kilogram</t>
        </is>
      </c>
      <c r="E1887" t="inlineStr">
        <is>
          <t>air::urban air close to ground</t>
        </is>
      </c>
      <c r="F1887" t="inlineStr">
        <is>
          <t>biosphere</t>
        </is>
      </c>
      <c r="I1887">
        <v>0</v>
      </c>
    </row>
    <row r="1888">
      <c r="A1888" t="inlineStr">
        <is>
          <t>Pentane</t>
        </is>
      </c>
      <c r="B1888">
        <v>4.2475143382439017e-07</v>
      </c>
      <c r="D1888" t="inlineStr">
        <is>
          <t>kilogram</t>
        </is>
      </c>
      <c r="E1888" t="inlineStr">
        <is>
          <t>air::urban air close to ground</t>
        </is>
      </c>
      <c r="F1888" t="inlineStr">
        <is>
          <t>biosphere</t>
        </is>
      </c>
      <c r="I1888">
        <v>0</v>
      </c>
    </row>
    <row r="1889">
      <c r="A1889" t="inlineStr">
        <is>
          <t>Selenium IV</t>
        </is>
      </c>
      <c r="B1889">
        <v>2.6658564722165628e-12</v>
      </c>
      <c r="D1889" t="inlineStr">
        <is>
          <t>kilogram</t>
        </is>
      </c>
      <c r="E1889" t="inlineStr">
        <is>
          <t>air::non-urban air or from high stacks</t>
        </is>
      </c>
      <c r="F1889" t="inlineStr">
        <is>
          <t>biosphere</t>
        </is>
      </c>
      <c r="I1889">
        <v>0</v>
      </c>
    </row>
    <row r="1890">
      <c r="A1890" t="inlineStr">
        <is>
          <t>Arsenic ion</t>
        </is>
      </c>
      <c r="B1890">
        <v>4.001626718125109e-12</v>
      </c>
      <c r="D1890" t="inlineStr">
        <is>
          <t>kilogram</t>
        </is>
      </c>
      <c r="E1890" t="inlineStr">
        <is>
          <t>air::non-urban air or from high stacks</t>
        </is>
      </c>
      <c r="F1890" t="inlineStr">
        <is>
          <t>biosphere</t>
        </is>
      </c>
      <c r="I1890">
        <v>0</v>
      </c>
    </row>
    <row r="1891">
      <c r="A1891" t="inlineStr">
        <is>
          <t>Arsenic ion</t>
        </is>
      </c>
      <c r="B1891">
        <v>3.038373047003884e-12</v>
      </c>
      <c r="D1891" t="inlineStr">
        <is>
          <t>kilogram</t>
        </is>
      </c>
      <c r="E1891" t="inlineStr">
        <is>
          <t>air::urban air close to ground</t>
        </is>
      </c>
      <c r="F1891" t="inlineStr">
        <is>
          <t>biosphere</t>
        </is>
      </c>
      <c r="I1891">
        <v>0</v>
      </c>
    </row>
    <row r="1892">
      <c r="A1892" t="inlineStr">
        <is>
          <t>Propylene</t>
        </is>
      </c>
      <c r="B1892">
        <v>2.9314492534191425e-08</v>
      </c>
      <c r="D1892" t="inlineStr">
        <is>
          <t>kilogram</t>
        </is>
      </c>
      <c r="E1892" t="inlineStr">
        <is>
          <t>air::non-urban air or from high stacks</t>
        </is>
      </c>
      <c r="F1892" t="inlineStr">
        <is>
          <t>biosphere</t>
        </is>
      </c>
      <c r="I1892">
        <v>0</v>
      </c>
    </row>
    <row r="1893">
      <c r="A1893" t="inlineStr">
        <is>
          <t>Particulate Matter, &lt; 2.5 um</t>
        </is>
      </c>
      <c r="B1893">
        <v>2.3699093868880875e-07</v>
      </c>
      <c r="D1893" t="inlineStr">
        <is>
          <t>kilogram</t>
        </is>
      </c>
      <c r="E1893" t="inlineStr">
        <is>
          <t>air::urban air close to ground</t>
        </is>
      </c>
      <c r="F1893" t="inlineStr">
        <is>
          <t>biosphere</t>
        </is>
      </c>
      <c r="I1893">
        <v>0</v>
      </c>
    </row>
    <row r="1894">
      <c r="A1894" t="inlineStr">
        <is>
          <t>Nickel II</t>
        </is>
      </c>
      <c r="B1894">
        <v>3.069429555789392e-11</v>
      </c>
      <c r="D1894" t="inlineStr">
        <is>
          <t>kilogram</t>
        </is>
      </c>
      <c r="E1894" t="inlineStr">
        <is>
          <t>air::non-urban air or from high stacks</t>
        </is>
      </c>
      <c r="F1894" t="inlineStr">
        <is>
          <t>biosphere</t>
        </is>
      </c>
      <c r="I1894">
        <v>0</v>
      </c>
    </row>
    <row r="1895">
      <c r="A1895" t="inlineStr">
        <is>
          <t>Methane, fossil</t>
        </is>
      </c>
      <c r="B1895">
        <v>5.142891864640064e-07</v>
      </c>
      <c r="D1895" t="inlineStr">
        <is>
          <t>kilogram</t>
        </is>
      </c>
      <c r="E1895" t="inlineStr">
        <is>
          <t>air::non-urban air or from high stacks</t>
        </is>
      </c>
      <c r="F1895" t="inlineStr">
        <is>
          <t>biosphere</t>
        </is>
      </c>
      <c r="I1895">
        <v>0</v>
      </c>
    </row>
    <row r="1896">
      <c r="A1896" t="inlineStr">
        <is>
          <t>Mercury II</t>
        </is>
      </c>
      <c r="B1896">
        <v>1.1595623051201971e-10</v>
      </c>
      <c r="D1896" t="inlineStr">
        <is>
          <t>kilogram</t>
        </is>
      </c>
      <c r="E1896" t="inlineStr">
        <is>
          <t>air::non-urban air or from high stacks</t>
        </is>
      </c>
      <c r="F1896" t="inlineStr">
        <is>
          <t>biosphere</t>
        </is>
      </c>
      <c r="I1896">
        <v>0</v>
      </c>
    </row>
    <row r="1897">
      <c r="A1897" t="inlineStr">
        <is>
          <t>Ammonia</t>
        </is>
      </c>
      <c r="B1897">
        <v>1.8978800516687959e-06</v>
      </c>
      <c r="D1897" t="inlineStr">
        <is>
          <t>kilogram</t>
        </is>
      </c>
      <c r="E1897" t="inlineStr">
        <is>
          <t>air::non-urban air or from high stacks</t>
        </is>
      </c>
      <c r="F1897" t="inlineStr">
        <is>
          <t>biosphere</t>
        </is>
      </c>
      <c r="I1897">
        <v>0</v>
      </c>
    </row>
    <row r="1898">
      <c r="A1898" t="inlineStr">
        <is>
          <t>Ethane</t>
        </is>
      </c>
      <c r="B1898">
        <v>2.46858901080647e-08</v>
      </c>
      <c r="D1898" t="inlineStr">
        <is>
          <t>kilogram</t>
        </is>
      </c>
      <c r="E1898" t="inlineStr">
        <is>
          <t>air::non-urban air or from high stacks</t>
        </is>
      </c>
      <c r="F1898" t="inlineStr">
        <is>
          <t>biosphere</t>
        </is>
      </c>
      <c r="I1898">
        <v>0</v>
      </c>
    </row>
    <row r="1899">
      <c r="A1899" t="inlineStr">
        <is>
          <t>Nickel II</t>
        </is>
      </c>
      <c r="B1899">
        <v>2.33057020978785e-11</v>
      </c>
      <c r="D1899" t="inlineStr">
        <is>
          <t>kilogram</t>
        </is>
      </c>
      <c r="E1899" t="inlineStr">
        <is>
          <t>air::urban air close to ground</t>
        </is>
      </c>
      <c r="F1899" t="inlineStr">
        <is>
          <t>biosphere</t>
        </is>
      </c>
      <c r="I1899">
        <v>0</v>
      </c>
    </row>
    <row r="1900">
      <c r="A1900" t="inlineStr">
        <is>
          <t>Cadmium II</t>
        </is>
      </c>
      <c r="B1900">
        <v>2.6658564722165628e-12</v>
      </c>
      <c r="D1900" t="inlineStr">
        <is>
          <t>kilogram</t>
        </is>
      </c>
      <c r="E1900" t="inlineStr">
        <is>
          <t>air::non-urban air or from high stacks</t>
        </is>
      </c>
      <c r="F1900" t="inlineStr">
        <is>
          <t>biosphere</t>
        </is>
      </c>
      <c r="I1900">
        <v>0</v>
      </c>
    </row>
    <row r="1901">
      <c r="A1901" t="inlineStr">
        <is>
          <t>Ammonia</t>
        </is>
      </c>
      <c r="B1901">
        <v>1.4410307235331609e-06</v>
      </c>
      <c r="D1901" t="inlineStr">
        <is>
          <t>kilogram</t>
        </is>
      </c>
      <c r="E1901" t="inlineStr">
        <is>
          <t>air::urban air close to ground</t>
        </is>
      </c>
      <c r="F1901" t="inlineStr">
        <is>
          <t>biosphere</t>
        </is>
      </c>
      <c r="I1901">
        <v>0</v>
      </c>
    </row>
    <row r="1902">
      <c r="A1902" t="inlineStr">
        <is>
          <t>Butane</t>
        </is>
      </c>
      <c r="B1902">
        <v>4.0114570112848195e-08</v>
      </c>
      <c r="D1902" t="inlineStr">
        <is>
          <t>kilogram</t>
        </is>
      </c>
      <c r="E1902" t="inlineStr">
        <is>
          <t>air::non-urban air or from high stacks</t>
        </is>
      </c>
      <c r="F1902" t="inlineStr">
        <is>
          <t>biosphere</t>
        </is>
      </c>
      <c r="I1902">
        <v>0</v>
      </c>
    </row>
    <row r="1903">
      <c r="A1903" t="inlineStr">
        <is>
          <t>PAH, polycyclic aromatic hydrocarbons</t>
        </is>
      </c>
      <c r="B1903">
        <v>3.5346981515115725e-10</v>
      </c>
      <c r="D1903" t="inlineStr">
        <is>
          <t>kilogram</t>
        </is>
      </c>
      <c r="E1903" t="inlineStr">
        <is>
          <t>air::urban air close to ground</t>
        </is>
      </c>
      <c r="F1903" t="inlineStr">
        <is>
          <t>biosphere</t>
        </is>
      </c>
      <c r="I1903">
        <v>0</v>
      </c>
    </row>
    <row r="1904">
      <c r="A1904" t="inlineStr">
        <is>
          <t>Copper ion</t>
        </is>
      </c>
      <c r="B1904">
        <v>6.025176924783301e-11</v>
      </c>
      <c r="D1904" t="inlineStr">
        <is>
          <t>kilogram</t>
        </is>
      </c>
      <c r="E1904" t="inlineStr">
        <is>
          <t>air::non-urban air or from high stacks</t>
        </is>
      </c>
      <c r="F1904" t="inlineStr">
        <is>
          <t>biosphere</t>
        </is>
      </c>
      <c r="I1904">
        <v>0</v>
      </c>
    </row>
    <row r="1905">
      <c r="A1905" t="inlineStr">
        <is>
          <t>Nitrogen oxides</t>
        </is>
      </c>
      <c r="B1905">
        <v>8.487546844117613e-06</v>
      </c>
      <c r="D1905" t="inlineStr">
        <is>
          <t>kilogram</t>
        </is>
      </c>
      <c r="E1905" t="inlineStr">
        <is>
          <t>air::non-urban air or from high stacks</t>
        </is>
      </c>
      <c r="F1905" t="inlineStr">
        <is>
          <t>biosphere</t>
        </is>
      </c>
      <c r="I1905">
        <v>0</v>
      </c>
    </row>
    <row r="1906">
      <c r="A1906" t="inlineStr">
        <is>
          <t>Hexane</t>
        </is>
      </c>
      <c r="B1906">
        <v>3.089101489661827e-07</v>
      </c>
      <c r="D1906" t="inlineStr">
        <is>
          <t>kilogram</t>
        </is>
      </c>
      <c r="E1906" t="inlineStr">
        <is>
          <t>air::urban air close to ground</t>
        </is>
      </c>
      <c r="F1906" t="inlineStr">
        <is>
          <t>biosphere</t>
        </is>
      </c>
      <c r="I1906">
        <v>0</v>
      </c>
    </row>
    <row r="1907">
      <c r="A1907" t="inlineStr">
        <is>
          <t>Butane</t>
        </is>
      </c>
      <c r="B1907">
        <v>1.0039579421318718e-06</v>
      </c>
      <c r="D1907" t="inlineStr">
        <is>
          <t>kilogram</t>
        </is>
      </c>
      <c r="E1907" t="inlineStr">
        <is>
          <t>air::urban air close to ground</t>
        </is>
      </c>
      <c r="F1907" t="inlineStr">
        <is>
          <t>biosphere</t>
        </is>
      </c>
      <c r="I1907">
        <v>0</v>
      </c>
    </row>
    <row r="1908">
      <c r="A1908" t="inlineStr">
        <is>
          <t>Copper ion</t>
        </is>
      </c>
      <c r="B1908">
        <v>4.57482306137567e-11</v>
      </c>
      <c r="D1908" t="inlineStr">
        <is>
          <t>kilogram</t>
        </is>
      </c>
      <c r="E1908" t="inlineStr">
        <is>
          <t>air::urban air close to ground</t>
        </is>
      </c>
      <c r="F1908" t="inlineStr">
        <is>
          <t>biosphere</t>
        </is>
      </c>
      <c r="I1908">
        <v>0</v>
      </c>
    </row>
    <row r="1909">
      <c r="A1909" t="inlineStr">
        <is>
          <t>Chromium III</t>
        </is>
      </c>
      <c r="B1909">
        <v>6.387488609167662e-11</v>
      </c>
      <c r="D1909" t="inlineStr">
        <is>
          <t>kilogram</t>
        </is>
      </c>
      <c r="E1909" t="inlineStr">
        <is>
          <t>air::urban air close to ground</t>
        </is>
      </c>
      <c r="F1909" t="inlineStr">
        <is>
          <t>biosphere</t>
        </is>
      </c>
      <c r="I1909">
        <v>0</v>
      </c>
    </row>
    <row r="1910">
      <c r="A1910" t="inlineStr">
        <is>
          <t>Propane</t>
        </is>
      </c>
      <c r="B1910">
        <v>1.351481901727049e-07</v>
      </c>
      <c r="D1910" t="inlineStr">
        <is>
          <t>kilogram</t>
        </is>
      </c>
      <c r="E1910" t="inlineStr">
        <is>
          <t>air::urban air close to ground</t>
        </is>
      </c>
      <c r="F1910" t="inlineStr">
        <is>
          <t>biosphere</t>
        </is>
      </c>
      <c r="I1910">
        <v>0</v>
      </c>
    </row>
    <row r="1911">
      <c r="A1911" t="inlineStr">
        <is>
          <t>Toluene</t>
        </is>
      </c>
      <c r="B1911">
        <v>2.1237572531383947e-06</v>
      </c>
      <c r="D1911" t="inlineStr">
        <is>
          <t>kilogram</t>
        </is>
      </c>
      <c r="E1911" t="inlineStr">
        <is>
          <t>air::urban air close to ground</t>
        </is>
      </c>
      <c r="F1911" t="inlineStr">
        <is>
          <t>biosphere</t>
        </is>
      </c>
      <c r="I1911">
        <v>0</v>
      </c>
    </row>
    <row r="1912">
      <c r="A1912" t="inlineStr">
        <is>
          <t>Dinitrogen monoxide</t>
        </is>
      </c>
      <c r="B1912">
        <v>3.5495663709460686e-08</v>
      </c>
      <c r="D1912" t="inlineStr">
        <is>
          <t>kilogram</t>
        </is>
      </c>
      <c r="E1912" t="inlineStr">
        <is>
          <t>air::urban air close to ground</t>
        </is>
      </c>
      <c r="F1912" t="inlineStr">
        <is>
          <t>biosphere</t>
        </is>
      </c>
      <c r="I1912">
        <v>0</v>
      </c>
    </row>
    <row r="1913">
      <c r="A1913" t="inlineStr">
        <is>
          <t>Zinc II</t>
        </is>
      </c>
      <c r="B1913">
        <v>3.3447998609123704e-10</v>
      </c>
      <c r="D1913" t="inlineStr">
        <is>
          <t>kilogram</t>
        </is>
      </c>
      <c r="E1913" t="inlineStr">
        <is>
          <t>air::urban air close to ground</t>
        </is>
      </c>
      <c r="F1913" t="inlineStr">
        <is>
          <t>biosphere</t>
        </is>
      </c>
      <c r="I1913">
        <v>0</v>
      </c>
    </row>
    <row r="1914">
      <c r="A1914" t="inlineStr">
        <is>
          <t>Chromium VI</t>
        </is>
      </c>
      <c r="B1914">
        <v>1.6825022521085002e-13</v>
      </c>
      <c r="D1914" t="inlineStr">
        <is>
          <t>kilogram</t>
        </is>
      </c>
      <c r="E1914" t="inlineStr">
        <is>
          <t>air::non-urban air or from high stacks</t>
        </is>
      </c>
      <c r="F1914" t="inlineStr">
        <is>
          <t>biosphere</t>
        </is>
      </c>
      <c r="I1914">
        <v>0</v>
      </c>
    </row>
    <row r="1915">
      <c r="A1915" t="inlineStr">
        <is>
          <t>Benzene</t>
        </is>
      </c>
      <c r="B1915">
        <v>3.53245327151087e-08</v>
      </c>
      <c r="D1915" t="inlineStr">
        <is>
          <t>kilogram</t>
        </is>
      </c>
      <c r="E1915" t="inlineStr">
        <is>
          <t>air::non-urban air or from high stacks</t>
        </is>
      </c>
      <c r="F1915" t="inlineStr">
        <is>
          <t>biosphere</t>
        </is>
      </c>
      <c r="I1915">
        <v>0</v>
      </c>
    </row>
    <row r="1916">
      <c r="A1916" t="inlineStr">
        <is>
          <t>Carbon monoxide, fossil</t>
        </is>
      </c>
      <c r="B1916">
        <v>0.0001087694681937128</v>
      </c>
      <c r="D1916" t="inlineStr">
        <is>
          <t>kilogram</t>
        </is>
      </c>
      <c r="E1916" t="inlineStr">
        <is>
          <t>air::non-urban air or from high stacks</t>
        </is>
      </c>
      <c r="F1916" t="inlineStr">
        <is>
          <t>biosphere</t>
        </is>
      </c>
      <c r="I1916">
        <v>0</v>
      </c>
    </row>
    <row r="1917">
      <c r="A1917" t="inlineStr">
        <is>
          <t>Chromium VI</t>
        </is>
      </c>
      <c r="B1917">
        <v>1.2774977274422347e-13</v>
      </c>
      <c r="D1917" t="inlineStr">
        <is>
          <t>kilogram</t>
        </is>
      </c>
      <c r="E1917" t="inlineStr">
        <is>
          <t>air::urban air close to ground</t>
        </is>
      </c>
      <c r="F1917" t="inlineStr">
        <is>
          <t>biosphere</t>
        </is>
      </c>
      <c r="I1917">
        <v>0</v>
      </c>
    </row>
    <row r="1918">
      <c r="A1918" t="inlineStr">
        <is>
          <t>Methane, fossil</t>
        </is>
      </c>
      <c r="B1918">
        <v>1.4737951202945778e-06</v>
      </c>
      <c r="D1918" t="inlineStr">
        <is>
          <t>kilogram</t>
        </is>
      </c>
      <c r="E1918" t="inlineStr">
        <is>
          <t>air::urban air close to ground</t>
        </is>
      </c>
      <c r="F1918" t="inlineStr">
        <is>
          <t>biosphere</t>
        </is>
      </c>
      <c r="I1918">
        <v>0</v>
      </c>
    </row>
    <row r="1919">
      <c r="A1919" t="inlineStr">
        <is>
          <t>Sulfur dioxide</t>
        </is>
      </c>
      <c r="B1919">
        <v>3.7723729745496776e-07</v>
      </c>
      <c r="D1919" t="inlineStr">
        <is>
          <t>kilogram</t>
        </is>
      </c>
      <c r="E1919" t="inlineStr">
        <is>
          <t>air</t>
        </is>
      </c>
      <c r="F1919" t="inlineStr">
        <is>
          <t>biosphere</t>
        </is>
      </c>
      <c r="I1919">
        <v>0</v>
      </c>
    </row>
    <row r="1920">
      <c r="A1920" t="inlineStr">
        <is>
          <t>NMVOC, non-methane volatile organic compounds</t>
        </is>
      </c>
      <c r="B1920">
        <v>1.9676329903559775e-05</v>
      </c>
      <c r="D1920" t="inlineStr">
        <is>
          <t>kilogram</t>
        </is>
      </c>
      <c r="E1920" t="inlineStr">
        <is>
          <t>air::urban air close to ground</t>
        </is>
      </c>
      <c r="F1920" t="inlineStr">
        <is>
          <t>biosphere</t>
        </is>
      </c>
      <c r="I1920">
        <v>0</v>
      </c>
    </row>
    <row r="1921">
      <c r="A1921" t="inlineStr">
        <is>
          <t>Formaldehyde</t>
        </is>
      </c>
      <c r="B1921">
        <v>3.282170227745136e-07</v>
      </c>
      <c r="D1921" t="inlineStr">
        <is>
          <t>kilogram</t>
        </is>
      </c>
      <c r="E1921" t="inlineStr">
        <is>
          <t>air::urban air close to ground</t>
        </is>
      </c>
      <c r="F1921" t="inlineStr">
        <is>
          <t>biosphere</t>
        </is>
      </c>
      <c r="I1921">
        <v>0</v>
      </c>
    </row>
    <row r="1922">
      <c r="A1922" t="inlineStr">
        <is>
          <t>Nitrogen oxides</t>
        </is>
      </c>
      <c r="B1922">
        <v>1.1323855960379002e-05</v>
      </c>
      <c r="D1922" t="inlineStr">
        <is>
          <t>kilogram</t>
        </is>
      </c>
      <c r="E1922" t="inlineStr">
        <is>
          <t>air::urban air close to ground</t>
        </is>
      </c>
      <c r="F1922" t="inlineStr">
        <is>
          <t>biosphere</t>
        </is>
      </c>
      <c r="I1922">
        <v>0</v>
      </c>
    </row>
    <row r="1923">
      <c r="A1923" t="inlineStr">
        <is>
          <t>Formaldehyde</t>
        </is>
      </c>
      <c r="B1923">
        <v>1.3114378791720136e-08</v>
      </c>
      <c r="D1923" t="inlineStr">
        <is>
          <t>kilogram</t>
        </is>
      </c>
      <c r="E1923" t="inlineStr">
        <is>
          <t>air::non-urban air or from high stacks</t>
        </is>
      </c>
      <c r="F1923" t="inlineStr">
        <is>
          <t>biosphere</t>
        </is>
      </c>
      <c r="I1923">
        <v>0</v>
      </c>
    </row>
    <row r="1924">
      <c r="A1924" t="inlineStr">
        <is>
          <t>Zinc II</t>
        </is>
      </c>
      <c r="B1924">
        <v>4.4051995837597756e-10</v>
      </c>
      <c r="D1924" t="inlineStr">
        <is>
          <t>kilogram</t>
        </is>
      </c>
      <c r="E1924" t="inlineStr">
        <is>
          <t>air::non-urban air or from high stacks</t>
        </is>
      </c>
      <c r="F1924" t="inlineStr">
        <is>
          <t>biosphere</t>
        </is>
      </c>
      <c r="I1924">
        <v>0</v>
      </c>
    </row>
    <row r="1925">
      <c r="A1925" t="inlineStr">
        <is>
          <t>Carbon monoxide, fossil</t>
        </is>
      </c>
      <c r="B1925">
        <v>0.00020171446470292127</v>
      </c>
      <c r="D1925" t="inlineStr">
        <is>
          <t>kilogram</t>
        </is>
      </c>
      <c r="E1925" t="inlineStr">
        <is>
          <t>air::urban air close to ground</t>
        </is>
      </c>
      <c r="F1925" t="inlineStr">
        <is>
          <t>biosphere</t>
        </is>
      </c>
      <c r="I1925">
        <v>0</v>
      </c>
    </row>
    <row r="1926">
      <c r="A1926" t="inlineStr">
        <is>
          <t>m-Xylene</t>
        </is>
      </c>
      <c r="B1926">
        <v>1.0425717317567554e-06</v>
      </c>
      <c r="D1926" t="inlineStr">
        <is>
          <t>kilogram</t>
        </is>
      </c>
      <c r="E1926" t="inlineStr">
        <is>
          <t>air::urban air close to ground</t>
        </is>
      </c>
      <c r="F1926" t="inlineStr">
        <is>
          <t>biosphere</t>
        </is>
      </c>
      <c r="I1926">
        <v>0</v>
      </c>
    </row>
    <row r="1927">
      <c r="A1927" t="inlineStr">
        <is>
          <t>PAH, polycyclic aromatic hydrocarbons</t>
        </is>
      </c>
      <c r="B1927">
        <v>4.655301522860326e-10</v>
      </c>
      <c r="D1927" t="inlineStr">
        <is>
          <t>kilogram</t>
        </is>
      </c>
      <c r="E1927" t="inlineStr">
        <is>
          <t>air::non-urban air or from high stacks</t>
        </is>
      </c>
      <c r="F1927" t="inlineStr">
        <is>
          <t>biosphere</t>
        </is>
      </c>
      <c r="I1927">
        <v>0</v>
      </c>
    </row>
    <row r="1928">
      <c r="A1928" t="inlineStr">
        <is>
          <t>Particulate Matter, &lt; 2.5 um</t>
        </is>
      </c>
      <c r="B1928">
        <v>3.1212402999812946e-07</v>
      </c>
      <c r="D1928" t="inlineStr">
        <is>
          <t>kilogram</t>
        </is>
      </c>
      <c r="E1928" t="inlineStr">
        <is>
          <t>air::non-urban air or from high stacks</t>
        </is>
      </c>
      <c r="F1928" t="inlineStr">
        <is>
          <t>biosphere</t>
        </is>
      </c>
      <c r="I1928">
        <v>0</v>
      </c>
    </row>
    <row r="1929">
      <c r="A1929" t="inlineStr">
        <is>
          <t>Pentane</t>
        </is>
      </c>
      <c r="B1929">
        <v>1.697155010567295e-08</v>
      </c>
      <c r="D1929" t="inlineStr">
        <is>
          <t>kilogram</t>
        </is>
      </c>
      <c r="E1929" t="inlineStr">
        <is>
          <t>air::non-urban air or from high stacks</t>
        </is>
      </c>
      <c r="F1929" t="inlineStr">
        <is>
          <t>biosphere</t>
        </is>
      </c>
      <c r="I1929">
        <v>0</v>
      </c>
    </row>
    <row r="1930">
      <c r="A1930" t="inlineStr">
        <is>
          <t>1,1,1,2-Tetrafluoroethane</t>
        </is>
      </c>
      <c r="B1930">
        <v>1.3856558213651742e-06</v>
      </c>
      <c r="D1930" t="inlineStr">
        <is>
          <t>kilogram</t>
        </is>
      </c>
      <c r="E1930" t="inlineStr">
        <is>
          <t>air</t>
        </is>
      </c>
      <c r="F1930" t="inlineStr">
        <is>
          <t>biosphere</t>
        </is>
      </c>
      <c r="I1930">
        <v>0</v>
      </c>
    </row>
    <row r="1931">
      <c r="A1931" t="inlineStr">
        <is>
          <t>Acetaldehyde</t>
        </is>
      </c>
      <c r="B1931">
        <v>1.544550744830913e-07</v>
      </c>
      <c r="D1931" t="inlineStr">
        <is>
          <t>kilogram</t>
        </is>
      </c>
      <c r="E1931" t="inlineStr">
        <is>
          <t>air::urban air close to ground</t>
        </is>
      </c>
      <c r="F1931" t="inlineStr">
        <is>
          <t>biosphere</t>
        </is>
      </c>
      <c r="I1931">
        <v>0</v>
      </c>
    </row>
    <row r="1932">
      <c r="A1932" t="inlineStr">
        <is>
          <t>Benzene</t>
        </is>
      </c>
      <c r="B1932">
        <v>1.4380293200880646e-06</v>
      </c>
      <c r="D1932" t="inlineStr">
        <is>
          <t>kilogram</t>
        </is>
      </c>
      <c r="E1932" t="inlineStr">
        <is>
          <t>air::urban air close to ground</t>
        </is>
      </c>
      <c r="F1932" t="inlineStr">
        <is>
          <t>biosphere</t>
        </is>
      </c>
      <c r="I1932">
        <v>0</v>
      </c>
    </row>
    <row r="1933">
      <c r="A1933" t="inlineStr">
        <is>
          <t>Mercury II</t>
        </is>
      </c>
      <c r="B1933">
        <v>8.804375664359864e-11</v>
      </c>
      <c r="D1933" t="inlineStr">
        <is>
          <t>kilogram</t>
        </is>
      </c>
      <c r="E1933" t="inlineStr">
        <is>
          <t>air::urban air close to ground</t>
        </is>
      </c>
      <c r="F1933" t="inlineStr">
        <is>
          <t>biosphere</t>
        </is>
      </c>
      <c r="I1933">
        <v>0</v>
      </c>
    </row>
    <row r="1934">
      <c r="A1934" t="inlineStr">
        <is>
          <t>Cadmium II</t>
        </is>
      </c>
      <c r="B1934">
        <v>2.0241433189600118e-12</v>
      </c>
      <c r="D1934" t="inlineStr">
        <is>
          <t>kilogram</t>
        </is>
      </c>
      <c r="E1934" t="inlineStr">
        <is>
          <t>air::urban air close to ground</t>
        </is>
      </c>
      <c r="F1934" t="inlineStr">
        <is>
          <t>biosphere</t>
        </is>
      </c>
      <c r="I1934">
        <v>0</v>
      </c>
    </row>
    <row r="1935">
      <c r="A1935" t="inlineStr">
        <is>
          <t>Propane</t>
        </is>
      </c>
      <c r="B1935">
        <v>5.4000384611391535e-09</v>
      </c>
      <c r="D1935" t="inlineStr">
        <is>
          <t>kilogram</t>
        </is>
      </c>
      <c r="E1935" t="inlineStr">
        <is>
          <t>air::non-urban air or from high stacks</t>
        </is>
      </c>
      <c r="F1935" t="inlineStr">
        <is>
          <t>biosphere</t>
        </is>
      </c>
      <c r="I1935">
        <v>0</v>
      </c>
    </row>
    <row r="1936">
      <c r="A1936" t="inlineStr">
        <is>
          <t>Chromium III</t>
        </is>
      </c>
      <c r="B1936">
        <v>8.412510539423576e-11</v>
      </c>
      <c r="D1936" t="inlineStr">
        <is>
          <t>kilogram</t>
        </is>
      </c>
      <c r="E1936" t="inlineStr">
        <is>
          <t>air::non-urban air or from high stacks</t>
        </is>
      </c>
      <c r="F1936" t="inlineStr">
        <is>
          <t>biosphere</t>
        </is>
      </c>
      <c r="I1936">
        <v>0</v>
      </c>
    </row>
    <row r="1937">
      <c r="A1937" t="inlineStr">
        <is>
          <t>1-Pentene</t>
        </is>
      </c>
      <c r="B1937">
        <v>1.9306884310386414e-08</v>
      </c>
      <c r="D1937" t="inlineStr">
        <is>
          <t>kilogram</t>
        </is>
      </c>
      <c r="E1937" t="inlineStr">
        <is>
          <t>air::urban air close to ground</t>
        </is>
      </c>
      <c r="F1937" t="inlineStr">
        <is>
          <t>biosphere</t>
        </is>
      </c>
      <c r="I1937">
        <v>0</v>
      </c>
    </row>
    <row r="1938">
      <c r="A1938" t="inlineStr">
        <is>
          <t>Acetone</t>
        </is>
      </c>
      <c r="B1938">
        <v>1.158413058623185e-07</v>
      </c>
      <c r="D1938" t="inlineStr">
        <is>
          <t>kilogram</t>
        </is>
      </c>
      <c r="E1938" t="inlineStr">
        <is>
          <t>air::urban air close to ground</t>
        </is>
      </c>
      <c r="F1938" t="inlineStr">
        <is>
          <t>biosphere</t>
        </is>
      </c>
      <c r="I1938">
        <v>0</v>
      </c>
    </row>
    <row r="1939">
      <c r="A1939" t="inlineStr">
        <is>
          <t>Acrolein</t>
        </is>
      </c>
      <c r="B1939">
        <v>3.861376862077283e-08</v>
      </c>
      <c r="D1939" t="inlineStr">
        <is>
          <t>kilogram</t>
        </is>
      </c>
      <c r="E1939" t="inlineStr">
        <is>
          <t>air::urban air close to ground</t>
        </is>
      </c>
      <c r="F1939" t="inlineStr">
        <is>
          <t>biosphere</t>
        </is>
      </c>
      <c r="I1939">
        <v>0</v>
      </c>
    </row>
    <row r="1940">
      <c r="A1940" t="inlineStr">
        <is>
          <t>Benzaldehyde</t>
        </is>
      </c>
      <c r="B1940">
        <v>3.861376862077283e-08</v>
      </c>
      <c r="D1940" t="inlineStr">
        <is>
          <t>kilogram</t>
        </is>
      </c>
      <c r="E1940" t="inlineStr">
        <is>
          <t>air::urban air close to ground</t>
        </is>
      </c>
      <c r="F1940" t="inlineStr">
        <is>
          <t>biosphere</t>
        </is>
      </c>
      <c r="I1940">
        <v>0</v>
      </c>
    </row>
    <row r="1941">
      <c r="A1941" t="inlineStr">
        <is>
          <t>Cyclohexane</t>
        </is>
      </c>
      <c r="B1941">
        <v>2.1237571691219508e-07</v>
      </c>
      <c r="D1941" t="inlineStr">
        <is>
          <t>kilogram</t>
        </is>
      </c>
      <c r="E1941" t="inlineStr">
        <is>
          <t>air::urban air close to ground</t>
        </is>
      </c>
      <c r="F1941" t="inlineStr">
        <is>
          <t>biosphere</t>
        </is>
      </c>
      <c r="I1941">
        <v>0</v>
      </c>
    </row>
    <row r="1942">
      <c r="A1942" t="inlineStr">
        <is>
          <t>Heptane</t>
        </is>
      </c>
      <c r="B1942">
        <v>1.351481901727049e-07</v>
      </c>
      <c r="D1942" t="inlineStr">
        <is>
          <t>kilogram</t>
        </is>
      </c>
      <c r="E1942" t="inlineStr">
        <is>
          <t>air::urban air close to ground</t>
        </is>
      </c>
      <c r="F1942" t="inlineStr">
        <is>
          <t>biosphere</t>
        </is>
      </c>
      <c r="I1942">
        <v>0</v>
      </c>
    </row>
    <row r="1943">
      <c r="A1943" t="inlineStr">
        <is>
          <t>Methyl ethyl ketone</t>
        </is>
      </c>
      <c r="B1943">
        <v>1.9306884310386414e-08</v>
      </c>
      <c r="D1943" t="inlineStr">
        <is>
          <t>kilogram</t>
        </is>
      </c>
      <c r="E1943" t="inlineStr">
        <is>
          <t>air::urban air close to ground</t>
        </is>
      </c>
      <c r="F1943" t="inlineStr">
        <is>
          <t>biosphere</t>
        </is>
      </c>
      <c r="I1943">
        <v>0</v>
      </c>
    </row>
    <row r="1944">
      <c r="A1944" t="inlineStr">
        <is>
          <t>o-Xylene</t>
        </is>
      </c>
      <c r="B1944">
        <v>4.4405832863683197e-07</v>
      </c>
      <c r="D1944" t="inlineStr">
        <is>
          <t>kilogram</t>
        </is>
      </c>
      <c r="E1944" t="inlineStr">
        <is>
          <t>air::urban air close to ground</t>
        </is>
      </c>
      <c r="F1944" t="inlineStr">
        <is>
          <t>biosphere</t>
        </is>
      </c>
      <c r="I1944">
        <v>0</v>
      </c>
    </row>
    <row r="1945">
      <c r="A1945" t="inlineStr">
        <is>
          <t>Propylene</t>
        </is>
      </c>
      <c r="B1945">
        <v>7.33661582790573e-07</v>
      </c>
      <c r="D1945" t="inlineStr">
        <is>
          <t>kilogram</t>
        </is>
      </c>
      <c r="E1945" t="inlineStr">
        <is>
          <t>air::urban air close to ground</t>
        </is>
      </c>
      <c r="F1945" t="inlineStr">
        <is>
          <t>biosphere</t>
        </is>
      </c>
      <c r="I1945">
        <v>0</v>
      </c>
    </row>
    <row r="1946">
      <c r="A1946" t="inlineStr">
        <is>
          <t>Selenium IV</t>
        </is>
      </c>
      <c r="B1946">
        <v>2.0241433189600118e-12</v>
      </c>
      <c r="D1946" t="inlineStr">
        <is>
          <t>kilogram</t>
        </is>
      </c>
      <c r="E1946" t="inlineStr">
        <is>
          <t>air::urban air close to ground</t>
        </is>
      </c>
      <c r="F1946" t="inlineStr">
        <is>
          <t>biosphere</t>
        </is>
      </c>
      <c r="I1946">
        <v>0</v>
      </c>
    </row>
    <row r="1947">
      <c r="A1947" t="inlineStr">
        <is>
          <t>Styrene</t>
        </is>
      </c>
      <c r="B1947">
        <v>1.9306884310386417e-07</v>
      </c>
      <c r="D1947" t="inlineStr">
        <is>
          <t>kilogram</t>
        </is>
      </c>
      <c r="E1947" t="inlineStr">
        <is>
          <t>air::urban air close to ground</t>
        </is>
      </c>
      <c r="F1947" t="inlineStr">
        <is>
          <t>biosphere</t>
        </is>
      </c>
      <c r="I1947">
        <v>0</v>
      </c>
    </row>
    <row r="1948">
      <c r="A1948" t="inlineStr">
        <is>
          <t>1-Pentene</t>
        </is>
      </c>
      <c r="B1948">
        <v>7.714340658770217e-10</v>
      </c>
      <c r="D1948" t="inlineStr">
        <is>
          <t>kilogram</t>
        </is>
      </c>
      <c r="E1948" t="inlineStr">
        <is>
          <t>air::non-urban air or from high stacks</t>
        </is>
      </c>
      <c r="F1948" t="inlineStr">
        <is>
          <t>biosphere</t>
        </is>
      </c>
      <c r="I1948">
        <v>0</v>
      </c>
    </row>
    <row r="1949">
      <c r="A1949" t="inlineStr">
        <is>
          <t>Acetaldehyde</t>
        </is>
      </c>
      <c r="B1949">
        <v>6.171472527016175e-09</v>
      </c>
      <c r="D1949" t="inlineStr">
        <is>
          <t>kilogram</t>
        </is>
      </c>
      <c r="E1949" t="inlineStr">
        <is>
          <t>air::non-urban air or from high stacks</t>
        </is>
      </c>
      <c r="F1949" t="inlineStr">
        <is>
          <t>biosphere</t>
        </is>
      </c>
      <c r="I1949">
        <v>0</v>
      </c>
    </row>
    <row r="1950">
      <c r="A1950" t="inlineStr">
        <is>
          <t>Acetone</t>
        </is>
      </c>
      <c r="B1950">
        <v>4.628604395262132e-09</v>
      </c>
      <c r="D1950" t="inlineStr">
        <is>
          <t>kilogram</t>
        </is>
      </c>
      <c r="E1950" t="inlineStr">
        <is>
          <t>air::non-urban air or from high stacks</t>
        </is>
      </c>
      <c r="F1950" t="inlineStr">
        <is>
          <t>biosphere</t>
        </is>
      </c>
      <c r="I1950">
        <v>0</v>
      </c>
    </row>
    <row r="1951">
      <c r="A1951" t="inlineStr">
        <is>
          <t>Acrolein</t>
        </is>
      </c>
      <c r="B1951">
        <v>1.542868131754044e-09</v>
      </c>
      <c r="D1951" t="inlineStr">
        <is>
          <t>kilogram</t>
        </is>
      </c>
      <c r="E1951" t="inlineStr">
        <is>
          <t>air::non-urban air or from high stacks</t>
        </is>
      </c>
      <c r="F1951" t="inlineStr">
        <is>
          <t>biosphere</t>
        </is>
      </c>
      <c r="I1951">
        <v>0</v>
      </c>
    </row>
    <row r="1952">
      <c r="A1952" t="inlineStr">
        <is>
          <t>Benzaldehyde</t>
        </is>
      </c>
      <c r="B1952">
        <v>1.542868131754044e-09</v>
      </c>
      <c r="D1952" t="inlineStr">
        <is>
          <t>kilogram</t>
        </is>
      </c>
      <c r="E1952" t="inlineStr">
        <is>
          <t>air::non-urban air or from high stacks</t>
        </is>
      </c>
      <c r="F1952" t="inlineStr">
        <is>
          <t>biosphere</t>
        </is>
      </c>
      <c r="I1952">
        <v>0</v>
      </c>
    </row>
    <row r="1953">
      <c r="A1953" t="inlineStr">
        <is>
          <t>Cyclohexane</t>
        </is>
      </c>
      <c r="B1953">
        <v>8.485775052836473e-09</v>
      </c>
      <c r="D1953" t="inlineStr">
        <is>
          <t>kilogram</t>
        </is>
      </c>
      <c r="E1953" t="inlineStr">
        <is>
          <t>air::non-urban air or from high stacks</t>
        </is>
      </c>
      <c r="F1953" t="inlineStr">
        <is>
          <t>biosphere</t>
        </is>
      </c>
      <c r="I1953">
        <v>0</v>
      </c>
    </row>
    <row r="1954">
      <c r="A1954" t="inlineStr">
        <is>
          <t>Heptane</t>
        </is>
      </c>
      <c r="B1954">
        <v>5.4000384611391535e-09</v>
      </c>
      <c r="D1954" t="inlineStr">
        <is>
          <t>kilogram</t>
        </is>
      </c>
      <c r="E1954" t="inlineStr">
        <is>
          <t>air::non-urban air or from high stacks</t>
        </is>
      </c>
      <c r="F1954" t="inlineStr">
        <is>
          <t>biosphere</t>
        </is>
      </c>
      <c r="I1954">
        <v>0</v>
      </c>
    </row>
    <row r="1955">
      <c r="A1955" t="inlineStr">
        <is>
          <t>Hexane</t>
        </is>
      </c>
      <c r="B1955">
        <v>1.234294505403235e-08</v>
      </c>
      <c r="D1955" t="inlineStr">
        <is>
          <t>kilogram</t>
        </is>
      </c>
      <c r="E1955" t="inlineStr">
        <is>
          <t>air::non-urban air or from high stacks</t>
        </is>
      </c>
      <c r="F1955" t="inlineStr">
        <is>
          <t>biosphere</t>
        </is>
      </c>
      <c r="I1955">
        <v>0</v>
      </c>
    </row>
    <row r="1956">
      <c r="A1956" t="inlineStr">
        <is>
          <t>Methyl ethyl ketone</t>
        </is>
      </c>
      <c r="B1956">
        <v>7.714340658770217e-10</v>
      </c>
      <c r="D1956" t="inlineStr">
        <is>
          <t>kilogram</t>
        </is>
      </c>
      <c r="E1956" t="inlineStr">
        <is>
          <t>air::non-urban air or from high stacks</t>
        </is>
      </c>
      <c r="F1956" t="inlineStr">
        <is>
          <t>biosphere</t>
        </is>
      </c>
      <c r="I1956">
        <v>0</v>
      </c>
    </row>
    <row r="1957">
      <c r="A1957" t="inlineStr">
        <is>
          <t>m-Xylene</t>
        </is>
      </c>
      <c r="B1957">
        <v>4.165743758822378e-08</v>
      </c>
      <c r="D1957" t="inlineStr">
        <is>
          <t>kilogram</t>
        </is>
      </c>
      <c r="E1957" t="inlineStr">
        <is>
          <t>air::non-urban air or from high stacks</t>
        </is>
      </c>
      <c r="F1957" t="inlineStr">
        <is>
          <t>biosphere</t>
        </is>
      </c>
      <c r="I1957">
        <v>0</v>
      </c>
    </row>
    <row r="1958">
      <c r="A1958" t="inlineStr">
        <is>
          <t>o-Xylene</t>
        </is>
      </c>
      <c r="B1958">
        <v>1.7742983843360735e-08</v>
      </c>
      <c r="D1958" t="inlineStr">
        <is>
          <t>kilogram</t>
        </is>
      </c>
      <c r="E1958" t="inlineStr">
        <is>
          <t>air::non-urban air or from high stacks</t>
        </is>
      </c>
      <c r="F1958" t="inlineStr">
        <is>
          <t>biosphere</t>
        </is>
      </c>
      <c r="I1958">
        <v>0</v>
      </c>
    </row>
    <row r="1959">
      <c r="A1959" t="inlineStr">
        <is>
          <t>Styrene</t>
        </is>
      </c>
      <c r="B1959">
        <v>7.714340002391748e-09</v>
      </c>
      <c r="D1959" t="inlineStr">
        <is>
          <t>kilogram</t>
        </is>
      </c>
      <c r="E1959" t="inlineStr">
        <is>
          <t>air::non-urban air or from high stacks</t>
        </is>
      </c>
      <c r="F1959" t="inlineStr">
        <is>
          <t>biosphere</t>
        </is>
      </c>
      <c r="I1959">
        <v>0</v>
      </c>
    </row>
    <row r="1960">
      <c r="A1960" t="inlineStr">
        <is>
          <t>Ethylene</t>
        </is>
      </c>
      <c r="B1960">
        <v>1.4094024811438196e-06</v>
      </c>
      <c r="D1960" t="inlineStr">
        <is>
          <t>kilogram</t>
        </is>
      </c>
      <c r="E1960" t="inlineStr">
        <is>
          <t>air::urban air close to ground</t>
        </is>
      </c>
      <c r="F1960" t="inlineStr">
        <is>
          <t>biosphere</t>
        </is>
      </c>
      <c r="I1960">
        <v>0</v>
      </c>
    </row>
    <row r="1961">
      <c r="A1961" t="inlineStr">
        <is>
          <t>Ethylene</t>
        </is>
      </c>
      <c r="B1961">
        <v>5.631468910634723e-08</v>
      </c>
      <c r="D1961" t="inlineStr">
        <is>
          <t>kilogram</t>
        </is>
      </c>
      <c r="E1961" t="inlineStr">
        <is>
          <t>air::non-urban air or from high stacks</t>
        </is>
      </c>
      <c r="F1961" t="inlineStr">
        <is>
          <t>biosphere</t>
        </is>
      </c>
      <c r="I1961">
        <v>0</v>
      </c>
    </row>
    <row r="1962">
      <c r="A1962" t="inlineStr">
        <is>
          <t>market for internal combustion engine, passenger car</t>
        </is>
      </c>
      <c r="B1962">
        <v>0.0004975535070430082</v>
      </c>
      <c r="C1962" t="inlineStr">
        <is>
          <t>GLO</t>
        </is>
      </c>
      <c r="D1962" t="inlineStr">
        <is>
          <t>kilogram</t>
        </is>
      </c>
      <c r="F1962" t="inlineStr">
        <is>
          <t>technosphere</t>
        </is>
      </c>
      <c r="G1962" t="inlineStr">
        <is>
          <t>internal combustion engine, passenger car</t>
        </is>
      </c>
      <c r="H1962" t="inlineStr">
        <is>
          <t> Energy-use allocation: 269.3057861328125 * 4.999999873689376e-06 / 2.7062996795066048 MJ per kilometer.</t>
        </is>
      </c>
      <c r="I1962">
        <v>0</v>
      </c>
    </row>
    <row r="1963">
      <c r="A1963" t="inlineStr">
        <is>
          <t>market for waste plastic, industrial electronics</t>
        </is>
      </c>
      <c r="B1963">
        <v>-8.978854216197933e-05</v>
      </c>
      <c r="C1963" t="inlineStr">
        <is>
          <t>CH</t>
        </is>
      </c>
      <c r="D1963" t="inlineStr">
        <is>
          <t>kilogram</t>
        </is>
      </c>
      <c r="F1963" t="inlineStr">
        <is>
          <t>technosphere</t>
        </is>
      </c>
      <c r="G1963" t="inlineStr">
        <is>
          <t>waste plastic, industrial electronics</t>
        </is>
      </c>
      <c r="H1963" t="inlineStr">
        <is>
          <t> Energy-use allocation: -48.59894180297852 * 4.999999873689376e-06 / 2.7062996795066048 MJ per kilometer.</t>
        </is>
      </c>
      <c r="I1963">
        <v>0</v>
      </c>
    </row>
    <row r="1964">
      <c r="A1964" t="inlineStr">
        <is>
          <t>polyethylene production, high density, granulate</t>
        </is>
      </c>
      <c r="B1964">
        <v>8.978854216197933e-05</v>
      </c>
      <c r="C1964" t="inlineStr">
        <is>
          <t>RER</t>
        </is>
      </c>
      <c r="D1964" t="inlineStr">
        <is>
          <t>kilogram</t>
        </is>
      </c>
      <c r="F1964" t="inlineStr">
        <is>
          <t>technosphere</t>
        </is>
      </c>
      <c r="G1964" t="inlineStr">
        <is>
          <t>polyethylene, high density, granulate</t>
        </is>
      </c>
      <c r="H1964" t="inlineStr">
        <is>
          <t> Energy-use allocation: 48.59894180297852 * 4.999999873689376e-06 / 2.7062996795066048 MJ per kilometer.</t>
        </is>
      </c>
      <c r="I1964">
        <v>0</v>
      </c>
    </row>
    <row r="1965">
      <c r="A1965" t="inlineStr">
        <is>
          <t>Carbon dioxide, fossil</t>
        </is>
      </c>
      <c r="B1965">
        <v>0.07370000000000002</v>
      </c>
      <c r="D1965" t="inlineStr">
        <is>
          <t>kilogram</t>
        </is>
      </c>
      <c r="E1965" t="inlineStr">
        <is>
          <t>air</t>
        </is>
      </c>
      <c r="F1965" t="inlineStr">
        <is>
          <t>biosphere</t>
        </is>
      </c>
      <c r="H1965" t="inlineStr">
        <is>
          <t>Reference fuel full-oxidation CO2; premise reclassifies fossil/biogenic emissions with its regional blend. Other carbon pollutants remain model defaults (not an elemental closure).</t>
        </is>
      </c>
      <c r="I1965">
        <v>0</v>
      </c>
    </row>
    <row r="1966"/>
    <row r="1967">
      <c r="A1967" t="inlineStr">
        <is>
          <t>Activity</t>
        </is>
      </c>
      <c r="B1967" t="inlineStr">
        <is>
          <t>compressed gas, burned in passenger car vehicle</t>
        </is>
      </c>
    </row>
    <row r="1968">
      <c r="A1968" t="inlineStr">
        <is>
          <t>location</t>
        </is>
      </c>
      <c r="B1968" t="inlineStr">
        <is>
          <t>CH</t>
        </is>
      </c>
    </row>
    <row r="1969">
      <c r="A1969" t="inlineStr">
        <is>
          <t>production amount</t>
        </is>
      </c>
      <c r="B1969">
        <v>1</v>
      </c>
    </row>
    <row r="1970">
      <c r="A1970" t="inlineStr">
        <is>
          <t>reference product</t>
        </is>
      </c>
      <c r="B1970" t="inlineStr">
        <is>
          <t>heat</t>
        </is>
      </c>
    </row>
    <row r="1971">
      <c r="A1971" t="inlineStr">
        <is>
          <t>comment</t>
        </is>
      </c>
      <c r="B1971"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1972">
      <c r="A1972" t="inlineStr">
        <is>
          <t>type</t>
        </is>
      </c>
      <c r="B1972" t="inlineStr">
        <is>
          <t>process</t>
        </is>
      </c>
    </row>
    <row r="1973">
      <c r="A1973" t="inlineStr">
        <is>
          <t>unit</t>
        </is>
      </c>
      <c r="B1973" t="inlineStr">
        <is>
          <t>megajoule</t>
        </is>
      </c>
    </row>
    <row r="1974">
      <c r="A1974" t="inlineStr">
        <is>
          <t>energy use source</t>
        </is>
      </c>
      <c r="B1974"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 "vehicle per source service": 4.999999873689376e-06}], "alternative fuel recipe retained": false}</t>
        </is>
      </c>
    </row>
    <row r="1975">
      <c r="A1975" t="inlineStr">
        <is>
          <t>Exchanges</t>
        </is>
      </c>
    </row>
    <row r="1976">
      <c r="A1976" t="inlineStr">
        <is>
          <t>name</t>
        </is>
      </c>
      <c r="B1976" t="inlineStr">
        <is>
          <t>amount</t>
        </is>
      </c>
      <c r="C1976" t="inlineStr">
        <is>
          <t>location</t>
        </is>
      </c>
      <c r="D1976" t="inlineStr">
        <is>
          <t>unit</t>
        </is>
      </c>
      <c r="E1976" t="inlineStr">
        <is>
          <t>categories</t>
        </is>
      </c>
      <c r="F1976" t="inlineStr">
        <is>
          <t>type</t>
        </is>
      </c>
      <c r="G1976" t="inlineStr">
        <is>
          <t>reference product</t>
        </is>
      </c>
      <c r="H1976" t="inlineStr">
        <is>
          <t>comment</t>
        </is>
      </c>
      <c r="I1976" t="inlineStr">
        <is>
          <t>uncertainty type</t>
        </is>
      </c>
    </row>
    <row r="1977">
      <c r="A1977" t="inlineStr">
        <is>
          <t>compressed gas, burned in passenger car vehicle</t>
        </is>
      </c>
      <c r="B1977">
        <v>1.0</v>
      </c>
      <c r="C1977" t="inlineStr">
        <is>
          <t>CH</t>
        </is>
      </c>
      <c r="D1977" t="inlineStr">
        <is>
          <t>megajoule</t>
        </is>
      </c>
      <c r="F1977" t="inlineStr">
        <is>
          <t>production</t>
        </is>
      </c>
      <c r="G1977" t="inlineStr">
        <is>
          <t>heat</t>
        </is>
      </c>
      <c r="I1977">
        <v>0</v>
      </c>
    </row>
    <row r="1978">
      <c r="A1978" t="inlineStr">
        <is>
          <t>market for natural gas, medium pressure, vehicle grade</t>
        </is>
      </c>
      <c r="B1978">
        <v>0.02150537634408602</v>
      </c>
      <c r="C1978" t="inlineStr">
        <is>
          <t>GLO</t>
        </is>
      </c>
      <c r="D1978" t="inlineStr">
        <is>
          <t>kilogram</t>
        </is>
      </c>
      <c r="F1978" t="inlineStr">
        <is>
          <t>technosphere</t>
        </is>
      </c>
      <c r="G1978" t="inlineStr">
        <is>
          <t>natural gas, medium pressure, vehicle grade</t>
        </is>
      </c>
      <c r="H1978" t="inlineStr">
        <is>
          <t>Default carculator fuel energy preserved (2.16163290851 MJ/vkm); premise reference LHV 46.5 MJ/kg. Regional scenario blend belongs to premise.</t>
        </is>
      </c>
      <c r="I1978">
        <v>0</v>
      </c>
    </row>
    <row r="1979">
      <c r="A1979" t="inlineStr">
        <is>
          <t>treatment of brake wear emissions, passenger car</t>
        </is>
      </c>
      <c r="B1979">
        <v>-6.778061331794415e-06</v>
      </c>
      <c r="C1979" t="inlineStr">
        <is>
          <t>RER</t>
        </is>
      </c>
      <c r="D1979" t="inlineStr">
        <is>
          <t>kilogram</t>
        </is>
      </c>
      <c r="F1979" t="inlineStr">
        <is>
          <t>technosphere</t>
        </is>
      </c>
      <c r="G1979" t="inlineStr">
        <is>
          <t>brake wear emissions, passenger car</t>
        </is>
      </c>
      <c r="I1979">
        <v>0</v>
      </c>
    </row>
    <row r="1980">
      <c r="A1980" t="inlineStr">
        <is>
          <t>treatment of road wear emissions, passenger car</t>
        </is>
      </c>
      <c r="B1980">
        <v>-7.779768914966537e-06</v>
      </c>
      <c r="C1980" t="inlineStr">
        <is>
          <t>RER</t>
        </is>
      </c>
      <c r="D1980" t="inlineStr">
        <is>
          <t>kilogram</t>
        </is>
      </c>
      <c r="F1980" t="inlineStr">
        <is>
          <t>technosphere</t>
        </is>
      </c>
      <c r="G1980" t="inlineStr">
        <is>
          <t>road wear emissions, passenger car</t>
        </is>
      </c>
      <c r="I1980">
        <v>0</v>
      </c>
    </row>
    <row r="1981">
      <c r="A1981" t="inlineStr">
        <is>
          <t>treatment of tyre wear emissions, passenger car</t>
        </is>
      </c>
      <c r="B1981">
        <v>-9.017947831786646e-06</v>
      </c>
      <c r="C1981" t="inlineStr">
        <is>
          <t>RER</t>
        </is>
      </c>
      <c r="D1981" t="inlineStr">
        <is>
          <t>kilogram</t>
        </is>
      </c>
      <c r="F1981" t="inlineStr">
        <is>
          <t>technosphere</t>
        </is>
      </c>
      <c r="G1981" t="inlineStr">
        <is>
          <t>tyre wear emissions, passenger car</t>
        </is>
      </c>
      <c r="I1981">
        <v>0</v>
      </c>
    </row>
    <row r="1982">
      <c r="A1982" t="inlineStr">
        <is>
          <t>market for tetrafluoroethane, R134a</t>
        </is>
      </c>
      <c r="B1982">
        <v>3.0069860156014323e-06</v>
      </c>
      <c r="C1982" t="inlineStr">
        <is>
          <t>GLO</t>
        </is>
      </c>
      <c r="D1982" t="inlineStr">
        <is>
          <t>kilogram</t>
        </is>
      </c>
      <c r="F1982" t="inlineStr">
        <is>
          <t>technosphere</t>
        </is>
      </c>
      <c r="G1982" t="inlineStr">
        <is>
          <t>tetrafluoroethane, R134a</t>
        </is>
      </c>
      <c r="I1982">
        <v>0</v>
      </c>
    </row>
    <row r="1983">
      <c r="A1983" t="inlineStr">
        <is>
          <t>NMVOC, non-methane volatile organic compounds</t>
        </is>
      </c>
      <c r="B1983">
        <v>3.716326596666934e-06</v>
      </c>
      <c r="D1983" t="inlineStr">
        <is>
          <t>kilogram</t>
        </is>
      </c>
      <c r="E1983" t="inlineStr">
        <is>
          <t>air::non-urban air or from high stacks</t>
        </is>
      </c>
      <c r="F1983" t="inlineStr">
        <is>
          <t>biosphere</t>
        </is>
      </c>
      <c r="I1983">
        <v>0</v>
      </c>
    </row>
    <row r="1984">
      <c r="A1984" t="inlineStr">
        <is>
          <t>Nitrogen oxides</t>
        </is>
      </c>
      <c r="B1984">
        <v>3.973486347763085e-06</v>
      </c>
      <c r="D1984" t="inlineStr">
        <is>
          <t>kilogram</t>
        </is>
      </c>
      <c r="E1984" t="inlineStr">
        <is>
          <t>air::non-urban air or from high stacks</t>
        </is>
      </c>
      <c r="F1984" t="inlineStr">
        <is>
          <t>biosphere</t>
        </is>
      </c>
      <c r="I1984">
        <v>0</v>
      </c>
    </row>
    <row r="1985">
      <c r="A1985" t="inlineStr">
        <is>
          <t>Benzene</t>
        </is>
      </c>
      <c r="B1985">
        <v>2.997037832439638e-08</v>
      </c>
      <c r="D1985" t="inlineStr">
        <is>
          <t>kilogram</t>
        </is>
      </c>
      <c r="E1985" t="inlineStr">
        <is>
          <t>air::non-urban air or from high stacks</t>
        </is>
      </c>
      <c r="F1985" t="inlineStr">
        <is>
          <t>biosphere</t>
        </is>
      </c>
      <c r="I1985">
        <v>0</v>
      </c>
    </row>
    <row r="1986">
      <c r="A1986" t="inlineStr">
        <is>
          <t>Methane, fossil</t>
        </is>
      </c>
      <c r="B1986">
        <v>1.3562634312581863e-06</v>
      </c>
      <c r="D1986" t="inlineStr">
        <is>
          <t>kilogram</t>
        </is>
      </c>
      <c r="E1986" t="inlineStr">
        <is>
          <t>air::urban air close to ground</t>
        </is>
      </c>
      <c r="F1986" t="inlineStr">
        <is>
          <t>biosphere</t>
        </is>
      </c>
      <c r="I1986">
        <v>0</v>
      </c>
    </row>
    <row r="1987">
      <c r="A1987" t="inlineStr">
        <is>
          <t>NMVOC, non-methane volatile organic compounds</t>
        </is>
      </c>
      <c r="B1987">
        <v>3.6528790310344626e-05</v>
      </c>
      <c r="D1987" t="inlineStr">
        <is>
          <t>kilogram</t>
        </is>
      </c>
      <c r="E1987" t="inlineStr">
        <is>
          <t>air::urban air close to ground</t>
        </is>
      </c>
      <c r="F1987" t="inlineStr">
        <is>
          <t>biosphere</t>
        </is>
      </c>
      <c r="I1987">
        <v>0</v>
      </c>
    </row>
    <row r="1988">
      <c r="A1988" t="inlineStr">
        <is>
          <t>Nitrogen oxides</t>
        </is>
      </c>
      <c r="B1988">
        <v>1.0599559274731076e-05</v>
      </c>
      <c r="D1988" t="inlineStr">
        <is>
          <t>kilogram</t>
        </is>
      </c>
      <c r="E1988" t="inlineStr">
        <is>
          <t>air::urban air close to ground</t>
        </is>
      </c>
      <c r="F1988" t="inlineStr">
        <is>
          <t>biosphere</t>
        </is>
      </c>
      <c r="I1988">
        <v>0</v>
      </c>
    </row>
    <row r="1989">
      <c r="A1989" t="inlineStr">
        <is>
          <t>Carbon monoxide, fossil</t>
        </is>
      </c>
      <c r="B1989">
        <v>0.0001491440623544035</v>
      </c>
      <c r="D1989" t="inlineStr">
        <is>
          <t>kilogram</t>
        </is>
      </c>
      <c r="E1989" t="inlineStr">
        <is>
          <t>air::urban air close to ground</t>
        </is>
      </c>
      <c r="F1989" t="inlineStr">
        <is>
          <t>biosphere</t>
        </is>
      </c>
      <c r="I1989">
        <v>0</v>
      </c>
    </row>
    <row r="1990">
      <c r="A1990" t="inlineStr">
        <is>
          <t>1,1,1,2-Tetrafluoroethane</t>
        </is>
      </c>
      <c r="B1990">
        <v>1.7347996001117329e-06</v>
      </c>
      <c r="D1990" t="inlineStr">
        <is>
          <t>kilogram</t>
        </is>
      </c>
      <c r="E1990" t="inlineStr">
        <is>
          <t>air</t>
        </is>
      </c>
      <c r="F1990" t="inlineStr">
        <is>
          <t>biosphere</t>
        </is>
      </c>
      <c r="I1990">
        <v>0</v>
      </c>
    </row>
    <row r="1991">
      <c r="A1991" t="inlineStr">
        <is>
          <t>Benzene</t>
        </is>
      </c>
      <c r="B1991">
        <v>1.7940791045168867e-06</v>
      </c>
      <c r="D1991" t="inlineStr">
        <is>
          <t>kilogram</t>
        </is>
      </c>
      <c r="E1991" t="inlineStr">
        <is>
          <t>air::urban air close to ground</t>
        </is>
      </c>
      <c r="F1991" t="inlineStr">
        <is>
          <t>biosphere</t>
        </is>
      </c>
      <c r="I1991">
        <v>0</v>
      </c>
    </row>
    <row r="1992">
      <c r="A1992" t="inlineStr">
        <is>
          <t>fuel tank assembly, compressed natural gas, 200 bar, carculator passenger car 2020</t>
        </is>
      </c>
      <c r="B1992">
        <v>0.00017353583134432305</v>
      </c>
      <c r="C1992" t="inlineStr">
        <is>
          <t>RER</t>
        </is>
      </c>
      <c r="D1992" t="inlineStr">
        <is>
          <t>kilogram</t>
        </is>
      </c>
      <c r="F1992" t="inlineStr">
        <is>
          <t>technosphere</t>
        </is>
      </c>
      <c r="G1992" t="inlineStr">
        <is>
          <t>fuel tank, compressed natural gas, 200 bar</t>
        </is>
      </c>
      <c r="H1992" t="inlineStr">
        <is>
          <t> Energy-use allocation: 75.02415466308594 * 4.999999873689376e-06 / 2.1616329085074186 MJ per kilometer.</t>
        </is>
      </c>
      <c r="I1992">
        <v>0</v>
      </c>
    </row>
    <row r="1993">
      <c r="A1993" t="inlineStr">
        <is>
          <t>market for internal combustion engine, passenger car</t>
        </is>
      </c>
      <c r="B1993">
        <v>0.0006204787197014541</v>
      </c>
      <c r="C1993" t="inlineStr">
        <is>
          <t>GLO</t>
        </is>
      </c>
      <c r="D1993" t="inlineStr">
        <is>
          <t>kilogram</t>
        </is>
      </c>
      <c r="F1993" t="inlineStr">
        <is>
          <t>technosphere</t>
        </is>
      </c>
      <c r="G1993" t="inlineStr">
        <is>
          <t>internal combustion engine, passenger car</t>
        </is>
      </c>
      <c r="H1993" t="inlineStr">
        <is>
          <t> Energy-use allocation: 268.2494506835938 * 4.999999873689376e-06 / 2.1616329085074186 MJ per kilometer.</t>
        </is>
      </c>
      <c r="I1993">
        <v>0</v>
      </c>
    </row>
    <row r="1994">
      <c r="A1994" t="inlineStr">
        <is>
          <t>market for waste plastic, industrial electronics</t>
        </is>
      </c>
      <c r="B1994">
        <v>-0.00017353583134432305</v>
      </c>
      <c r="C1994" t="inlineStr">
        <is>
          <t>CH</t>
        </is>
      </c>
      <c r="D1994" t="inlineStr">
        <is>
          <t>kilogram</t>
        </is>
      </c>
      <c r="F1994" t="inlineStr">
        <is>
          <t>technosphere</t>
        </is>
      </c>
      <c r="G1994" t="inlineStr">
        <is>
          <t>waste plastic, industrial electronics</t>
        </is>
      </c>
      <c r="H1994" t="inlineStr">
        <is>
          <t> Energy-use allocation: -75.02415466308594 * 4.999999873689376e-06 / 2.1616329085074186 MJ per kilometer.</t>
        </is>
      </c>
      <c r="I1994">
        <v>0</v>
      </c>
    </row>
    <row r="1995">
      <c r="A1995" t="inlineStr">
        <is>
          <t>Carbon dioxide, fossil</t>
        </is>
      </c>
      <c r="B1995">
        <v>0.05999999999999999</v>
      </c>
      <c r="D1995" t="inlineStr">
        <is>
          <t>kilogram</t>
        </is>
      </c>
      <c r="E1995" t="inlineStr">
        <is>
          <t>air</t>
        </is>
      </c>
      <c r="F1995" t="inlineStr">
        <is>
          <t>biosphere</t>
        </is>
      </c>
      <c r="H1995" t="inlineStr">
        <is>
          <t>Reference fuel full-oxidation CO2; premise reclassifies fossil/biogenic emissions with its regional blend. Other carbon pollutants remain model defaults (not an elemental closure).</t>
        </is>
      </c>
      <c r="I1995">
        <v>0</v>
      </c>
    </row>
    <row r="1996"/>
    <row r="1997">
      <c r="A1997" t="inlineStr">
        <is>
          <t>Activity</t>
        </is>
      </c>
      <c r="B1997" t="inlineStr">
        <is>
          <t>electricity, used in passenger car vehicle</t>
        </is>
      </c>
    </row>
    <row r="1998">
      <c r="A1998" t="inlineStr">
        <is>
          <t>location</t>
        </is>
      </c>
      <c r="B1998" t="inlineStr">
        <is>
          <t>CH</t>
        </is>
      </c>
    </row>
    <row r="1999">
      <c r="A1999" t="inlineStr">
        <is>
          <t>comment</t>
        </is>
      </c>
      <c r="B1999" t="inlineStr">
        <is>
          <t>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t>
        </is>
      </c>
    </row>
    <row r="2000">
      <c r="A2000" t="inlineStr">
        <is>
          <t>production amount</t>
        </is>
      </c>
      <c r="B2000">
        <v>1</v>
      </c>
    </row>
    <row r="2001">
      <c r="A2001" t="inlineStr">
        <is>
          <t>reference product</t>
        </is>
      </c>
      <c r="B2001" t="inlineStr">
        <is>
          <t>electricity, low voltage</t>
        </is>
      </c>
    </row>
    <row r="2002">
      <c r="A2002" t="inlineStr">
        <is>
          <t>type</t>
        </is>
      </c>
      <c r="B2002" t="inlineStr">
        <is>
          <t>process</t>
        </is>
      </c>
    </row>
    <row r="2003">
      <c r="A2003" t="inlineStr">
        <is>
          <t>unit</t>
        </is>
      </c>
      <c r="B2003" t="inlineStr">
        <is>
          <t>megajoule</t>
        </is>
      </c>
    </row>
    <row r="2004">
      <c r="A2004" t="inlineStr">
        <is>
          <t>energy use source</t>
        </is>
      </c>
      <c r="B2004"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["market for charger, electric passenger car", "charger, electric passenger car", "GLO", "kilogram"], "amount per vehicle": 5.960869789123535, "vehicle per source service": 4.999999873689376e-06, "replacement correction factor": 1.0, "amount per MJ": 4.701004714750376e-05}, {"supplier": ["market for converter, for electric passenger car", "converter, for electric passenger car", "GLO", "kilogram"], "amount per vehicle": 4.470652103424072, "vehicle per source service": 4.999999873689376e-06, "replacement correction factor": 1.0, "amount per MJ": 3.525753348035379e-05}, {"supplier": ["market for electric motor, electric passenger car", "electric motor, electric passenger car", "GLO", "kilogram"], "amount per vehicle": 89.91343688964844, "vehicle per source service": 4.999999873689376e-06, "replacement correction factor": 1.0, "amount per MJ": 0.0007090970037776945}, {"supplier": ["market for internal combustion engine, passenger car", "internal combustion engine, passenger car", "GLO", "kilogram"], "amount per vehicle": 89.87989807128906,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0.000708832501869731},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carculator passenger car 2020", "glider lightweighting", "GLO", "kilogram"], "amount per vehicle": 189, "vehicle per source service": 4.999999873689376e-06}, {"supplier": ["market for glider, passenger car", "glider, passenger car", "GLO", "kilogram"], "amount per vehicle": 1350, "vehicle per source service": 4.999999873689376e-06}], "alternative fuel recipe retained": false}</t>
        </is>
      </c>
    </row>
    <row r="2005">
      <c r="A2005" t="inlineStr">
        <is>
          <t>Exchanges</t>
        </is>
      </c>
    </row>
    <row r="2006">
      <c r="A2006" t="inlineStr">
        <is>
          <t>name</t>
        </is>
      </c>
      <c r="B2006" t="inlineStr">
        <is>
          <t>amount</t>
        </is>
      </c>
      <c r="C2006" t="inlineStr">
        <is>
          <t>location</t>
        </is>
      </c>
      <c r="D2006" t="inlineStr">
        <is>
          <t>unit</t>
        </is>
      </c>
      <c r="E2006" t="inlineStr">
        <is>
          <t>categories</t>
        </is>
      </c>
      <c r="F2006" t="inlineStr">
        <is>
          <t>type</t>
        </is>
      </c>
      <c r="G2006" t="inlineStr">
        <is>
          <t>reference product</t>
        </is>
      </c>
      <c r="H2006" t="inlineStr">
        <is>
          <t>comment</t>
        </is>
      </c>
      <c r="I2006" t="inlineStr">
        <is>
          <t>uncertainty type</t>
        </is>
      </c>
    </row>
    <row r="2007">
      <c r="A2007" t="inlineStr">
        <is>
          <t>electricity, used in passenger car vehicle</t>
        </is>
      </c>
      <c r="B2007">
        <v>1.0</v>
      </c>
      <c r="C2007" t="inlineStr">
        <is>
          <t>CH</t>
        </is>
      </c>
      <c r="D2007" t="inlineStr">
        <is>
          <t>megajoule</t>
        </is>
      </c>
      <c r="F2007" t="inlineStr">
        <is>
          <t>production</t>
        </is>
      </c>
      <c r="G2007" t="inlineStr">
        <is>
          <t>electricity, low voltage</t>
        </is>
      </c>
      <c r="I2007">
        <v>0</v>
      </c>
    </row>
    <row r="2008">
      <c r="A2008" t="inlineStr">
        <is>
          <t>market group for electricity, low voltage</t>
        </is>
      </c>
      <c r="B2008">
        <v>0.2777777777777778</v>
      </c>
      <c r="C2008" t="inlineStr">
        <is>
          <t>RER</t>
        </is>
      </c>
      <c r="D2008" t="inlineStr">
        <is>
          <t>kilowatt hour</t>
        </is>
      </c>
      <c r="F2008" t="inlineStr">
        <is>
          <t>technosphere</t>
        </is>
      </c>
      <c r="G2008" t="inlineStr">
        <is>
          <t>electricity, low voltage</t>
        </is>
      </c>
      <c r="H2008" t="inlineStr">
        <is>
          <t>Grid purchase including default charging losses; premise regional electricity supply.</t>
        </is>
      </c>
      <c r="I2008">
        <v>0</v>
      </c>
    </row>
    <row r="2009">
      <c r="A2009" t="inlineStr">
        <is>
          <t>treatment of brake wear emissions, passenger car</t>
        </is>
      </c>
      <c r="B2009">
        <v>-1.2917585606368163e-05</v>
      </c>
      <c r="C2009" t="inlineStr">
        <is>
          <t>RER</t>
        </is>
      </c>
      <c r="D2009" t="inlineStr">
        <is>
          <t>kilogram</t>
        </is>
      </c>
      <c r="F2009" t="inlineStr">
        <is>
          <t>technosphere</t>
        </is>
      </c>
      <c r="G2009" t="inlineStr">
        <is>
          <t>brake wear emissions, passenger car</t>
        </is>
      </c>
      <c r="I2009">
        <v>0</v>
      </c>
    </row>
    <row r="2010">
      <c r="A2010" t="inlineStr">
        <is>
          <t>treatment of road wear emissions, passenger car</t>
        </is>
      </c>
      <c r="B2010">
        <v>-2.8763892607167598e-05</v>
      </c>
      <c r="C2010" t="inlineStr">
        <is>
          <t>RER</t>
        </is>
      </c>
      <c r="D2010" t="inlineStr">
        <is>
          <t>kilogram</t>
        </is>
      </c>
      <c r="F2010" t="inlineStr">
        <is>
          <t>technosphere</t>
        </is>
      </c>
      <c r="G2010" t="inlineStr">
        <is>
          <t>road wear emissions, passenger car</t>
        </is>
      </c>
      <c r="I2010">
        <v>0</v>
      </c>
    </row>
    <row r="2011">
      <c r="A2011" t="inlineStr">
        <is>
          <t>treatment of tyre wear emissions, passenger car</t>
        </is>
      </c>
      <c r="B2011">
        <v>-3.2713899830380004e-05</v>
      </c>
      <c r="C2011" t="inlineStr">
        <is>
          <t>RER</t>
        </is>
      </c>
      <c r="D2011" t="inlineStr">
        <is>
          <t>kilogram</t>
        </is>
      </c>
      <c r="F2011" t="inlineStr">
        <is>
          <t>technosphere</t>
        </is>
      </c>
      <c r="G2011" t="inlineStr">
        <is>
          <t>tyre wear emissions, passenger car</t>
        </is>
      </c>
      <c r="I2011">
        <v>0</v>
      </c>
    </row>
    <row r="2012">
      <c r="A2012" t="inlineStr">
        <is>
          <t>market for tetrafluoroethane, R134a</t>
        </is>
      </c>
      <c r="B2012">
        <v>1.0252373279210404e-05</v>
      </c>
      <c r="C2012" t="inlineStr">
        <is>
          <t>GLO</t>
        </is>
      </c>
      <c r="D2012" t="inlineStr">
        <is>
          <t>kilogram</t>
        </is>
      </c>
      <c r="F2012" t="inlineStr">
        <is>
          <t>technosphere</t>
        </is>
      </c>
      <c r="G2012" t="inlineStr">
        <is>
          <t>tetrafluoroethane, R134a</t>
        </is>
      </c>
      <c r="I2012">
        <v>0</v>
      </c>
    </row>
    <row r="2013">
      <c r="A2013" t="inlineStr">
        <is>
          <t>1,1,1,2-Tetrafluoroethane</t>
        </is>
      </c>
      <c r="B2013">
        <v>5.914830655244352e-06</v>
      </c>
      <c r="D2013" t="inlineStr">
        <is>
          <t>kilogram</t>
        </is>
      </c>
      <c r="E2013" t="inlineStr">
        <is>
          <t>air</t>
        </is>
      </c>
      <c r="F2013" t="inlineStr">
        <is>
          <t>biosphere</t>
        </is>
      </c>
      <c r="I2013">
        <v>0</v>
      </c>
    </row>
    <row r="2014">
      <c r="A2014" t="inlineStr">
        <is>
          <t>market for charger, electric passenger car</t>
        </is>
      </c>
      <c r="B2014">
        <v>4.701004714750376e-05</v>
      </c>
      <c r="C2014" t="inlineStr">
        <is>
          <t>GLO</t>
        </is>
      </c>
      <c r="D2014" t="inlineStr">
        <is>
          <t>kilogram</t>
        </is>
      </c>
      <c r="F2014" t="inlineStr">
        <is>
          <t>technosphere</t>
        </is>
      </c>
      <c r="G2014" t="inlineStr">
        <is>
          <t>charger, electric passenger car</t>
        </is>
      </c>
      <c r="H2014" t="inlineStr">
        <is>
          <t> Energy-use allocation: 5.960869789123535 * 4.999999873689376e-06 / 0.6339995384216309 MJ per kilometer.</t>
        </is>
      </c>
      <c r="I2014">
        <v>0</v>
      </c>
    </row>
    <row r="2015">
      <c r="A2015" t="inlineStr">
        <is>
          <t>market for converter, for electric passenger car</t>
        </is>
      </c>
      <c r="B2015">
        <v>3.525753348035379e-05</v>
      </c>
      <c r="C2015" t="inlineStr">
        <is>
          <t>GLO</t>
        </is>
      </c>
      <c r="D2015" t="inlineStr">
        <is>
          <t>kilogram</t>
        </is>
      </c>
      <c r="F2015" t="inlineStr">
        <is>
          <t>technosphere</t>
        </is>
      </c>
      <c r="G2015" t="inlineStr">
        <is>
          <t>converter, for electric passenger car</t>
        </is>
      </c>
      <c r="H2015" t="inlineStr">
        <is>
          <t> Energy-use allocation: 4.470652103424072 * 4.999999873689376e-06 / 0.6339995384216309 MJ per kilometer.</t>
        </is>
      </c>
      <c r="I2015">
        <v>0</v>
      </c>
    </row>
    <row r="2016">
      <c r="A2016" t="inlineStr">
        <is>
          <t>market for electric motor, electric passenger car</t>
        </is>
      </c>
      <c r="B2016">
        <v>0.0007090970037776945</v>
      </c>
      <c r="C2016" t="inlineStr">
        <is>
          <t>GLO</t>
        </is>
      </c>
      <c r="D2016" t="inlineStr">
        <is>
          <t>kilogram</t>
        </is>
      </c>
      <c r="F2016" t="inlineStr">
        <is>
          <t>technosphere</t>
        </is>
      </c>
      <c r="G2016" t="inlineStr">
        <is>
          <t>electric motor, electric passenger car</t>
        </is>
      </c>
      <c r="H2016" t="inlineStr">
        <is>
          <t> Energy-use allocation: 89.91343688964844 * 4.999999873689376e-06 / 0.6339995384216309 MJ per kilometer.</t>
        </is>
      </c>
      <c r="I2016">
        <v>0</v>
      </c>
    </row>
    <row r="2017">
      <c r="A2017" t="inlineStr">
        <is>
          <t>market for internal combustion engine, passenger car</t>
        </is>
      </c>
      <c r="B2017">
        <v>0.000708832501869731</v>
      </c>
      <c r="C2017" t="inlineStr">
        <is>
          <t>GLO</t>
        </is>
      </c>
      <c r="D2017" t="inlineStr">
        <is>
          <t>kilogram</t>
        </is>
      </c>
      <c r="F2017" t="inlineStr">
        <is>
          <t>technosphere</t>
        </is>
      </c>
      <c r="G2017" t="inlineStr">
        <is>
          <t>internal combustion engine, passenger car</t>
        </is>
      </c>
      <c r="H2017" t="inlineStr">
        <is>
          <t> Energy-use allocation: 89.87989807128906 * 4.999999873689376e-06 / 0.6339995384216309 MJ per kilometer.</t>
        </is>
      </c>
      <c r="I2017">
        <v>0</v>
      </c>
    </row>
    <row r="2018">
      <c r="A2018" t="inlineStr">
        <is>
          <t>market for inverter, for electric passenger car</t>
        </is>
      </c>
      <c r="B2018">
        <v>7.051506696070758e-05</v>
      </c>
      <c r="C2018" t="inlineStr">
        <is>
          <t>GLO</t>
        </is>
      </c>
      <c r="D2018" t="inlineStr">
        <is>
          <t>kilogram</t>
        </is>
      </c>
      <c r="F2018" t="inlineStr">
        <is>
          <t>technosphere</t>
        </is>
      </c>
      <c r="G2018" t="inlineStr">
        <is>
          <t>inverter, for electric passenger car</t>
        </is>
      </c>
      <c r="H2018" t="inlineStr">
        <is>
          <t> Energy-use allocation: 8.941304206848145 * 4.999999873689376e-06 / 0.6339995384216309 MJ per kilometer.</t>
        </is>
      </c>
      <c r="I2018">
        <v>0</v>
      </c>
    </row>
    <row r="2019">
      <c r="A2019" t="inlineStr">
        <is>
          <t>market for power distribution unit, for electric passenger car</t>
        </is>
      </c>
      <c r="B2019">
        <v>3.134002955139514e-05</v>
      </c>
      <c r="C2019" t="inlineStr">
        <is>
          <t>GLO</t>
        </is>
      </c>
      <c r="D2019" t="inlineStr">
        <is>
          <t>kilogram</t>
        </is>
      </c>
      <c r="F2019" t="inlineStr">
        <is>
          <t>technosphere</t>
        </is>
      </c>
      <c r="G2019" t="inlineStr">
        <is>
          <t>power distribution unit, for electric passenger car</t>
        </is>
      </c>
      <c r="H2019" t="inlineStr">
        <is>
          <t> Energy-use allocation: 3.973912954330444 * 4.999999873689376e-06 / 0.6339995384216309 MJ per kilometer.</t>
        </is>
      </c>
      <c r="I2019">
        <v>0</v>
      </c>
    </row>
    <row r="2020">
      <c r="A2020" t="inlineStr">
        <is>
          <t>market for used powertrain from electric passenger car, manual dismantling</t>
        </is>
      </c>
      <c r="B2020">
        <v>-0.0008932196940795731</v>
      </c>
      <c r="C2020" t="inlineStr">
        <is>
          <t>GLO</t>
        </is>
      </c>
      <c r="D2020" t="inlineStr">
        <is>
          <t>kilogram</t>
        </is>
      </c>
      <c r="F2020" t="inlineStr">
        <is>
          <t>technosphere</t>
        </is>
      </c>
      <c r="G2020" t="inlineStr">
        <is>
          <t>used powertrain from electric passenger car, manual dismantling</t>
        </is>
      </c>
      <c r="H2020" t="inlineStr">
        <is>
          <t> Energy-use allocation: -113.2601776123047 * 4.999999873689376e-06 / 0.6339995384216309 MJ per kilometer.</t>
        </is>
      </c>
      <c r="I2020">
        <v>0</v>
      </c>
    </row>
    <row r="2021">
      <c r="A2021" t="inlineStr">
        <is>
          <t>market for battery capacity (MIX scenario)</t>
        </is>
      </c>
      <c r="B2021">
        <v>0.0005299688026423864</v>
      </c>
      <c r="C2021" t="inlineStr">
        <is>
          <t>GLO</t>
        </is>
      </c>
      <c r="D2021" t="inlineStr">
        <is>
          <t>kilowatt hour</t>
        </is>
      </c>
      <c r="F2021" t="inlineStr">
        <is>
          <t>technosphere</t>
        </is>
      </c>
      <c r="G2021" t="inlineStr">
        <is>
          <t>electricity storage capacity</t>
        </is>
      </c>
      <c r="H2021" t="inlineStr">
        <is>
          <t>67.1999969482 kWh nominal * (1 + 0 lifetime replacements). Capacity market includes battery manufacture AND end of life; original kg pack and disposal removed. Energy-use allocation: 67.19999694824219 * 4.999999873689376e-06 / 0.6339995384216309 MJ per kilometer.</t>
        </is>
      </c>
      <c r="I2021">
        <v>0</v>
      </c>
    </row>
    <row r="2022"/>
    <row r="2023" spans="1:12" ht="16" ns3:dyDescent="0.2">
      <c r="A2023" s="1" t="s">
        <v>0</v>
      </c>
      <c r="B2023" s="60" t="s">
        <v>431</v>
      </c>
    </row>
    <row r="2024" spans="1:12" ns3:dyDescent="0.2">
      <c r="A2024" t="s">
        <v>1</v>
      </c>
      <c r="B2024" t="s">
        <v>24</v>
      </c>
    </row>
    <row r="2025" spans="1:12" ns3:dyDescent="0.2">
      <c r="A2025" t="s">
        <v>3</v>
      </c>
      <c r="B2025" t="str">
        <f>B2023</f>
        <v>charging station, 3kW</v>
      </c>
    </row>
    <row r="2026" spans="1:12" ns3:dyDescent="0.2">
      <c r="A2026" t="s">
        <v>4</v>
      </c>
      <c r="B2026" t="s">
        <v>5</v>
      </c>
    </row>
    <row r="2027" spans="1:12" ns3:dyDescent="0.2">
      <c r="A2027" t="s">
        <v>6</v>
      </c>
      <c r="B2027" t="s">
        <v>6</v>
      </c>
    </row>
    <row r="2028" spans="1:12" ns3:dyDescent="0.2">
      <c r="A2028" t="s">
        <v>8</v>
      </c>
      <c r="B2028" t="s">
        <v>429</v>
      </c>
    </row>
    <row r="2029" spans="1:12" ns3:dyDescent="0.2">
      <c r="A2029" t="s">
        <v>9</v>
      </c>
      <c r="B2029" t="s">
        <v>459</v>
      </c>
    </row>
    <row r="2030" spans="1:12" ht="16" ns3:dyDescent="0.2">
      <c r="A2030" s="1" t="s">
        <v>10</v>
      </c>
      <c r="B2030"/>
    </row>
    <row r="2031" spans="1:12" ns3:dyDescent="0.2">
      <c r="A2031" t="s">
        <v>11</v>
      </c>
      <c r="B2031" t="s">
        <v>12</v>
      </c>
      <c r="C2031" t="s">
        <v>1</v>
      </c>
      <c r="D2031" t="s">
        <v>6</v>
      </c>
      <c r="E2031" t="s">
        <v>13</v>
      </c>
      <c r="F2031" t="s">
        <v>4</v>
      </c>
      <c r="G2031" t="s">
        <v>9</v>
      </c>
      <c r="H2031" t="s">
        <v>3</v>
      </c>
    </row>
    <row r="2032" spans="1:12" ns3:dyDescent="0.2">
      <c r="A2032" t="str">
        <f>B2023</f>
        <v>charging station, 3kW</v>
      </c>
      <c r="B2032">
        <v>1</v>
      </c>
      <c r="C2032" t="str">
        <f>B2024</f>
        <v>GLO</v>
      </c>
      <c r="D2032" t="str">
        <f>B2027</f>
        <v>unit</v>
      </c>
      <c r="F2032" t="s">
        <v>15</v>
      </c>
      <c r="G2032" t="s">
        <v>16</v>
      </c>
      <c r="H2032" t="str">
        <f>B2025</f>
        <v>charging station, 3kW</v>
      </c>
    </row>
    <row r="2033" spans="1:12" ns3:dyDescent="0.2">
      <c r="A2033" s="65" t="s">
        <v>460</v>
      </c>
      <c r="B2033" s="66">
        <v>3</v>
      </c>
      <c r="C2033" t="s">
        <v>24</v>
      </c>
      <c r="D2033" t="s">
        <v>7</v>
      </c>
      <c r="F2033" t="s">
        <v>18</v>
      </c>
      <c r="H2033" t="s">
        <v>461</v>
      </c>
    </row>
    <row r="2034" spans="1:12" ns3:dyDescent="0.2">
      <c r="A2034" s="65" t="s">
        <v>433</v>
      </c>
      <c r="B2034" s="66">
        <f>15900*(B2033/1000)</f>
        <v>47.7</v>
      </c>
      <c r="C2034" t="s">
        <v>24</v>
      </c>
      <c r="D2034" t="s">
        <v>28</v>
      </c>
      <c r="F2034" t="s">
        <v>18</v>
      </c>
      <c r="H2034" t="s">
        <v>433</v>
      </c>
    </row>
    <row r="2035" spans="1:12" ns3:dyDescent="0.2">
      <c r="A2035" s="65" t="s">
        <v>81</v>
      </c>
      <c r="B2035" s="66">
        <f>1000*(B2033/1000)</f>
        <v>3</v>
      </c>
      <c r="C2035" t="s">
        <v>103</v>
      </c>
      <c r="D2035" t="s">
        <v>28</v>
      </c>
      <c r="F2035" t="s">
        <v>18</v>
      </c>
      <c r="H2035" t="s">
        <v>82</v>
      </c>
    </row>
    <row r="2036" spans="1:12" ns3:dyDescent="0.2">
      <c r="A2036" t="s">
        <v>462</v>
      </c>
      <c r="B2036" s="66">
        <f>-1*B2033</f>
        <v>-3</v>
      </c>
      <c r="C2036" t="s">
        <v>24</v>
      </c>
      <c r="D2036" t="s">
        <v>7</v>
      </c>
      <c r="F2036" t="s">
        <v>18</v>
      </c>
      <c r="H2036" t="s">
        <v>463</v>
      </c>
    </row>
    <row r="2037" spans="1:12" ns3:dyDescent="0.2">
      <c r="B2037"/>
    </row>
    <row r="2038">
      <c r="A2038" t="inlineStr">
        <is>
          <t>Activity</t>
        </is>
      </c>
      <c r="B2038" t="inlineStr">
        <is>
          <t>hydrogen, used in passenger car vehicle</t>
        </is>
      </c>
    </row>
    <row r="2039">
      <c r="A2039" t="inlineStr">
        <is>
          <t>location</t>
        </is>
      </c>
      <c r="B2039" t="inlineStr">
        <is>
          <t>CH</t>
        </is>
      </c>
    </row>
    <row r="2040">
      <c r="A2040" t="inlineStr">
        <is>
          <t>production amount</t>
        </is>
      </c>
      <c r="B2040">
        <v>1</v>
      </c>
    </row>
    <row r="2041">
      <c r="A2041" t="inlineStr">
        <is>
          <t>reference product</t>
        </is>
      </c>
      <c r="B2041" t="inlineStr">
        <is>
          <t>heat</t>
        </is>
      </c>
    </row>
    <row r="2042">
      <c r="A2042" t="inlineStr">
        <is>
          <t>type</t>
        </is>
      </c>
      <c r="B2042" t="inlineStr">
        <is>
          <t>process</t>
        </is>
      </c>
    </row>
    <row r="2043">
      <c r="A2043" t="inlineStr">
        <is>
          <t>comment</t>
        </is>
      </c>
      <c r="B2043"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44">
      <c r="A2044" t="inlineStr">
        <is>
          <t>unit</t>
        </is>
      </c>
      <c r="B2044" t="inlineStr">
        <is>
          <t>megajoule</t>
        </is>
      </c>
    </row>
    <row r="2045">
      <c r="A2045" t="inlineStr">
        <is>
          <t>energy use source</t>
        </is>
      </c>
      <c r="B2045"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internal combustion engine, passenger car", "internal combustion engine, passenger car", "GLO", "kilogram"], "amount per vehicle": 91.5510482788086,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0.0004267582557876431},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 "vehicle per source service": 4.999999873689376e-06}], "alternative fuel recipe retained": false}</t>
        </is>
      </c>
    </row>
    <row r="2046">
      <c r="A2046" t="inlineStr">
        <is>
          <t>Exchanges</t>
        </is>
      </c>
    </row>
    <row r="2047">
      <c r="A2047" t="inlineStr">
        <is>
          <t>name</t>
        </is>
      </c>
      <c r="B2047" t="inlineStr">
        <is>
          <t>amount</t>
        </is>
      </c>
      <c r="C2047" t="inlineStr">
        <is>
          <t>location</t>
        </is>
      </c>
      <c r="D2047" t="inlineStr">
        <is>
          <t>unit</t>
        </is>
      </c>
      <c r="E2047" t="inlineStr">
        <is>
          <t>categories</t>
        </is>
      </c>
      <c r="F2047" t="inlineStr">
        <is>
          <t>type</t>
        </is>
      </c>
      <c r="G2047" t="inlineStr">
        <is>
          <t>reference product</t>
        </is>
      </c>
      <c r="H2047" t="inlineStr">
        <is>
          <t>comment</t>
        </is>
      </c>
      <c r="I2047" t="inlineStr">
        <is>
          <t>uncertainty type</t>
        </is>
      </c>
    </row>
    <row r="2048">
      <c r="A2048" t="inlineStr">
        <is>
          <t>hydrogen, used in passenger car vehicle</t>
        </is>
      </c>
      <c r="B2048">
        <v>1.0</v>
      </c>
      <c r="C2048" t="inlineStr">
        <is>
          <t>CH</t>
        </is>
      </c>
      <c r="D2048" t="inlineStr">
        <is>
          <t>megajoule</t>
        </is>
      </c>
      <c r="F2048" t="inlineStr">
        <is>
          <t>production</t>
        </is>
      </c>
      <c r="G2048" t="inlineStr">
        <is>
          <t>heat</t>
        </is>
      </c>
      <c r="I2048">
        <v>0</v>
      </c>
    </row>
    <row r="2049">
      <c r="A2049" t="inlineStr">
        <is>
          <t>market for hydrogen, gaseous, low pressure</t>
        </is>
      </c>
      <c r="B2049">
        <v>0.008333333333333333</v>
      </c>
      <c r="C2049" t="inlineStr">
        <is>
          <t>RER</t>
        </is>
      </c>
      <c r="D2049" t="inlineStr">
        <is>
          <t>kilogram</t>
        </is>
      </c>
      <c r="F2049" t="inlineStr">
        <is>
          <t>technosphere</t>
        </is>
      </c>
      <c r="G2049" t="inlineStr">
        <is>
          <t>hydrogen, gaseous, low pressure</t>
        </is>
      </c>
      <c r="H2049" t="inlineStr">
        <is>
          <t>Default carculator fuel energy preserved (1.07263356625 MJ/vkm); premise reference LHV 120.0 MJ/kg. Regional scenario blend belongs to premise.</t>
        </is>
      </c>
      <c r="I2049">
        <v>0</v>
      </c>
    </row>
    <row r="2050">
      <c r="A2050" t="inlineStr">
        <is>
          <t>treatment of brake wear emissions, passenger car</t>
        </is>
      </c>
      <c r="B2050">
        <v>-7.811243251597881e-06</v>
      </c>
      <c r="C2050" t="inlineStr">
        <is>
          <t>RER</t>
        </is>
      </c>
      <c r="D2050" t="inlineStr">
        <is>
          <t>kilogram</t>
        </is>
      </c>
      <c r="F2050" t="inlineStr">
        <is>
          <t>technosphere</t>
        </is>
      </c>
      <c r="G2050" t="inlineStr">
        <is>
          <t>brake wear emissions, passenger car</t>
        </is>
      </c>
      <c r="I2050">
        <v>0</v>
      </c>
    </row>
    <row r="2051">
      <c r="A2051" t="inlineStr">
        <is>
          <t>treatment of road wear emissions, passenger car</t>
        </is>
      </c>
      <c r="B2051">
        <v>-1.7354722075946138e-05</v>
      </c>
      <c r="C2051" t="inlineStr">
        <is>
          <t>RER</t>
        </is>
      </c>
      <c r="D2051" t="inlineStr">
        <is>
          <t>kilogram</t>
        </is>
      </c>
      <c r="F2051" t="inlineStr">
        <is>
          <t>technosphere</t>
        </is>
      </c>
      <c r="G2051" t="inlineStr">
        <is>
          <t>road wear emissions, passenger car</t>
        </is>
      </c>
      <c r="I2051">
        <v>0</v>
      </c>
    </row>
    <row r="2052">
      <c r="A2052" t="inlineStr">
        <is>
          <t>treatment of tyre wear emissions, passenger car</t>
        </is>
      </c>
      <c r="B2052">
        <v>-1.9644274084031096e-05</v>
      </c>
      <c r="C2052" t="inlineStr">
        <is>
          <t>RER</t>
        </is>
      </c>
      <c r="D2052" t="inlineStr">
        <is>
          <t>kilogram</t>
        </is>
      </c>
      <c r="F2052" t="inlineStr">
        <is>
          <t>technosphere</t>
        </is>
      </c>
      <c r="G2052" t="inlineStr">
        <is>
          <t>tyre wear emissions, passenger car</t>
        </is>
      </c>
      <c r="I2052">
        <v>0</v>
      </c>
    </row>
    <row r="2053">
      <c r="A2053" t="inlineStr">
        <is>
          <t>market for tetrafluoroethane, R134a</t>
        </is>
      </c>
      <c r="B2053">
        <v>6.05985131483241e-06</v>
      </c>
      <c r="C2053" t="inlineStr">
        <is>
          <t>GLO</t>
        </is>
      </c>
      <c r="D2053" t="inlineStr">
        <is>
          <t>kilogram</t>
        </is>
      </c>
      <c r="F2053" t="inlineStr">
        <is>
          <t>technosphere</t>
        </is>
      </c>
      <c r="G2053" t="inlineStr">
        <is>
          <t>tetrafluoroethane, R134a</t>
        </is>
      </c>
      <c r="I2053">
        <v>0</v>
      </c>
    </row>
    <row r="2054">
      <c r="A2054" t="inlineStr">
        <is>
          <t>1,1,1,2-Tetrafluoroethane</t>
        </is>
      </c>
      <c r="B2054">
        <v>3.4960680173316915e-06</v>
      </c>
      <c r="D2054" t="inlineStr">
        <is>
          <t>kilogram</t>
        </is>
      </c>
      <c r="E2054" t="inlineStr">
        <is>
          <t>air</t>
        </is>
      </c>
      <c r="F2054" t="inlineStr">
        <is>
          <t>biosphere</t>
        </is>
      </c>
      <c r="I2054">
        <v>0</v>
      </c>
    </row>
    <row r="2055">
      <c r="A2055" t="inlineStr">
        <is>
          <t>market group for electricity, low voltage</t>
        </is>
      </c>
      <c r="B2055">
        <v>0.020421827056420445</v>
      </c>
      <c r="C2055" t="inlineStr">
        <is>
          <t>RER</t>
        </is>
      </c>
      <c r="D2055" t="inlineStr">
        <is>
          <t>kilowatt hour</t>
        </is>
      </c>
      <c r="F2055" t="inlineStr">
        <is>
          <t>technosphere</t>
        </is>
      </c>
      <c r="G2055" t="inlineStr">
        <is>
          <t>electricity, low voltage</t>
        </is>
      </c>
      <c r="H2055" t="inlineStr">
        <is>
          <t>Hydrogen tank compression, 30 to 700 bar: 2.45061924677 kWh/kg H2, using the model's default compressor assumptions and Premise's documented delivery pressure.</t>
        </is>
      </c>
      <c r="I2055">
        <v>0</v>
      </c>
    </row>
    <row r="2056">
      <c r="A2056" t="inlineStr">
        <is>
          <t>fuel cell Balance of Plant production, 1 kWe, proton exchange membrane (PEM), carculator passenger car 2020</t>
        </is>
      </c>
      <c r="B2056">
        <v>0.00013256366446464648</v>
      </c>
      <c r="C2056" t="inlineStr">
        <is>
          <t>GLO</t>
        </is>
      </c>
      <c r="D2056" t="inlineStr">
        <is>
          <t>unit</t>
        </is>
      </c>
      <c r="F2056" t="inlineStr">
        <is>
          <t>technosphere</t>
        </is>
      </c>
      <c r="G2056" t="inlineStr">
        <is>
          <t>fuel cell Balance of Plant, 1 kWe, proton exchange membrane (PEM)</t>
        </is>
      </c>
      <c r="H2056" t="inlineStr">
        <is>
          <t> Energy-use allocation: 28.43844795227051 * 4.999999873689376e-06 / 1.0726335662454156 MJ per kilometer.</t>
        </is>
      </c>
      <c r="I2056">
        <v>0</v>
      </c>
    </row>
    <row r="2057">
      <c r="A2057" t="inlineStr">
        <is>
          <t>fuel cell stack production, 1 kWe, proton exchange membrane (PEM), carculator passenger car 2020</t>
        </is>
      </c>
      <c r="B2057">
        <v>0.0006491343068889693</v>
      </c>
      <c r="C2057" t="inlineStr">
        <is>
          <t>GLO</t>
        </is>
      </c>
      <c r="D2057" t="inlineStr">
        <is>
          <t>unit</t>
        </is>
      </c>
      <c r="F2057" t="inlineStr">
        <is>
          <t>technosphere</t>
        </is>
      </c>
      <c r="G2057" t="inlineStr">
        <is>
          <t>fuel cell stack, 1 kWe, proton exchange membrane (PEM)</t>
        </is>
      </c>
      <c r="H2057" t="inlineStr">
        <is>
          <t> Energy-use allocation: 139.2566528320312 * 4.999999873689376e-06 / 1.0726335662454156 MJ per kilometer.</t>
        </is>
      </c>
      <c r="I2057">
        <v>0</v>
      </c>
    </row>
    <row r="2058">
      <c r="A2058" t="inlineStr">
        <is>
          <t>fuel tank, compressed hydrogen gas, 700bar, with HDPE liner, carculator passenger car 2020</t>
        </is>
      </c>
      <c r="B2058">
        <v>0.0004560088764646349</v>
      </c>
      <c r="C2058" t="inlineStr">
        <is>
          <t>RER</t>
        </is>
      </c>
      <c r="D2058" t="inlineStr">
        <is>
          <t>kilogram</t>
        </is>
      </c>
      <c r="F2058" t="inlineStr">
        <is>
          <t>technosphere</t>
        </is>
      </c>
      <c r="G2058" t="inlineStr">
        <is>
          <t>hydrogen tank</t>
        </is>
      </c>
      <c r="H2058" t="inlineStr">
        <is>
          <t> Energy-use allocation: 97.82608795166016 * 4.999999873689376e-06 / 1.0726335662454156 MJ per kilometer.</t>
        </is>
      </c>
      <c r="I2058">
        <v>0</v>
      </c>
    </row>
    <row r="2059">
      <c r="A2059" t="inlineStr">
        <is>
          <t>market for converter, for electric passenger car</t>
        </is>
      </c>
      <c r="B2059">
        <v>2.0839605113863403e-05</v>
      </c>
      <c r="C2059" t="inlineStr">
        <is>
          <t>GLO</t>
        </is>
      </c>
      <c r="D2059" t="inlineStr">
        <is>
          <t>kilogram</t>
        </is>
      </c>
      <c r="F2059" t="inlineStr">
        <is>
          <t>technosphere</t>
        </is>
      </c>
      <c r="G2059" t="inlineStr">
        <is>
          <t>converter, for electric passenger car</t>
        </is>
      </c>
      <c r="H2059" t="inlineStr">
        <is>
          <t> Energy-use allocation: 4.470652103424072 * 4.999999873689376e-06 / 1.0726335662454156 MJ per kilometer.</t>
        </is>
      </c>
      <c r="I2059">
        <v>0</v>
      </c>
    </row>
    <row r="2060">
      <c r="A2060" t="inlineStr">
        <is>
          <t>market for electric motor, electric passenger car</t>
        </is>
      </c>
      <c r="B2060">
        <v>0.0004290234592004841</v>
      </c>
      <c r="C2060" t="inlineStr">
        <is>
          <t>GLO</t>
        </is>
      </c>
      <c r="D2060" t="inlineStr">
        <is>
          <t>kilogram</t>
        </is>
      </c>
      <c r="F2060" t="inlineStr">
        <is>
          <t>technosphere</t>
        </is>
      </c>
      <c r="G2060" t="inlineStr">
        <is>
          <t>electric motor, electric passenger car</t>
        </is>
      </c>
      <c r="H2060" t="inlineStr">
        <is>
          <t> Energy-use allocation: 92.03699493408203 * 4.999999873689376e-06 / 1.0726335662454156 MJ per kilometer.</t>
        </is>
      </c>
      <c r="I2060">
        <v>0</v>
      </c>
    </row>
    <row r="2061">
      <c r="A2061" t="inlineStr">
        <is>
          <t>market for internal combustion engine, passenger car</t>
        </is>
      </c>
      <c r="B2061">
        <v>0.0004267582557876431</v>
      </c>
      <c r="C2061" t="inlineStr">
        <is>
          <t>GLO</t>
        </is>
      </c>
      <c r="D2061" t="inlineStr">
        <is>
          <t>kilogram</t>
        </is>
      </c>
      <c r="F2061" t="inlineStr">
        <is>
          <t>technosphere</t>
        </is>
      </c>
      <c r="G2061" t="inlineStr">
        <is>
          <t>internal combustion engine, passenger car</t>
        </is>
      </c>
      <c r="H2061" t="inlineStr">
        <is>
          <t> Energy-use allocation: 91.5510482788086 * 4.999999873689376e-06 / 1.0726335662454156 MJ per kilometer.</t>
        </is>
      </c>
      <c r="I2061">
        <v>0</v>
      </c>
    </row>
    <row r="2062">
      <c r="A2062" t="inlineStr">
        <is>
          <t>market for inverter, for electric passenger car</t>
        </is>
      </c>
      <c r="B2062">
        <v>4.1679210227726807e-05</v>
      </c>
      <c r="C2062" t="inlineStr">
        <is>
          <t>GLO</t>
        </is>
      </c>
      <c r="D2062" t="inlineStr">
        <is>
          <t>kilogram</t>
        </is>
      </c>
      <c r="F2062" t="inlineStr">
        <is>
          <t>technosphere</t>
        </is>
      </c>
      <c r="G2062" t="inlineStr">
        <is>
          <t>inverter, for electric passenger car</t>
        </is>
      </c>
      <c r="H2062" t="inlineStr">
        <is>
          <t> Energy-use allocation: 8.941304206848145 * 4.999999873689376e-06 / 1.0726335662454156 MJ per kilometer.</t>
        </is>
      </c>
      <c r="I2062">
        <v>0</v>
      </c>
    </row>
    <row r="2063">
      <c r="A2063" t="inlineStr">
        <is>
          <t>market for power distribution unit, for electric passenger car</t>
        </is>
      </c>
      <c r="B2063">
        <v>1.852409331105968e-05</v>
      </c>
      <c r="C2063" t="inlineStr">
        <is>
          <t>GLO</t>
        </is>
      </c>
      <c r="D2063" t="inlineStr">
        <is>
          <t>kilogram</t>
        </is>
      </c>
      <c r="F2063" t="inlineStr">
        <is>
          <t>technosphere</t>
        </is>
      </c>
      <c r="G2063" t="inlineStr">
        <is>
          <t>power distribution unit, for electric passenger car</t>
        </is>
      </c>
      <c r="H2063" t="inlineStr">
        <is>
          <t> Energy-use allocation: 3.973912954330444 * 4.999999873689376e-06 / 1.0726335662454156 MJ per kilometer.</t>
        </is>
      </c>
      <c r="I2063">
        <v>0</v>
      </c>
    </row>
    <row r="2064">
      <c r="A2064" t="inlineStr">
        <is>
          <t>market for used powertrain from electric passenger car, manual dismantling</t>
        </is>
      </c>
      <c r="B2064">
        <v>-0.0016750567184222265</v>
      </c>
      <c r="C2064" t="inlineStr">
        <is>
          <t>GLO</t>
        </is>
      </c>
      <c r="D2064" t="inlineStr">
        <is>
          <t>kilogram</t>
        </is>
      </c>
      <c r="F2064" t="inlineStr">
        <is>
          <t>technosphere</t>
        </is>
      </c>
      <c r="G2064" t="inlineStr">
        <is>
          <t>used powertrain from electric passenger car, manual dismantling</t>
        </is>
      </c>
      <c r="H2064" t="inlineStr">
        <is>
          <t> Energy-use allocation: -359.3444213867188 * 4.999999873689376e-06 / 1.0726335662454156 MJ per kilometer.</t>
        </is>
      </c>
      <c r="I2064">
        <v>0</v>
      </c>
    </row>
    <row r="2065">
      <c r="A2065" t="inlineStr">
        <is>
          <t>market for waste plastic, industrial electronics</t>
        </is>
      </c>
      <c r="B2065">
        <v>-0.0004560088764646349</v>
      </c>
      <c r="C2065" t="inlineStr">
        <is>
          <t>CH</t>
        </is>
      </c>
      <c r="D2065" t="inlineStr">
        <is>
          <t>kilogram</t>
        </is>
      </c>
      <c r="F2065" t="inlineStr">
        <is>
          <t>technosphere</t>
        </is>
      </c>
      <c r="G2065" t="inlineStr">
        <is>
          <t>waste plastic, industrial electronics</t>
        </is>
      </c>
      <c r="H2065" t="inlineStr">
        <is>
          <t> Energy-use allocation: -97.82608795166016 * 4.999999873689376e-06 / 1.0726335662454156 MJ per kilometer.</t>
        </is>
      </c>
      <c r="I2065">
        <v>0</v>
      </c>
    </row>
    <row r="2066">
      <c r="A2066" t="inlineStr">
        <is>
          <t>market for battery capacity (MIX scenario)</t>
        </is>
      </c>
      <c r="B2066">
        <v>7.446961466462621e-06</v>
      </c>
      <c r="C2066" t="inlineStr">
        <is>
          <t>GLO</t>
        </is>
      </c>
      <c r="D2066" t="inlineStr">
        <is>
          <t>kilowatt hour</t>
        </is>
      </c>
      <c r="F2066" t="inlineStr">
        <is>
          <t>technosphere</t>
        </is>
      </c>
      <c r="G2066" t="inlineStr">
        <is>
          <t>electricity storage capacity</t>
        </is>
      </c>
      <c r="H2066" t="inlineStr">
        <is>
          <t>1.59757220745 kWh nominal * (1 + 0 lifetime replacements). Capacity market includes battery manufacture AND end of life; original kg pack and disposal removed. Energy-use allocation: 1.597572207450867 * 4.999999873689376e-06 / 1.0726335662454156 MJ per kilometer.</t>
        </is>
      </c>
      <c r="I2066">
        <v>0</v>
      </c>
    </row>
    <row r="2067"/>
    <row r="2068">
      <c r="A2068" t="inlineStr">
        <is>
          <t>Activity</t>
        </is>
      </c>
      <c r="B2068" t="inlineStr">
        <is>
          <t>diesel, burned in single deck coach or urban bus</t>
        </is>
      </c>
    </row>
    <row r="2069">
      <c r="A2069" t="inlineStr">
        <is>
          <t>comment</t>
        </is>
      </c>
      <c r="B2069"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2070">
      <c r="A2070" t="inlineStr">
        <is>
          <t>description</t>
        </is>
      </c>
      <c r="B207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071">
      <c r="A2071" t="inlineStr">
        <is>
          <t>location</t>
        </is>
      </c>
      <c r="B2071" t="inlineStr">
        <is>
          <t>CH</t>
        </is>
      </c>
    </row>
    <row r="2072">
      <c r="A2072" t="inlineStr">
        <is>
          <t>production amount</t>
        </is>
      </c>
      <c r="B2072">
        <v>1</v>
      </c>
    </row>
    <row r="2073">
      <c r="A2073" t="inlineStr">
        <is>
          <t>reference product</t>
        </is>
      </c>
      <c r="B2073" t="inlineStr">
        <is>
          <t>heat</t>
        </is>
      </c>
    </row>
    <row r="2074">
      <c r="A2074" t="inlineStr">
        <is>
          <t>type</t>
        </is>
      </c>
      <c r="B2074" t="inlineStr">
        <is>
          <t>process</t>
        </is>
      </c>
    </row>
    <row r="2075">
      <c r="A2075" t="inlineStr">
        <is>
          <t>unit</t>
        </is>
      </c>
      <c r="B2075" t="inlineStr">
        <is>
          <t>megajoule</t>
        </is>
      </c>
    </row>
    <row r="2076">
      <c r="A2076" t="inlineStr">
        <is>
          <t>energy use source</t>
        </is>
      </c>
      <c r="B207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 "vehicle per source service": 1.428571428571429e-07}, {"supplier": ["frame, blanks and saddle, for lorry", "frame, blanks and saddle, for lorry", "RER", "kilogram"], "amount per vehicle": 7300, "vehicle per source service": 1.428571428571429e-07}, {"supplier": ["maintenance, bus", "maintenance, bus", "CH", "unit"], "amount per vehicle": 1, "vehicle per source service": 1.428571428571429e-07}, {"supplier": ["other components, for hybrid electric lorry", "other components, for hybrid electric lorry", "RER", "kilogram"], "amount per vehicle": 858, "vehicle per source service": 1.428571428571429e-07}, {"supplier": ["suspension, for lorry", "suspension, for lorry", "RER", "kilogram"], "amount per vehicle": 1762, "vehicle per source service": 1.428571428571429e-07}, {"supplier": ["tires and wheels, for lorry", "tires and wheels, for lorry", "RER", "kilogram"], "amount per vehicle": 576, "vehicle per source service": 1.428571428571429e-07}, {"supplier": ["treatment of used bus", "used bus", "CH", "unit"], "amount per vehicle": -1, "vehicle per source service": 1.428571428571429e-07}, {"supplier": "market for road", "amount per source service": 0.0006986479732318333}, {"supplier": "market for road maintenance", "amount per source service": 0.000129}], "alternative fuel recipe retained": false}</t>
        </is>
      </c>
    </row>
    <row r="2077">
      <c r="A2077" t="inlineStr">
        <is>
          <t>Exchanges</t>
        </is>
      </c>
    </row>
    <row r="2078">
      <c r="A2078" t="inlineStr">
        <is>
          <t>name</t>
        </is>
      </c>
      <c r="B2078" t="inlineStr">
        <is>
          <t>amount</t>
        </is>
      </c>
      <c r="C2078" t="inlineStr">
        <is>
          <t>location</t>
        </is>
      </c>
      <c r="D2078" t="inlineStr">
        <is>
          <t>unit</t>
        </is>
      </c>
      <c r="E2078" t="inlineStr">
        <is>
          <t>categories</t>
        </is>
      </c>
      <c r="F2078" t="inlineStr">
        <is>
          <t>type</t>
        </is>
      </c>
      <c r="G2078" t="inlineStr">
        <is>
          <t>reference product</t>
        </is>
      </c>
      <c r="H2078" t="inlineStr">
        <is>
          <t>comment</t>
        </is>
      </c>
      <c r="I2078" t="inlineStr">
        <is>
          <t>uncertainty type</t>
        </is>
      </c>
    </row>
    <row r="2079">
      <c r="A2079" t="inlineStr">
        <is>
          <t>diesel, burned in single deck coach or urban bus</t>
        </is>
      </c>
      <c r="B2079">
        <v>1.0</v>
      </c>
      <c r="C2079" t="inlineStr">
        <is>
          <t>CH</t>
        </is>
      </c>
      <c r="D2079" t="inlineStr">
        <is>
          <t>megajoule</t>
        </is>
      </c>
      <c r="F2079" t="inlineStr">
        <is>
          <t>production</t>
        </is>
      </c>
      <c r="G2079" t="inlineStr">
        <is>
          <t>heat</t>
        </is>
      </c>
      <c r="I2079">
        <v>0</v>
      </c>
    </row>
    <row r="2080">
      <c r="A2080" t="inlineStr">
        <is>
          <t>market for diesel, low-sulfur</t>
        </is>
      </c>
      <c r="B2080">
        <v>0.023255813953488375</v>
      </c>
      <c r="C2080" t="inlineStr">
        <is>
          <t>Europe without Switzerland</t>
        </is>
      </c>
      <c r="D2080" t="inlineStr">
        <is>
          <t>kilogram</t>
        </is>
      </c>
      <c r="F2080" t="inlineStr">
        <is>
          <t>technosphere</t>
        </is>
      </c>
      <c r="G2080" t="inlineStr">
        <is>
          <t>diesel, low-sulfur</t>
        </is>
      </c>
      <c r="I2080">
        <v>0</v>
      </c>
    </row>
    <row r="2081">
      <c r="A2081" t="inlineStr">
        <is>
          <t>Acetaldehyde</t>
        </is>
      </c>
      <c r="B2081">
        <v>1.0907339664243923e-07</v>
      </c>
      <c r="D2081" t="inlineStr">
        <is>
          <t>kilogram</t>
        </is>
      </c>
      <c r="E2081" t="inlineStr">
        <is>
          <t>air::urban air close to ground</t>
        </is>
      </c>
      <c r="F2081" t="inlineStr">
        <is>
          <t>biosphere</t>
        </is>
      </c>
      <c r="I2081">
        <v>0</v>
      </c>
    </row>
    <row r="2082">
      <c r="A2082" t="inlineStr">
        <is>
          <t>Acrolein</t>
        </is>
      </c>
      <c r="B2082">
        <v>4.224505734291413e-08</v>
      </c>
      <c r="D2082" t="inlineStr">
        <is>
          <t>kilogram</t>
        </is>
      </c>
      <c r="E2082" t="inlineStr">
        <is>
          <t>air::urban air close to ground</t>
        </is>
      </c>
      <c r="F2082" t="inlineStr">
        <is>
          <t>biosphere</t>
        </is>
      </c>
      <c r="I2082">
        <v>0</v>
      </c>
    </row>
    <row r="2083">
      <c r="A2083" t="inlineStr">
        <is>
          <t>Ammonia</t>
        </is>
      </c>
      <c r="B2083">
        <v>1.0561513719515261e-06</v>
      </c>
      <c r="D2083" t="inlineStr">
        <is>
          <t>kilogram</t>
        </is>
      </c>
      <c r="E2083" t="inlineStr">
        <is>
          <t>air::urban air close to ground</t>
        </is>
      </c>
      <c r="F2083" t="inlineStr">
        <is>
          <t>biosphere</t>
        </is>
      </c>
      <c r="I2083">
        <v>0</v>
      </c>
    </row>
    <row r="2084">
      <c r="A2084" t="inlineStr">
        <is>
          <t>Arsenic ion</t>
        </is>
      </c>
      <c r="B2084">
        <v>2.3299999798920164e-12</v>
      </c>
      <c r="D2084" t="inlineStr">
        <is>
          <t>kilogram</t>
        </is>
      </c>
      <c r="E2084" t="inlineStr">
        <is>
          <t>air::urban air close to ground</t>
        </is>
      </c>
      <c r="F2084" t="inlineStr">
        <is>
          <t>biosphere</t>
        </is>
      </c>
      <c r="I2084">
        <v>0</v>
      </c>
    </row>
    <row r="2085">
      <c r="A2085" t="inlineStr">
        <is>
          <t>Benzaldehyde</t>
        </is>
      </c>
      <c r="B2085">
        <v>3.2698151728696235e-08</v>
      </c>
      <c r="D2085" t="inlineStr">
        <is>
          <t>kilogram</t>
        </is>
      </c>
      <c r="E2085" t="inlineStr">
        <is>
          <t>air::urban air close to ground</t>
        </is>
      </c>
      <c r="F2085" t="inlineStr">
        <is>
          <t>biosphere</t>
        </is>
      </c>
      <c r="I2085">
        <v>0</v>
      </c>
    </row>
    <row r="2086">
      <c r="A2086" t="inlineStr">
        <is>
          <t>Benzene</t>
        </is>
      </c>
      <c r="B2086">
        <v>2.9067283247454772e-08</v>
      </c>
      <c r="D2086" t="inlineStr">
        <is>
          <t>kilogram</t>
        </is>
      </c>
      <c r="E2086" t="inlineStr">
        <is>
          <t>air::urban air close to ground</t>
        </is>
      </c>
      <c r="F2086" t="inlineStr">
        <is>
          <t>biosphere</t>
        </is>
      </c>
      <c r="I2086">
        <v>0</v>
      </c>
    </row>
    <row r="2087">
      <c r="A2087" t="inlineStr">
        <is>
          <t>Butane</t>
        </is>
      </c>
      <c r="B2087">
        <v>3.580089605331705e-09</v>
      </c>
      <c r="D2087" t="inlineStr">
        <is>
          <t>kilogram</t>
        </is>
      </c>
      <c r="E2087" t="inlineStr">
        <is>
          <t>air::urban air close to ground</t>
        </is>
      </c>
      <c r="F2087" t="inlineStr">
        <is>
          <t>biosphere</t>
        </is>
      </c>
      <c r="I2087">
        <v>0</v>
      </c>
    </row>
    <row r="2088">
      <c r="A2088" t="inlineStr">
        <is>
          <t>Cadmium II</t>
        </is>
      </c>
      <c r="B2088">
        <v>2.019999982567328e-10</v>
      </c>
      <c r="D2088" t="inlineStr">
        <is>
          <t>kilogram</t>
        </is>
      </c>
      <c r="E2088" t="inlineStr">
        <is>
          <t>air::urban air close to ground</t>
        </is>
      </c>
      <c r="F2088" t="inlineStr">
        <is>
          <t>biosphere</t>
        </is>
      </c>
      <c r="I2088">
        <v>0</v>
      </c>
    </row>
    <row r="2089">
      <c r="A2089" t="inlineStr">
        <is>
          <t>Carbon dioxide, fossil</t>
        </is>
      </c>
      <c r="B2089">
        <v>0.07325581395348833</v>
      </c>
      <c r="D2089" t="inlineStr">
        <is>
          <t>kilogram</t>
        </is>
      </c>
      <c r="E2089" t="inlineStr">
        <is>
          <t>air::unspecified</t>
        </is>
      </c>
      <c r="F2089" t="inlineStr">
        <is>
          <t>biosphere</t>
        </is>
      </c>
      <c r="I2089">
        <v>0</v>
      </c>
    </row>
    <row r="2090">
      <c r="A2090" t="inlineStr">
        <is>
          <t>Carbon monoxide, fossil</t>
        </is>
      </c>
      <c r="B2090">
        <v>2.094191274474486e-05</v>
      </c>
      <c r="D2090" t="inlineStr">
        <is>
          <t>kilogram</t>
        </is>
      </c>
      <c r="E2090" t="inlineStr">
        <is>
          <t>air::urban air close to ground</t>
        </is>
      </c>
      <c r="F2090" t="inlineStr">
        <is>
          <t>biosphere</t>
        </is>
      </c>
      <c r="I2090">
        <v>0</v>
      </c>
    </row>
    <row r="2091">
      <c r="A2091" t="inlineStr">
        <is>
          <t>Chromium III</t>
        </is>
      </c>
      <c r="B2091">
        <v>6.979999939762351e-10</v>
      </c>
      <c r="D2091" t="inlineStr">
        <is>
          <t>kilogram</t>
        </is>
      </c>
      <c r="E2091" t="inlineStr">
        <is>
          <t>air::urban air close to ground</t>
        </is>
      </c>
      <c r="F2091" t="inlineStr">
        <is>
          <t>biosphere</t>
        </is>
      </c>
      <c r="I2091">
        <v>0</v>
      </c>
    </row>
    <row r="2092">
      <c r="A2092" t="inlineStr">
        <is>
          <t>Chromium VI</t>
        </is>
      </c>
      <c r="B2092">
        <v>1.3999999879179503e-12</v>
      </c>
      <c r="D2092" t="inlineStr">
        <is>
          <t>kilogram</t>
        </is>
      </c>
      <c r="E2092" t="inlineStr">
        <is>
          <t>air::urban air close to ground</t>
        </is>
      </c>
      <c r="F2092" t="inlineStr">
        <is>
          <t>biosphere</t>
        </is>
      </c>
      <c r="I2092">
        <v>0</v>
      </c>
    </row>
    <row r="2093">
      <c r="A2093" t="inlineStr">
        <is>
          <t>Copper ion</t>
        </is>
      </c>
      <c r="B2093">
        <v>4.929999957453923e-10</v>
      </c>
      <c r="D2093" t="inlineStr">
        <is>
          <t>kilogram</t>
        </is>
      </c>
      <c r="E2093" t="inlineStr">
        <is>
          <t>air::urban air close to ground</t>
        </is>
      </c>
      <c r="F2093" t="inlineStr">
        <is>
          <t>biosphere</t>
        </is>
      </c>
      <c r="I2093">
        <v>0</v>
      </c>
    </row>
    <row r="2094">
      <c r="A2094" t="inlineStr">
        <is>
          <t>Dinitrogen monoxide</t>
        </is>
      </c>
      <c r="B2094">
        <v>2.386726403554469e-06</v>
      </c>
      <c r="D2094" t="inlineStr">
        <is>
          <t>kilogram</t>
        </is>
      </c>
      <c r="E2094" t="inlineStr">
        <is>
          <t>air::urban air close to ground</t>
        </is>
      </c>
      <c r="F2094" t="inlineStr">
        <is>
          <t>biosphere</t>
        </is>
      </c>
      <c r="I2094">
        <v>0</v>
      </c>
    </row>
    <row r="2095">
      <c r="A2095" t="inlineStr">
        <is>
          <t>Ethane</t>
        </is>
      </c>
      <c r="B2095">
        <v>7.160179210663411e-10</v>
      </c>
      <c r="D2095" t="inlineStr">
        <is>
          <t>kilogram</t>
        </is>
      </c>
      <c r="E2095" t="inlineStr">
        <is>
          <t>air::urban air close to ground</t>
        </is>
      </c>
      <c r="F2095" t="inlineStr">
        <is>
          <t>biosphere</t>
        </is>
      </c>
      <c r="I2095">
        <v>0</v>
      </c>
    </row>
    <row r="2096">
      <c r="A2096" t="inlineStr">
        <is>
          <t>1,1,1,2-Tetrafluoroethane</t>
        </is>
      </c>
      <c r="B2096">
        <v>1.6688343004579788e-06</v>
      </c>
      <c r="D2096" t="inlineStr">
        <is>
          <t>kilogram</t>
        </is>
      </c>
      <c r="E2096" t="inlineStr">
        <is>
          <t>air::unspecified</t>
        </is>
      </c>
      <c r="F2096" t="inlineStr">
        <is>
          <t>biosphere</t>
        </is>
      </c>
      <c r="I2096">
        <v>0</v>
      </c>
    </row>
    <row r="2097">
      <c r="A2097" t="inlineStr">
        <is>
          <t>Formaldehyde</t>
        </is>
      </c>
      <c r="B2097">
        <v>2.004850178985755e-07</v>
      </c>
      <c r="D2097" t="inlineStr">
        <is>
          <t>kilogram</t>
        </is>
      </c>
      <c r="E2097" t="inlineStr">
        <is>
          <t>air::urban air close to ground</t>
        </is>
      </c>
      <c r="F2097" t="inlineStr">
        <is>
          <t>biosphere</t>
        </is>
      </c>
      <c r="I2097">
        <v>0</v>
      </c>
    </row>
    <row r="2098">
      <c r="A2098" t="inlineStr">
        <is>
          <t>Heptane</t>
        </is>
      </c>
      <c r="B2098">
        <v>7.16017921066341e-09</v>
      </c>
      <c r="D2098" t="inlineStr">
        <is>
          <t>kilogram</t>
        </is>
      </c>
      <c r="E2098" t="inlineStr">
        <is>
          <t>air::urban air close to ground</t>
        </is>
      </c>
      <c r="F2098" t="inlineStr">
        <is>
          <t>biosphere</t>
        </is>
      </c>
      <c r="I2098">
        <v>0</v>
      </c>
    </row>
    <row r="2099">
      <c r="A2099" t="inlineStr">
        <is>
          <t>Hydrocarbons, chlorinated</t>
        </is>
      </c>
      <c r="B2099">
        <v>1.740555928484824e-06</v>
      </c>
      <c r="D2099" t="inlineStr">
        <is>
          <t>kilogram</t>
        </is>
      </c>
      <c r="E2099" t="inlineStr">
        <is>
          <t>air::urban air close to ground</t>
        </is>
      </c>
      <c r="F2099" t="inlineStr">
        <is>
          <t>biosphere</t>
        </is>
      </c>
      <c r="I2099">
        <v>0</v>
      </c>
    </row>
    <row r="2100">
      <c r="A2100" t="inlineStr">
        <is>
          <t>Mercury II</t>
        </is>
      </c>
      <c r="B2100">
        <v>1.2299999893850563e-10</v>
      </c>
      <c r="D2100" t="inlineStr">
        <is>
          <t>kilogram</t>
        </is>
      </c>
      <c r="E2100" t="inlineStr">
        <is>
          <t>air::urban air close to ground</t>
        </is>
      </c>
      <c r="F2100" t="inlineStr">
        <is>
          <t>biosphere</t>
        </is>
      </c>
      <c r="I2100">
        <v>0</v>
      </c>
    </row>
    <row r="2101">
      <c r="A2101" t="inlineStr">
        <is>
          <t>Methane, fossil</t>
        </is>
      </c>
      <c r="B2101">
        <v>4.177334280532267e-08</v>
      </c>
      <c r="D2101" t="inlineStr">
        <is>
          <t>kilogram</t>
        </is>
      </c>
      <c r="E2101" t="inlineStr">
        <is>
          <t>air::urban air close to ground</t>
        </is>
      </c>
      <c r="F2101" t="inlineStr">
        <is>
          <t>biosphere</t>
        </is>
      </c>
      <c r="I2101">
        <v>0</v>
      </c>
    </row>
    <row r="2102">
      <c r="A2102" t="inlineStr">
        <is>
          <t>NMVOC, non-methane volatile organic compounds</t>
        </is>
      </c>
      <c r="B2102">
        <v>1.3811102485122725e-06</v>
      </c>
      <c r="D2102" t="inlineStr">
        <is>
          <t>kilogram</t>
        </is>
      </c>
      <c r="E2102" t="inlineStr">
        <is>
          <t>air::urban air close to ground</t>
        </is>
      </c>
      <c r="F2102" t="inlineStr">
        <is>
          <t>biosphere</t>
        </is>
      </c>
      <c r="I2102">
        <v>0</v>
      </c>
    </row>
    <row r="2103">
      <c r="A2103" t="inlineStr">
        <is>
          <t>Nickel II</t>
        </is>
      </c>
      <c r="B2103">
        <v>2.0499999823084267e-10</v>
      </c>
      <c r="D2103" t="inlineStr">
        <is>
          <t>kilogram</t>
        </is>
      </c>
      <c r="E2103" t="inlineStr">
        <is>
          <t>air::urban air close to ground</t>
        </is>
      </c>
      <c r="F2103" t="inlineStr">
        <is>
          <t>biosphere</t>
        </is>
      </c>
      <c r="I2103">
        <v>0</v>
      </c>
    </row>
    <row r="2104">
      <c r="A2104" t="inlineStr">
        <is>
          <t>Nitrogen oxides</t>
        </is>
      </c>
      <c r="B2104">
        <v>4.286348264147637e-05</v>
      </c>
      <c r="D2104" t="inlineStr">
        <is>
          <t>kilogram</t>
        </is>
      </c>
      <c r="E2104" t="inlineStr">
        <is>
          <t>air::urban air close to ground</t>
        </is>
      </c>
      <c r="F2104" t="inlineStr">
        <is>
          <t>biosphere</t>
        </is>
      </c>
      <c r="I2104">
        <v>0</v>
      </c>
    </row>
    <row r="2105">
      <c r="A2105" t="inlineStr">
        <is>
          <t>PAH, polycyclic aromatic hydrocarbons</t>
        </is>
      </c>
      <c r="B2105">
        <v>1.8199999842933354e-09</v>
      </c>
      <c r="D2105" t="inlineStr">
        <is>
          <t>kilogram</t>
        </is>
      </c>
      <c r="E2105" t="inlineStr">
        <is>
          <t>air::urban air close to ground</t>
        </is>
      </c>
      <c r="F2105" t="inlineStr">
        <is>
          <t>biosphere</t>
        </is>
      </c>
      <c r="I2105">
        <v>0</v>
      </c>
    </row>
    <row r="2106">
      <c r="A2106" t="inlineStr">
        <is>
          <t>Particulate Matter, &lt; 2.5 um</t>
        </is>
      </c>
      <c r="B2106">
        <v>2.518198657761128e-06</v>
      </c>
      <c r="D2106" t="inlineStr">
        <is>
          <t>kilogram</t>
        </is>
      </c>
      <c r="E2106" t="inlineStr">
        <is>
          <t>air::urban air close to ground</t>
        </is>
      </c>
      <c r="F2106" t="inlineStr">
        <is>
          <t>biosphere</t>
        </is>
      </c>
      <c r="I2106">
        <v>0</v>
      </c>
    </row>
    <row r="2107">
      <c r="A2107" t="inlineStr">
        <is>
          <t>Pentane</t>
        </is>
      </c>
      <c r="B2107">
        <v>1.4320358421326822e-09</v>
      </c>
      <c r="D2107" t="inlineStr">
        <is>
          <t>kilogram</t>
        </is>
      </c>
      <c r="E2107" t="inlineStr">
        <is>
          <t>air::urban air close to ground</t>
        </is>
      </c>
      <c r="F2107" t="inlineStr">
        <is>
          <t>biosphere</t>
        </is>
      </c>
      <c r="I2107">
        <v>0</v>
      </c>
    </row>
    <row r="2108">
      <c r="A2108" t="inlineStr">
        <is>
          <t>Propane</t>
        </is>
      </c>
      <c r="B2108">
        <v>2.3867264035544693e-09</v>
      </c>
      <c r="D2108" t="inlineStr">
        <is>
          <t>kilogram</t>
        </is>
      </c>
      <c r="E2108" t="inlineStr">
        <is>
          <t>air::urban air close to ground</t>
        </is>
      </c>
      <c r="F2108" t="inlineStr">
        <is>
          <t>biosphere</t>
        </is>
      </c>
      <c r="I2108">
        <v>0</v>
      </c>
    </row>
    <row r="2109">
      <c r="A2109" t="inlineStr">
        <is>
          <t>Selenium IV</t>
        </is>
      </c>
      <c r="B2109">
        <v>2.3299999798920164e-12</v>
      </c>
      <c r="D2109" t="inlineStr">
        <is>
          <t>kilogram</t>
        </is>
      </c>
      <c r="E2109" t="inlineStr">
        <is>
          <t>air::urban air close to ground</t>
        </is>
      </c>
      <c r="F2109" t="inlineStr">
        <is>
          <t>biosphere</t>
        </is>
      </c>
      <c r="I2109">
        <v>0</v>
      </c>
    </row>
    <row r="2110">
      <c r="A2110" t="inlineStr">
        <is>
          <t>Styrene</t>
        </is>
      </c>
      <c r="B2110">
        <v>1.3365667859905029e-08</v>
      </c>
      <c r="D2110" t="inlineStr">
        <is>
          <t>kilogram</t>
        </is>
      </c>
      <c r="E2110" t="inlineStr">
        <is>
          <t>air::urban air close to ground</t>
        </is>
      </c>
      <c r="F2110" t="inlineStr">
        <is>
          <t>biosphere</t>
        </is>
      </c>
      <c r="I2110">
        <v>0</v>
      </c>
    </row>
    <row r="2111">
      <c r="A2111" t="inlineStr">
        <is>
          <t>Sulfur dioxide</t>
        </is>
      </c>
      <c r="B2111">
        <v>4.6511627906976754e-07</v>
      </c>
      <c r="D2111" t="inlineStr">
        <is>
          <t>kilogram</t>
        </is>
      </c>
      <c r="E2111" t="inlineStr">
        <is>
          <t>air::unspecified</t>
        </is>
      </c>
      <c r="F2111" t="inlineStr">
        <is>
          <t>biosphere</t>
        </is>
      </c>
      <c r="I2111">
        <v>0</v>
      </c>
    </row>
    <row r="2112">
      <c r="A2112" t="inlineStr">
        <is>
          <t>Toluene</t>
        </is>
      </c>
      <c r="B2112">
        <v>2.38672640355447e-10</v>
      </c>
      <c r="D2112" t="inlineStr">
        <is>
          <t>kilogram</t>
        </is>
      </c>
      <c r="E2112" t="inlineStr">
        <is>
          <t>air::urban air close to ground</t>
        </is>
      </c>
      <c r="F2112" t="inlineStr">
        <is>
          <t>biosphere</t>
        </is>
      </c>
      <c r="I2112">
        <v>0</v>
      </c>
    </row>
    <row r="2113">
      <c r="A2113" t="inlineStr">
        <is>
          <t>Zinc II</t>
        </is>
      </c>
      <c r="B2113">
        <v>4.0499999650483546e-08</v>
      </c>
      <c r="D2113" t="inlineStr">
        <is>
          <t>kilogram</t>
        </is>
      </c>
      <c r="E2113" t="inlineStr">
        <is>
          <t>air::urban air close to ground</t>
        </is>
      </c>
      <c r="F2113" t="inlineStr">
        <is>
          <t>biosphere</t>
        </is>
      </c>
      <c r="I2113">
        <v>0</v>
      </c>
    </row>
    <row r="2114">
      <c r="A2114" t="inlineStr">
        <is>
          <t>m-Xylene</t>
        </is>
      </c>
      <c r="B2114">
        <v>2.3389918754833805e-08</v>
      </c>
      <c r="D2114" t="inlineStr">
        <is>
          <t>kilogram</t>
        </is>
      </c>
      <c r="E2114" t="inlineStr">
        <is>
          <t>air::urban air close to ground</t>
        </is>
      </c>
      <c r="F2114" t="inlineStr">
        <is>
          <t>biosphere</t>
        </is>
      </c>
      <c r="I2114">
        <v>0</v>
      </c>
    </row>
    <row r="2115">
      <c r="A2115" t="inlineStr">
        <is>
          <t>o-Xylene</t>
        </is>
      </c>
      <c r="B2115">
        <v>9.546905614217876e-09</v>
      </c>
      <c r="D2115" t="inlineStr">
        <is>
          <t>kilogram</t>
        </is>
      </c>
      <c r="E2115" t="inlineStr">
        <is>
          <t>air::urban air close to ground</t>
        </is>
      </c>
      <c r="F2115" t="inlineStr">
        <is>
          <t>biosphere</t>
        </is>
      </c>
      <c r="I2115">
        <v>0</v>
      </c>
    </row>
    <row r="2116">
      <c r="A2116" t="inlineStr">
        <is>
          <t>exhaust system, for lorry</t>
        </is>
      </c>
      <c r="B2116">
        <v>1.0221610090305123e-05</v>
      </c>
      <c r="C2116" t="inlineStr">
        <is>
          <t>RER</t>
        </is>
      </c>
      <c r="D2116" t="inlineStr">
        <is>
          <t>kilogram</t>
        </is>
      </c>
      <c r="F2116" t="inlineStr">
        <is>
          <t>technosphere</t>
        </is>
      </c>
      <c r="G2116" t="inlineStr">
        <is>
          <t>exhaust system, for lorry</t>
        </is>
      </c>
      <c r="H2116" t="inlineStr">
        <is>
          <t> Energy-use allocation: 98 * 1.428571428571429e-07 / 1.3696472352509872 MJ per person kilometer.</t>
        </is>
      </c>
      <c r="I2116">
        <v>0</v>
      </c>
    </row>
    <row r="2117">
      <c r="A2117" t="inlineStr">
        <is>
          <t>fuel tank, for diesel vehicle</t>
        </is>
      </c>
      <c r="B2117">
        <v>5.434594663791208e-06</v>
      </c>
      <c r="C2117" t="inlineStr">
        <is>
          <t>RER</t>
        </is>
      </c>
      <c r="D2117" t="inlineStr">
        <is>
          <t>kilogram</t>
        </is>
      </c>
      <c r="F2117" t="inlineStr">
        <is>
          <t>technosphere</t>
        </is>
      </c>
      <c r="G2117" t="inlineStr">
        <is>
          <t>fuel tank</t>
        </is>
      </c>
      <c r="H2117" t="inlineStr">
        <is>
          <t> Energy-use allocation: 52.10434289179975 * 1.428571428571429e-07 / 1.3696472352509872 MJ per person kilometer.</t>
        </is>
      </c>
      <c r="I2117">
        <v>0</v>
      </c>
    </row>
    <row r="2118">
      <c r="A2118" t="inlineStr">
        <is>
          <t>gearbox, for lorry</t>
        </is>
      </c>
      <c r="B2118">
        <v>1.6438852140585983e-05</v>
      </c>
      <c r="C2118" t="inlineStr">
        <is>
          <t>RER</t>
        </is>
      </c>
      <c r="D2118" t="inlineStr">
        <is>
          <t>kilogram</t>
        </is>
      </c>
      <c r="F2118" t="inlineStr">
        <is>
          <t>technosphere</t>
        </is>
      </c>
      <c r="G2118" t="inlineStr">
        <is>
          <t>gearbox, for lorry</t>
        </is>
      </c>
      <c r="H2118" t="inlineStr">
        <is>
          <t> Energy-use allocation: 157.6079986953735 * 1.428571428571429e-07 / 1.3696472352509872 MJ per person kilometer.</t>
        </is>
      </c>
      <c r="I2118">
        <v>0</v>
      </c>
    </row>
    <row r="2119">
      <c r="A2119" t="inlineStr">
        <is>
          <t>internal combustion engine, for lorry</t>
        </is>
      </c>
      <c r="B2119">
        <v>7.397930395893994e-05</v>
      </c>
      <c r="C2119" t="inlineStr">
        <is>
          <t>RER</t>
        </is>
      </c>
      <c r="D2119" t="inlineStr">
        <is>
          <t>kilogram</t>
        </is>
      </c>
      <c r="F2119" t="inlineStr">
        <is>
          <t>technosphere</t>
        </is>
      </c>
      <c r="G2119" t="inlineStr">
        <is>
          <t>internal combustion engine, for lorry</t>
        </is>
      </c>
      <c r="H2119" t="inlineStr">
        <is>
          <t> Energy-use allocation: 709.2788439320813 * 1.428571428571429e-07 / 1.3696472352509872 MJ per person kilometer.</t>
        </is>
      </c>
      <c r="I2119">
        <v>0</v>
      </c>
    </row>
    <row r="2120">
      <c r="A2120" t="inlineStr">
        <is>
          <t>power electronics, for lorry</t>
        </is>
      </c>
      <c r="B2120">
        <v>1.9087292311488137e-05</v>
      </c>
      <c r="C2120" t="inlineStr">
        <is>
          <t>RER</t>
        </is>
      </c>
      <c r="D2120" t="inlineStr">
        <is>
          <t>kilogram</t>
        </is>
      </c>
      <c r="F2120" t="inlineStr">
        <is>
          <t>technosphere</t>
        </is>
      </c>
      <c r="G2120" t="inlineStr">
        <is>
          <t>power electronics, for lorry</t>
        </is>
      </c>
      <c r="H2120" t="inlineStr">
        <is>
          <t> Energy-use allocation: 183 * 1.428571428571429e-07 / 1.3696472352509872 MJ per person kilometer.</t>
        </is>
      </c>
      <c r="I2120">
        <v>0</v>
      </c>
    </row>
    <row r="2121">
      <c r="A2121" t="inlineStr">
        <is>
          <t>retarder, for lorry</t>
        </is>
      </c>
      <c r="B2121">
        <v>5.479617380195329e-06</v>
      </c>
      <c r="C2121" t="inlineStr">
        <is>
          <t>RER</t>
        </is>
      </c>
      <c r="D2121" t="inlineStr">
        <is>
          <t>kilogram</t>
        </is>
      </c>
      <c r="F2121" t="inlineStr">
        <is>
          <t>technosphere</t>
        </is>
      </c>
      <c r="G2121" t="inlineStr">
        <is>
          <t>retarder, for lorry</t>
        </is>
      </c>
      <c r="H2121" t="inlineStr">
        <is>
          <t> Energy-use allocation: 52.53599956512451 * 1.428571428571429e-07 / 1.3696472352509872 MJ per person kilometer.</t>
        </is>
      </c>
      <c r="I2121">
        <v>0</v>
      </c>
    </row>
    <row r="2122">
      <c r="A2122" t="inlineStr">
        <is>
          <t>transmission, for lorry</t>
        </is>
      </c>
      <c r="B2122">
        <v>2.3745008647513085e-05</v>
      </c>
      <c r="C2122" t="inlineStr">
        <is>
          <t>RER</t>
        </is>
      </c>
      <c r="D2122" t="inlineStr">
        <is>
          <t>kilogram</t>
        </is>
      </c>
      <c r="F2122" t="inlineStr">
        <is>
          <t>technosphere</t>
        </is>
      </c>
      <c r="G2122" t="inlineStr">
        <is>
          <t>transmission, for lorry</t>
        </is>
      </c>
      <c r="H2122" t="inlineStr">
        <is>
          <t> Energy-use allocation: 227.6559981155395 * 1.428571428571429e-07 / 1.3696472352509872 MJ per person kilometer.</t>
        </is>
      </c>
      <c r="I2122">
        <v>0</v>
      </c>
    </row>
    <row r="2123">
      <c r="A2123" t="inlineStr">
        <is>
          <t>market for refrigerant R134a</t>
        </is>
      </c>
      <c r="B2123">
        <v>2.451100378797656e-06</v>
      </c>
      <c r="C2123" t="inlineStr">
        <is>
          <t>GLO</t>
        </is>
      </c>
      <c r="D2123" t="inlineStr">
        <is>
          <t>kilogram</t>
        </is>
      </c>
      <c r="F2123" t="inlineStr">
        <is>
          <t>technosphere</t>
        </is>
      </c>
      <c r="G2123" t="inlineStr">
        <is>
          <t>refrigerant R134a</t>
        </is>
      </c>
      <c r="I2123">
        <v>0</v>
      </c>
    </row>
    <row r="2124">
      <c r="A2124" t="inlineStr">
        <is>
          <t>treatment of brake wear emissions, lorry</t>
        </is>
      </c>
      <c r="B2124">
        <v>-6.837706254606543e-06</v>
      </c>
      <c r="C2124" t="inlineStr">
        <is>
          <t>RER</t>
        </is>
      </c>
      <c r="D2124" t="inlineStr">
        <is>
          <t>kilogram</t>
        </is>
      </c>
      <c r="F2124" t="inlineStr">
        <is>
          <t>technosphere</t>
        </is>
      </c>
      <c r="G2124" t="inlineStr">
        <is>
          <t>brake wear emissions, lorry</t>
        </is>
      </c>
      <c r="I2124">
        <v>0</v>
      </c>
    </row>
    <row r="2125">
      <c r="A2125" t="inlineStr">
        <is>
          <t>treatment of road wear emissions, lorry</t>
        </is>
      </c>
      <c r="B2125">
        <v>-5.745793792454793e-06</v>
      </c>
      <c r="C2125" t="inlineStr">
        <is>
          <t>RER</t>
        </is>
      </c>
      <c r="D2125" t="inlineStr">
        <is>
          <t>kilogram</t>
        </is>
      </c>
      <c r="F2125" t="inlineStr">
        <is>
          <t>technosphere</t>
        </is>
      </c>
      <c r="G2125" t="inlineStr">
        <is>
          <t>road wear emissions, lorry</t>
        </is>
      </c>
      <c r="I2125">
        <v>0</v>
      </c>
    </row>
    <row r="2126">
      <c r="A2126" t="inlineStr">
        <is>
          <t>treatment of tyre wear emissions, lorry</t>
        </is>
      </c>
      <c r="B2126">
        <v>-5.674001036673323e-06</v>
      </c>
      <c r="C2126" t="inlineStr">
        <is>
          <t>RER</t>
        </is>
      </c>
      <c r="D2126" t="inlineStr">
        <is>
          <t>kilogram</t>
        </is>
      </c>
      <c r="F2126" t="inlineStr">
        <is>
          <t>technosphere</t>
        </is>
      </c>
      <c r="G2126" t="inlineStr">
        <is>
          <t>tyre wear emissions, lorry</t>
        </is>
      </c>
      <c r="I2126">
        <v>0</v>
      </c>
    </row>
    <row r="2127"/>
    <row r="2128">
      <c r="A2128" t="inlineStr">
        <is>
          <t>Activity</t>
        </is>
      </c>
      <c r="B2128" t="inlineStr">
        <is>
          <t>compressed gas, burned in single deck coach or urban bus</t>
        </is>
      </c>
    </row>
    <row r="2129">
      <c r="A2129" t="inlineStr">
        <is>
          <t>comment</t>
        </is>
      </c>
      <c r="B2129"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2130">
      <c r="A2130" t="inlineStr">
        <is>
          <t>description</t>
        </is>
      </c>
      <c r="B213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131">
      <c r="A2131" t="inlineStr">
        <is>
          <t>location</t>
        </is>
      </c>
      <c r="B2131" t="inlineStr">
        <is>
          <t>CH</t>
        </is>
      </c>
    </row>
    <row r="2132">
      <c r="A2132" t="inlineStr">
        <is>
          <t>production amount</t>
        </is>
      </c>
      <c r="B2132">
        <v>1</v>
      </c>
    </row>
    <row r="2133">
      <c r="A2133" t="inlineStr">
        <is>
          <t>reference product</t>
        </is>
      </c>
      <c r="B2133" t="inlineStr">
        <is>
          <t>heat</t>
        </is>
      </c>
    </row>
    <row r="2134">
      <c r="A2134" t="inlineStr">
        <is>
          <t>source</t>
        </is>
      </c>
      <c r="B2134" t="inlineStr">
        <is>
          <t>Sacchi, R., Bauer, C., and Cox, B. Does size matter? The influence of size, load factor, range autonomy and application type on the Life Cycle Assessment of current and future trucks. 2021. Environmental Science and Technology.</t>
        </is>
      </c>
    </row>
    <row r="2135">
      <c r="A2135" t="inlineStr">
        <is>
          <t>type</t>
        </is>
      </c>
      <c r="B2135" t="inlineStr">
        <is>
          <t>process</t>
        </is>
      </c>
    </row>
    <row r="2136">
      <c r="A2136" t="inlineStr">
        <is>
          <t>unit</t>
        </is>
      </c>
      <c r="B2136" t="inlineStr">
        <is>
          <t>megajoule</t>
        </is>
      </c>
    </row>
    <row r="2137">
      <c r="A2137" t="inlineStr">
        <is>
          <t>energy use source</t>
        </is>
      </c>
      <c r="B2137"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 "vehicle per source service": 1.428571428571429e-07}, {"supplier": ["frame, blanks and saddle, for lorry", "frame, blanks and saddle, for lorry", "RER", "kilogram"], "amount per vehicle": 7300, "vehicle per source service": 1.428571428571429e-07}, {"supplier": ["maintenance, bus", "maintenance, bus", "CH", "unit"], "amount per vehicle": 1, "vehicle per source service": 1.428571428571429e-07}, {"supplier": ["other components, for hybrid electric lorry", "other components, for hybrid electric lorry", "RER", "kilogram"], "amount per vehicle": 858, "vehicle per source service": 1.428571428571429e-07}, {"supplier": ["suspension, for lorry", "suspension, for lorry", "RER", "kilogram"], "amount per vehicle": 1762, "vehicle per source service": 1.428571428571429e-07}, {"supplier": ["tires and wheels, for lorry", "tires and wheels, for lorry", "RER", "kilogram"], "amount per vehicle": 576, "vehicle per source service": 1.428571428571429e-07}, {"supplier": ["treatment of used bus", "used bus", "CH", "unit"], "amount per vehicle": -1, "vehicle per source service": 1.428571428571429e-07}, {"supplier": "market for road", "amount per source service": 0.0007063206954764717}, {"supplier": "market for road maintenance", "amount per source service": 0.000129}], "alternative fuel recipe retained": false}</t>
        </is>
      </c>
    </row>
    <row r="2138">
      <c r="A2138" t="inlineStr">
        <is>
          <t>Exchanges</t>
        </is>
      </c>
    </row>
    <row r="2139">
      <c r="A2139" t="inlineStr">
        <is>
          <t>name</t>
        </is>
      </c>
      <c r="B2139" t="inlineStr">
        <is>
          <t>amount</t>
        </is>
      </c>
      <c r="C2139" t="inlineStr">
        <is>
          <t>location</t>
        </is>
      </c>
      <c r="D2139" t="inlineStr">
        <is>
          <t>unit</t>
        </is>
      </c>
      <c r="E2139" t="inlineStr">
        <is>
          <t>categories</t>
        </is>
      </c>
      <c r="F2139" t="inlineStr">
        <is>
          <t>type</t>
        </is>
      </c>
      <c r="G2139" t="inlineStr">
        <is>
          <t>reference product</t>
        </is>
      </c>
      <c r="H2139" t="inlineStr">
        <is>
          <t>comment</t>
        </is>
      </c>
      <c r="I2139" t="inlineStr">
        <is>
          <t>uncertainty type</t>
        </is>
      </c>
    </row>
    <row r="2140">
      <c r="A2140" t="inlineStr">
        <is>
          <t>compressed gas, burned in single deck coach or urban bus</t>
        </is>
      </c>
      <c r="B2140">
        <v>1.0</v>
      </c>
      <c r="C2140" t="inlineStr">
        <is>
          <t>CH</t>
        </is>
      </c>
      <c r="D2140" t="inlineStr">
        <is>
          <t>megajoule</t>
        </is>
      </c>
      <c r="F2140" t="inlineStr">
        <is>
          <t>production</t>
        </is>
      </c>
      <c r="G2140" t="inlineStr">
        <is>
          <t>heat</t>
        </is>
      </c>
      <c r="I2140">
        <v>0</v>
      </c>
    </row>
    <row r="2141">
      <c r="A2141" t="inlineStr">
        <is>
          <t>market for natural gas, medium pressure, vehicle grade</t>
        </is>
      </c>
      <c r="B2141">
        <v>0.02150537634408602</v>
      </c>
      <c r="C2141" t="inlineStr">
        <is>
          <t>GLO</t>
        </is>
      </c>
      <c r="D2141" t="inlineStr">
        <is>
          <t>kilogram</t>
        </is>
      </c>
      <c r="F2141" t="inlineStr">
        <is>
          <t>technosphere</t>
        </is>
      </c>
      <c r="G2141" t="inlineStr">
        <is>
          <t>natural gas, medium pressure, vehicle grade</t>
        </is>
      </c>
      <c r="I2141">
        <v>0</v>
      </c>
    </row>
    <row r="2142">
      <c r="A2142" t="inlineStr">
        <is>
          <t>Acetaldehyde</t>
        </is>
      </c>
      <c r="B2142">
        <v>1.109751604497317e-07</v>
      </c>
      <c r="D2142" t="inlineStr">
        <is>
          <t>kilogram</t>
        </is>
      </c>
      <c r="E2142" t="inlineStr">
        <is>
          <t>air::urban air close to ground</t>
        </is>
      </c>
      <c r="F2142" t="inlineStr">
        <is>
          <t>biosphere</t>
        </is>
      </c>
      <c r="I2142">
        <v>0</v>
      </c>
    </row>
    <row r="2143">
      <c r="A2143" t="inlineStr">
        <is>
          <t>Acrolein</t>
        </is>
      </c>
      <c r="B2143">
        <v>4.298162669497268e-08</v>
      </c>
      <c r="D2143" t="inlineStr">
        <is>
          <t>kilogram</t>
        </is>
      </c>
      <c r="E2143" t="inlineStr">
        <is>
          <t>air::urban air close to ground</t>
        </is>
      </c>
      <c r="F2143" t="inlineStr">
        <is>
          <t>biosphere</t>
        </is>
      </c>
      <c r="I2143">
        <v>0</v>
      </c>
    </row>
    <row r="2144">
      <c r="A2144" t="inlineStr">
        <is>
          <t>Ammonia</t>
        </is>
      </c>
      <c r="B2144">
        <v>1.0745660405694292e-06</v>
      </c>
      <c r="D2144" t="inlineStr">
        <is>
          <t>kilogram</t>
        </is>
      </c>
      <c r="E2144" t="inlineStr">
        <is>
          <t>air::urban air close to ground</t>
        </is>
      </c>
      <c r="F2144" t="inlineStr">
        <is>
          <t>biosphere</t>
        </is>
      </c>
      <c r="I2144">
        <v>0</v>
      </c>
    </row>
    <row r="2145">
      <c r="A2145" t="inlineStr">
        <is>
          <t>Benzaldehyde</t>
        </is>
      </c>
      <c r="B2145">
        <v>3.32682647300071e-08</v>
      </c>
      <c r="D2145" t="inlineStr">
        <is>
          <t>kilogram</t>
        </is>
      </c>
      <c r="E2145" t="inlineStr">
        <is>
          <t>air::urban air close to ground</t>
        </is>
      </c>
      <c r="F2145" t="inlineStr">
        <is>
          <t>biosphere</t>
        </is>
      </c>
      <c r="I2145">
        <v>0</v>
      </c>
    </row>
    <row r="2146">
      <c r="A2146" t="inlineStr">
        <is>
          <t>Butane</t>
        </is>
      </c>
      <c r="B2146">
        <v>3.6425107368620904e-09</v>
      </c>
      <c r="D2146" t="inlineStr">
        <is>
          <t>kilogram</t>
        </is>
      </c>
      <c r="E2146" t="inlineStr">
        <is>
          <t>air::urban air close to ground</t>
        </is>
      </c>
      <c r="F2146" t="inlineStr">
        <is>
          <t>biosphere</t>
        </is>
      </c>
      <c r="I2146">
        <v>0</v>
      </c>
    </row>
    <row r="2147">
      <c r="A2147" t="inlineStr">
        <is>
          <t>Carbon dioxide, fossil</t>
        </is>
      </c>
      <c r="B2147">
        <v>0.05740478943351019</v>
      </c>
      <c r="D2147" t="inlineStr">
        <is>
          <t>kilogram</t>
        </is>
      </c>
      <c r="E2147" t="inlineStr">
        <is>
          <t>air::unspecified</t>
        </is>
      </c>
      <c r="F2147" t="inlineStr">
        <is>
          <t>biosphere</t>
        </is>
      </c>
      <c r="I2147">
        <v>0</v>
      </c>
    </row>
    <row r="2148">
      <c r="A2148" t="inlineStr">
        <is>
          <t>Carbon monoxide, fossil</t>
        </is>
      </c>
      <c r="B2148">
        <v>5.139999781097948e-05</v>
      </c>
      <c r="D2148" t="inlineStr">
        <is>
          <t>kilogram</t>
        </is>
      </c>
      <c r="E2148" t="inlineStr">
        <is>
          <t>air::urban air close to ground</t>
        </is>
      </c>
      <c r="F2148" t="inlineStr">
        <is>
          <t>biosphere</t>
        </is>
      </c>
      <c r="I2148">
        <v>0</v>
      </c>
    </row>
    <row r="2149">
      <c r="A2149" t="inlineStr">
        <is>
          <t>Dinitrogen monoxide</t>
        </is>
      </c>
      <c r="B2149">
        <v>2.4283404912413948e-06</v>
      </c>
      <c r="D2149" t="inlineStr">
        <is>
          <t>kilogram</t>
        </is>
      </c>
      <c r="E2149" t="inlineStr">
        <is>
          <t>air::urban air close to ground</t>
        </is>
      </c>
      <c r="F2149" t="inlineStr">
        <is>
          <t>biosphere</t>
        </is>
      </c>
      <c r="I2149">
        <v>0</v>
      </c>
    </row>
    <row r="2150">
      <c r="A2150" t="inlineStr">
        <is>
          <t>Ethane</t>
        </is>
      </c>
      <c r="B2150">
        <v>7.285021473724182e-10</v>
      </c>
      <c r="D2150" t="inlineStr">
        <is>
          <t>kilogram</t>
        </is>
      </c>
      <c r="E2150" t="inlineStr">
        <is>
          <t>air::urban air close to ground</t>
        </is>
      </c>
      <c r="F2150" t="inlineStr">
        <is>
          <t>biosphere</t>
        </is>
      </c>
      <c r="I2150">
        <v>0</v>
      </c>
    </row>
    <row r="2151">
      <c r="A2151" t="inlineStr">
        <is>
          <t>1,1,1,2-Tetrafluoroethane</t>
        </is>
      </c>
      <c r="B2151">
        <v>1.664477823027126e-06</v>
      </c>
      <c r="D2151" t="inlineStr">
        <is>
          <t>kilogram</t>
        </is>
      </c>
      <c r="E2151" t="inlineStr">
        <is>
          <t>air::unspecified</t>
        </is>
      </c>
      <c r="F2151" t="inlineStr">
        <is>
          <t>biosphere</t>
        </is>
      </c>
      <c r="I2151">
        <v>0</v>
      </c>
    </row>
    <row r="2152">
      <c r="A2152" t="inlineStr">
        <is>
          <t>Formaldehyde</t>
        </is>
      </c>
      <c r="B2152">
        <v>2.0398060126427713e-07</v>
      </c>
      <c r="D2152" t="inlineStr">
        <is>
          <t>kilogram</t>
        </is>
      </c>
      <c r="E2152" t="inlineStr">
        <is>
          <t>air::urban air close to ground</t>
        </is>
      </c>
      <c r="F2152" t="inlineStr">
        <is>
          <t>biosphere</t>
        </is>
      </c>
      <c r="I2152">
        <v>0</v>
      </c>
    </row>
    <row r="2153">
      <c r="A2153" t="inlineStr">
        <is>
          <t>Heptane</t>
        </is>
      </c>
      <c r="B2153">
        <v>7.285021473724182e-09</v>
      </c>
      <c r="D2153" t="inlineStr">
        <is>
          <t>kilogram</t>
        </is>
      </c>
      <c r="E2153" t="inlineStr">
        <is>
          <t>air::urban air close to ground</t>
        </is>
      </c>
      <c r="F2153" t="inlineStr">
        <is>
          <t>biosphere</t>
        </is>
      </c>
      <c r="I2153">
        <v>0</v>
      </c>
    </row>
    <row r="2154">
      <c r="A2154" t="inlineStr">
        <is>
          <t>Hydrocarbons, chlorinated</t>
        </is>
      </c>
      <c r="B2154">
        <v>2.425180577139861e-05</v>
      </c>
      <c r="D2154" t="inlineStr">
        <is>
          <t>kilogram</t>
        </is>
      </c>
      <c r="E2154" t="inlineStr">
        <is>
          <t>air::urban air close to ground</t>
        </is>
      </c>
      <c r="F2154" t="inlineStr">
        <is>
          <t>biosphere</t>
        </is>
      </c>
      <c r="I2154">
        <v>0</v>
      </c>
    </row>
    <row r="2155">
      <c r="A2155" t="inlineStr">
        <is>
          <t>Methane, fossil</t>
        </is>
      </c>
      <c r="B2155">
        <v>2.2311661663762063e-05</v>
      </c>
      <c r="D2155" t="inlineStr">
        <is>
          <t>kilogram</t>
        </is>
      </c>
      <c r="E2155" t="inlineStr">
        <is>
          <t>air::urban air close to ground</t>
        </is>
      </c>
      <c r="F2155" t="inlineStr">
        <is>
          <t>biosphere</t>
        </is>
      </c>
      <c r="I2155">
        <v>0</v>
      </c>
    </row>
    <row r="2156">
      <c r="A2156" t="inlineStr">
        <is>
          <t>Methane, fossil</t>
        </is>
      </c>
      <c r="B2156">
        <v>8.567879426879306e-05</v>
      </c>
      <c r="D2156" t="inlineStr">
        <is>
          <t>kilogram</t>
        </is>
      </c>
      <c r="E2156" t="inlineStr">
        <is>
          <t>air::unspecified</t>
        </is>
      </c>
      <c r="F2156" t="inlineStr">
        <is>
          <t>biosphere</t>
        </is>
      </c>
      <c r="I2156">
        <v>0</v>
      </c>
    </row>
    <row r="2157">
      <c r="A2157" t="inlineStr">
        <is>
          <t>NMVOC, non-methane volatile organic compounds</t>
        </is>
      </c>
      <c r="B2157">
        <v>1.5773374046907533e-06</v>
      </c>
      <c r="D2157" t="inlineStr">
        <is>
          <t>kilogram</t>
        </is>
      </c>
      <c r="E2157" t="inlineStr">
        <is>
          <t>air::urban air close to ground</t>
        </is>
      </c>
      <c r="F2157" t="inlineStr">
        <is>
          <t>biosphere</t>
        </is>
      </c>
      <c r="I2157">
        <v>0</v>
      </c>
    </row>
    <row r="2158">
      <c r="A2158" t="inlineStr">
        <is>
          <t>Nitrogen oxides</t>
        </is>
      </c>
      <c r="B2158">
        <v>9.347478057632093e-05</v>
      </c>
      <c r="D2158" t="inlineStr">
        <is>
          <t>kilogram</t>
        </is>
      </c>
      <c r="E2158" t="inlineStr">
        <is>
          <t>air::urban air close to ground</t>
        </is>
      </c>
      <c r="F2158" t="inlineStr">
        <is>
          <t>biosphere</t>
        </is>
      </c>
      <c r="I2158">
        <v>0</v>
      </c>
    </row>
    <row r="2159">
      <c r="A2159" t="inlineStr">
        <is>
          <t>Particulate Matter, &lt; 2.5 um</t>
        </is>
      </c>
      <c r="B2159">
        <v>4.0106032285058246e-07</v>
      </c>
      <c r="D2159" t="inlineStr">
        <is>
          <t>kilogram</t>
        </is>
      </c>
      <c r="E2159" t="inlineStr">
        <is>
          <t>air::urban air close to ground</t>
        </is>
      </c>
      <c r="F2159" t="inlineStr">
        <is>
          <t>biosphere</t>
        </is>
      </c>
      <c r="I2159">
        <v>0</v>
      </c>
    </row>
    <row r="2160">
      <c r="A2160" t="inlineStr">
        <is>
          <t>Pentane</t>
        </is>
      </c>
      <c r="B2160">
        <v>1.4570042947448357e-09</v>
      </c>
      <c r="D2160" t="inlineStr">
        <is>
          <t>kilogram</t>
        </is>
      </c>
      <c r="E2160" t="inlineStr">
        <is>
          <t>air::urban air close to ground</t>
        </is>
      </c>
      <c r="F2160" t="inlineStr">
        <is>
          <t>biosphere</t>
        </is>
      </c>
      <c r="I2160">
        <v>0</v>
      </c>
    </row>
    <row r="2161">
      <c r="A2161" t="inlineStr">
        <is>
          <t>Propane</t>
        </is>
      </c>
      <c r="B2161">
        <v>2.428340491241394e-09</v>
      </c>
      <c r="D2161" t="inlineStr">
        <is>
          <t>kilogram</t>
        </is>
      </c>
      <c r="E2161" t="inlineStr">
        <is>
          <t>air::urban air close to ground</t>
        </is>
      </c>
      <c r="F2161" t="inlineStr">
        <is>
          <t>biosphere</t>
        </is>
      </c>
      <c r="I2161">
        <v>0</v>
      </c>
    </row>
    <row r="2162">
      <c r="A2162" t="inlineStr">
        <is>
          <t>Styrene</t>
        </is>
      </c>
      <c r="B2162">
        <v>1.3598706750951805e-08</v>
      </c>
      <c r="D2162" t="inlineStr">
        <is>
          <t>kilogram</t>
        </is>
      </c>
      <c r="E2162" t="inlineStr">
        <is>
          <t>air::urban air close to ground</t>
        </is>
      </c>
      <c r="F2162" t="inlineStr">
        <is>
          <t>biosphere</t>
        </is>
      </c>
      <c r="I2162">
        <v>0</v>
      </c>
    </row>
    <row r="2163">
      <c r="A2163" t="inlineStr">
        <is>
          <t>Toluene</t>
        </is>
      </c>
      <c r="B2163">
        <v>2.4283404912413937e-10</v>
      </c>
      <c r="D2163" t="inlineStr">
        <is>
          <t>kilogram</t>
        </is>
      </c>
      <c r="E2163" t="inlineStr">
        <is>
          <t>air::urban air close to ground</t>
        </is>
      </c>
      <c r="F2163" t="inlineStr">
        <is>
          <t>biosphere</t>
        </is>
      </c>
      <c r="I2163">
        <v>0</v>
      </c>
    </row>
    <row r="2164">
      <c r="A2164" t="inlineStr">
        <is>
          <t>m-Xylene</t>
        </is>
      </c>
      <c r="B2164">
        <v>2.379773681416566e-08</v>
      </c>
      <c r="D2164" t="inlineStr">
        <is>
          <t>kilogram</t>
        </is>
      </c>
      <c r="E2164" t="inlineStr">
        <is>
          <t>air::urban air close to ground</t>
        </is>
      </c>
      <c r="F2164" t="inlineStr">
        <is>
          <t>biosphere</t>
        </is>
      </c>
      <c r="I2164">
        <v>0</v>
      </c>
    </row>
    <row r="2165">
      <c r="A2165" t="inlineStr">
        <is>
          <t>o-Xylene</t>
        </is>
      </c>
      <c r="B2165">
        <v>9.713361964965576e-09</v>
      </c>
      <c r="D2165" t="inlineStr">
        <is>
          <t>kilogram</t>
        </is>
      </c>
      <c r="E2165" t="inlineStr">
        <is>
          <t>air::urban air close to ground</t>
        </is>
      </c>
      <c r="F2165" t="inlineStr">
        <is>
          <t>biosphere</t>
        </is>
      </c>
      <c r="I2165">
        <v>0</v>
      </c>
    </row>
    <row r="2166">
      <c r="A2166" t="inlineStr">
        <is>
          <t>fuel tank assembly, compressed natural gas, 200 bar</t>
        </is>
      </c>
      <c r="B2166">
        <v>1.6089533395676763e-05</v>
      </c>
      <c r="C2166" t="inlineStr">
        <is>
          <t>RER</t>
        </is>
      </c>
      <c r="D2166" t="inlineStr">
        <is>
          <t>kilogram</t>
        </is>
      </c>
      <c r="F2166" t="inlineStr">
        <is>
          <t>technosphere</t>
        </is>
      </c>
      <c r="G2166" t="inlineStr">
        <is>
          <t>fuel tank, compressed natural gas, 200 bar</t>
        </is>
      </c>
      <c r="H2166" t="inlineStr">
        <is>
          <t> Energy-use allocation: 154.66264 * 1.428571428571429e-07 / 1.3732320455657014 MJ per person kilometer.</t>
        </is>
      </c>
      <c r="I2166">
        <v>0</v>
      </c>
    </row>
    <row r="2167">
      <c r="A2167" t="inlineStr">
        <is>
          <t>exhaust system, for lorry</t>
        </is>
      </c>
      <c r="B2167">
        <v>1.019492666604115e-05</v>
      </c>
      <c r="C2167" t="inlineStr">
        <is>
          <t>RER</t>
        </is>
      </c>
      <c r="D2167" t="inlineStr">
        <is>
          <t>kilogram</t>
        </is>
      </c>
      <c r="F2167" t="inlineStr">
        <is>
          <t>technosphere</t>
        </is>
      </c>
      <c r="G2167" t="inlineStr">
        <is>
          <t>exhaust system, for lorry</t>
        </is>
      </c>
      <c r="H2167" t="inlineStr">
        <is>
          <t> Energy-use allocation: 98 * 1.428571428571429e-07 / 1.3732320455657014 MJ per person kilometer.</t>
        </is>
      </c>
      <c r="I2167">
        <v>0</v>
      </c>
    </row>
    <row r="2168">
      <c r="A2168" t="inlineStr">
        <is>
          <t>gearbox, for lorry</t>
        </is>
      </c>
      <c r="B2168">
        <v>1.639593866000859e-05</v>
      </c>
      <c r="C2168" t="inlineStr">
        <is>
          <t>RER</t>
        </is>
      </c>
      <c r="D2168" t="inlineStr">
        <is>
          <t>kilogram</t>
        </is>
      </c>
      <c r="F2168" t="inlineStr">
        <is>
          <t>technosphere</t>
        </is>
      </c>
      <c r="G2168" t="inlineStr">
        <is>
          <t>gearbox, for lorry</t>
        </is>
      </c>
      <c r="H2168" t="inlineStr">
        <is>
          <t> Energy-use allocation: 157.6079986953735 * 1.428571428571429e-07 / 1.3732320455657014 MJ per person kilometer.</t>
        </is>
      </c>
      <c r="I2168">
        <v>0</v>
      </c>
    </row>
    <row r="2169">
      <c r="A2169" t="inlineStr">
        <is>
          <t>internal combustion engine, for lorry</t>
        </is>
      </c>
      <c r="B2169">
        <v>7.877413170343471e-05</v>
      </c>
      <c r="C2169" t="inlineStr">
        <is>
          <t>RER</t>
        </is>
      </c>
      <c r="D2169" t="inlineStr">
        <is>
          <t>kilogram</t>
        </is>
      </c>
      <c r="F2169" t="inlineStr">
        <is>
          <t>technosphere</t>
        </is>
      </c>
      <c r="G2169" t="inlineStr">
        <is>
          <t>internal combustion engine, for lorry</t>
        </is>
      </c>
      <c r="H2169" t="inlineStr">
        <is>
          <t> Energy-use allocation: 757.2261341173871 * 1.428571428571429e-07 / 1.3732320455657014 MJ per person kilometer.</t>
        </is>
      </c>
      <c r="I2169">
        <v>0</v>
      </c>
    </row>
    <row r="2170">
      <c r="A2170" t="inlineStr">
        <is>
          <t>power electronics, for lorry</t>
        </is>
      </c>
      <c r="B2170">
        <v>1.903746510087276e-05</v>
      </c>
      <c r="C2170" t="inlineStr">
        <is>
          <t>RER</t>
        </is>
      </c>
      <c r="D2170" t="inlineStr">
        <is>
          <t>kilogram</t>
        </is>
      </c>
      <c r="F2170" t="inlineStr">
        <is>
          <t>technosphere</t>
        </is>
      </c>
      <c r="G2170" t="inlineStr">
        <is>
          <t>power electronics, for lorry</t>
        </is>
      </c>
      <c r="H2170" t="inlineStr">
        <is>
          <t> Energy-use allocation: 183 * 1.428571428571429e-07 / 1.3732320455657014 MJ per person kilometer.</t>
        </is>
      </c>
      <c r="I2170">
        <v>0</v>
      </c>
    </row>
    <row r="2171">
      <c r="A2171" t="inlineStr">
        <is>
          <t>retarder, for lorry</t>
        </is>
      </c>
      <c r="B2171">
        <v>5.465312886669532e-06</v>
      </c>
      <c r="C2171" t="inlineStr">
        <is>
          <t>RER</t>
        </is>
      </c>
      <c r="D2171" t="inlineStr">
        <is>
          <t>kilogram</t>
        </is>
      </c>
      <c r="F2171" t="inlineStr">
        <is>
          <t>technosphere</t>
        </is>
      </c>
      <c r="G2171" t="inlineStr">
        <is>
          <t>retarder, for lorry</t>
        </is>
      </c>
      <c r="H2171" t="inlineStr">
        <is>
          <t> Energy-use allocation: 52.53599956512451 * 1.428571428571429e-07 / 1.3732320455657014 MJ per person kilometer.</t>
        </is>
      </c>
      <c r="I2171">
        <v>0</v>
      </c>
    </row>
    <row r="2172">
      <c r="A2172" t="inlineStr">
        <is>
          <t>transmission, for lorry</t>
        </is>
      </c>
      <c r="B2172">
        <v>2.3683022508901298e-05</v>
      </c>
      <c r="C2172" t="inlineStr">
        <is>
          <t>RER</t>
        </is>
      </c>
      <c r="D2172" t="inlineStr">
        <is>
          <t>kilogram</t>
        </is>
      </c>
      <c r="F2172" t="inlineStr">
        <is>
          <t>technosphere</t>
        </is>
      </c>
      <c r="G2172" t="inlineStr">
        <is>
          <t>transmission, for lorry</t>
        </is>
      </c>
      <c r="H2172" t="inlineStr">
        <is>
          <t> Energy-use allocation: 227.6559981155395 * 1.428571428571429e-07 / 1.3732320455657014 MJ per person kilometer.</t>
        </is>
      </c>
      <c r="I2172">
        <v>0</v>
      </c>
    </row>
    <row r="2173">
      <c r="A2173" t="inlineStr">
        <is>
          <t>market for refrigerant R134a</t>
        </is>
      </c>
      <c r="B2173">
        <v>2.4447018025710913e-06</v>
      </c>
      <c r="C2173" t="inlineStr">
        <is>
          <t>GLO</t>
        </is>
      </c>
      <c r="D2173" t="inlineStr">
        <is>
          <t>kilogram</t>
        </is>
      </c>
      <c r="F2173" t="inlineStr">
        <is>
          <t>technosphere</t>
        </is>
      </c>
      <c r="G2173" t="inlineStr">
        <is>
          <t>refrigerant R134a</t>
        </is>
      </c>
      <c r="I2173">
        <v>0</v>
      </c>
    </row>
    <row r="2174">
      <c r="A2174" t="inlineStr">
        <is>
          <t>treatment of brake wear emissions, lorry</t>
        </is>
      </c>
      <c r="B2174">
        <v>-6.869912841974368e-06</v>
      </c>
      <c r="C2174" t="inlineStr">
        <is>
          <t>RER</t>
        </is>
      </c>
      <c r="D2174" t="inlineStr">
        <is>
          <t>kilogram</t>
        </is>
      </c>
      <c r="F2174" t="inlineStr">
        <is>
          <t>technosphere</t>
        </is>
      </c>
      <c r="G2174" t="inlineStr">
        <is>
          <t>brake wear emissions, lorry</t>
        </is>
      </c>
      <c r="I2174">
        <v>0</v>
      </c>
    </row>
    <row r="2175">
      <c r="A2175" t="inlineStr">
        <is>
          <t>treatment of road wear emissions, lorry</t>
        </is>
      </c>
      <c r="B2175">
        <v>-5.779482396303892e-06</v>
      </c>
      <c r="C2175" t="inlineStr">
        <is>
          <t>RER</t>
        </is>
      </c>
      <c r="D2175" t="inlineStr">
        <is>
          <t>kilogram</t>
        </is>
      </c>
      <c r="F2175" t="inlineStr">
        <is>
          <t>technosphere</t>
        </is>
      </c>
      <c r="G2175" t="inlineStr">
        <is>
          <t>road wear emissions, lorry</t>
        </is>
      </c>
      <c r="I2175">
        <v>0</v>
      </c>
    </row>
    <row r="2176">
      <c r="A2176" t="inlineStr">
        <is>
          <t>treatment of tyre wear emissions, lorry</t>
        </is>
      </c>
      <c r="B2176">
        <v>-5.699427716395153e-06</v>
      </c>
      <c r="C2176" t="inlineStr">
        <is>
          <t>RER</t>
        </is>
      </c>
      <c r="D2176" t="inlineStr">
        <is>
          <t>kilogram</t>
        </is>
      </c>
      <c r="F2176" t="inlineStr">
        <is>
          <t>technosphere</t>
        </is>
      </c>
      <c r="G2176" t="inlineStr">
        <is>
          <t>tyre wear emissions, lorry</t>
        </is>
      </c>
      <c r="I2176">
        <v>0</v>
      </c>
    </row>
    <row r="2177"/>
    <row r="2178">
      <c r="A2178" t="inlineStr">
        <is>
          <t>Activity</t>
        </is>
      </c>
      <c r="B2178" t="inlineStr">
        <is>
          <t>electricity, used in single deck coach or urban bus</t>
        </is>
      </c>
    </row>
    <row r="2179">
      <c r="A2179" t="inlineStr">
        <is>
          <t>comment</t>
        </is>
      </c>
      <c r="B2179" t="inlineStr">
        <is>
          <t>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2180">
      <c r="A2180" t="inlineStr">
        <is>
          <t>description</t>
        </is>
      </c>
      <c r="B218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181">
      <c r="A2181" t="inlineStr">
        <is>
          <t>location</t>
        </is>
      </c>
      <c r="B2181" t="inlineStr">
        <is>
          <t>CH</t>
        </is>
      </c>
    </row>
    <row r="2182">
      <c r="A2182" t="inlineStr">
        <is>
          <t>production amount</t>
        </is>
      </c>
      <c r="B2182">
        <v>1</v>
      </c>
    </row>
    <row r="2183">
      <c r="A2183" t="inlineStr">
        <is>
          <t>reference product</t>
        </is>
      </c>
      <c r="B2183" t="inlineStr">
        <is>
          <t>electricity, low voltage</t>
        </is>
      </c>
    </row>
    <row r="2184">
      <c r="A2184" t="inlineStr">
        <is>
          <t>source</t>
        </is>
      </c>
      <c r="B2184" t="inlineStr">
        <is>
          <t>Sacchi, R., Bauer, C., and Cox, B. Does size matter? The influence of size, load factor, range autonomy and application type on the Life Cycle Assessment of current and future trucks. 2021. Environmental Science and Technology.</t>
        </is>
      </c>
    </row>
    <row r="2185">
      <c r="A2185" t="inlineStr">
        <is>
          <t>type</t>
        </is>
      </c>
      <c r="B2185" t="inlineStr">
        <is>
          <t>process</t>
        </is>
      </c>
    </row>
    <row r="2186">
      <c r="A2186" t="inlineStr">
        <is>
          <t>unit</t>
        </is>
      </c>
      <c r="B2186" t="inlineStr">
        <is>
          <t>megajoule</t>
        </is>
      </c>
    </row>
    <row r="2187">
      <c r="A2187" t="inlineStr">
        <is>
          <t>energy use source</t>
        </is>
      </c>
      <c r="B2187"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["market for converter, for electric passenger car", "converter, for electric passenger car", "GLO", "kilogram"], "amount per vehicle": 25, "vehicle per source service": 1.428571428571429e-07, "replacement correction factor": 1.0, "amount per MJ": 4.70255175861621e-06}, {"supplier": ["market for electric motor, electric passenger car", "electric motor, electric passenger car",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["market for power distribution unit, for electric passenger car", "power distribution unit, for electric passenger car", "GLO", "kilogram"], "amount per vehicle": 36, "vehicle per source service": 1.428571428571429e-07, "replacement correction factor": 1.0, "amount per MJ": 6.771674532407343e-06}, {"supplier": ["power electronics, for lorry", "power electronics, for lorry", "RER", "kilogram"], "amount per vehicle": 183, "vehicle per source service": 1.428571428571429e-07, "replacement correction factor": 1.0, "amount per MJ": 3.442267887307066e-05},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14070, "vehicle per source service": 1.428571428571429e-07}, {"supplier": ["frame, blanks and saddle, for lorry", "frame, blanks and saddle, for lorry", "RER", "kilogram"], "amount per vehicle": 7300, "vehicle per source service": 1.428571428571429e-07}, {"supplier": ["maintenance, bus", "maintenance, bus", "CH", "unit"], "amount per vehicle": 1,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 "vehicle per source service": 1.428571428571429e-07}, {"supplier": ["suspension, for lorry", "suspension, for lorry", "RER", "kilogram"], "amount per vehicle": 1762, "vehicle per source service": 1.428571428571429e-07}, {"supplier": ["tires and wheels, for lorry", "tires and wheels, for lorry", "RER", "kilogram"], "amount per vehicle": 576, "vehicle per source service": 1.428571428571429e-07}, {"supplier": ["treatment of used bus", "used bus", "CH", "unit"], "amount per vehicle": -1, "vehicle per source service": 1.428571428571429e-07}, {"supplier": "market for road", "amount per source service": 0.0008049741319762514}, {"supplier": "market for road maintenance", "amount per source service": 0.000129}], "alternative fuel recipe retained": false}</t>
        </is>
      </c>
    </row>
    <row r="2188">
      <c r="A2188" t="inlineStr">
        <is>
          <t>Exchanges</t>
        </is>
      </c>
    </row>
    <row r="2189">
      <c r="A2189" t="inlineStr">
        <is>
          <t>name</t>
        </is>
      </c>
      <c r="B2189" t="inlineStr">
        <is>
          <t>amount</t>
        </is>
      </c>
      <c r="C2189" t="inlineStr">
        <is>
          <t>location</t>
        </is>
      </c>
      <c r="D2189" t="inlineStr">
        <is>
          <t>unit</t>
        </is>
      </c>
      <c r="E2189" t="inlineStr">
        <is>
          <t>categories</t>
        </is>
      </c>
      <c r="F2189" t="inlineStr">
        <is>
          <t>type</t>
        </is>
      </c>
      <c r="G2189" t="inlineStr">
        <is>
          <t>reference product</t>
        </is>
      </c>
      <c r="H2189" t="inlineStr">
        <is>
          <t>comment</t>
        </is>
      </c>
      <c r="I2189" t="inlineStr">
        <is>
          <t>uncertainty type</t>
        </is>
      </c>
    </row>
    <row r="2190">
      <c r="A2190" t="inlineStr">
        <is>
          <t>electricity, used in single deck coach or urban bus</t>
        </is>
      </c>
      <c r="B2190">
        <v>1.0</v>
      </c>
      <c r="C2190" t="inlineStr">
        <is>
          <t>CH</t>
        </is>
      </c>
      <c r="D2190" t="inlineStr">
        <is>
          <t>megajoule</t>
        </is>
      </c>
      <c r="F2190" t="inlineStr">
        <is>
          <t>production</t>
        </is>
      </c>
      <c r="G2190" t="inlineStr">
        <is>
          <t>electricity, low voltage</t>
        </is>
      </c>
      <c r="I2190">
        <v>0</v>
      </c>
    </row>
    <row r="2191">
      <c r="A2191" t="inlineStr">
        <is>
          <t>market group for electricity, low voltage</t>
        </is>
      </c>
      <c r="B2191">
        <v>0.2777777777777778</v>
      </c>
      <c r="C2191" t="inlineStr">
        <is>
          <t>RER</t>
        </is>
      </c>
      <c r="D2191" t="inlineStr">
        <is>
          <t>kilowatt hour</t>
        </is>
      </c>
      <c r="F2191" t="inlineStr">
        <is>
          <t>technosphere</t>
        </is>
      </c>
      <c r="G2191" t="inlineStr">
        <is>
          <t>electricity, low voltage</t>
        </is>
      </c>
      <c r="I2191">
        <v>0</v>
      </c>
    </row>
    <row r="2192">
      <c r="A2192" t="inlineStr">
        <is>
          <t>1,1,1,2-Tetrafluoroethane</t>
        </is>
      </c>
      <c r="B2192">
        <v>3.009633125514374e-06</v>
      </c>
      <c r="D2192" t="inlineStr">
        <is>
          <t>kilogram</t>
        </is>
      </c>
      <c r="E2192" t="inlineStr">
        <is>
          <t>air::unspecified</t>
        </is>
      </c>
      <c r="F2192" t="inlineStr">
        <is>
          <t>biosphere</t>
        </is>
      </c>
      <c r="I2192">
        <v>0</v>
      </c>
    </row>
    <row r="2193">
      <c r="A2193" t="inlineStr">
        <is>
          <t>EV charger, level 3, plugin, 200 kW</t>
        </is>
      </c>
      <c r="B2193">
        <v>5.486310385052244e-08</v>
      </c>
      <c r="C2193" t="inlineStr">
        <is>
          <t>RER</t>
        </is>
      </c>
      <c r="D2193" t="inlineStr">
        <is>
          <t>unit</t>
        </is>
      </c>
      <c r="F2193" t="inlineStr">
        <is>
          <t>technosphere</t>
        </is>
      </c>
      <c r="G2193" t="inlineStr">
        <is>
          <t>EV charger, level 3, plugin, 200 kW</t>
        </is>
      </c>
      <c r="I2193">
        <v>0</v>
      </c>
    </row>
    <row r="2194">
      <c r="A2194" t="inlineStr">
        <is>
          <t>market for battery capacity (MIX scenario)</t>
        </is>
      </c>
      <c r="B2194">
        <v>7.505272606751472e-05</v>
      </c>
      <c r="C2194" t="inlineStr">
        <is>
          <t>GLO</t>
        </is>
      </c>
      <c r="D2194" t="inlineStr">
        <is>
          <t>kilowatt hour</t>
        </is>
      </c>
      <c r="F2194" t="inlineStr">
        <is>
          <t>technosphere</t>
        </is>
      </c>
      <c r="G2194" t="inlineStr">
        <is>
          <t>electricity storage capacity</t>
        </is>
      </c>
      <c r="H2194" t="inlineStr">
        <is>
          <t> Energy-use allocation: 399 * 1.428571428571429e-07 / 0.7594660845326908 MJ per person kilometer.</t>
        </is>
      </c>
      <c r="I2194">
        <v>0</v>
      </c>
    </row>
    <row r="2195">
      <c r="A2195" t="inlineStr">
        <is>
          <t>gearbox, for lorry</t>
        </is>
      </c>
      <c r="B2195">
        <v>2.9646390857476403e-05</v>
      </c>
      <c r="C2195" t="inlineStr">
        <is>
          <t>RER</t>
        </is>
      </c>
      <c r="D2195" t="inlineStr">
        <is>
          <t>kilogram</t>
        </is>
      </c>
      <c r="F2195" t="inlineStr">
        <is>
          <t>technosphere</t>
        </is>
      </c>
      <c r="G2195" t="inlineStr">
        <is>
          <t>gearbox, for lorry</t>
        </is>
      </c>
      <c r="H2195" t="inlineStr">
        <is>
          <t> Energy-use allocation: 157.6079986953735 * 1.428571428571429e-07 / 0.7594660845326908 MJ per person kilometer.</t>
        </is>
      </c>
      <c r="I2195">
        <v>0</v>
      </c>
    </row>
    <row r="2196">
      <c r="A2196" t="inlineStr">
        <is>
          <t>market for converter, for electric passenger car</t>
        </is>
      </c>
      <c r="B2196">
        <v>4.70255175861621e-06</v>
      </c>
      <c r="C2196" t="inlineStr">
        <is>
          <t>GLO</t>
        </is>
      </c>
      <c r="D2196" t="inlineStr">
        <is>
          <t>kilogram</t>
        </is>
      </c>
      <c r="F2196" t="inlineStr">
        <is>
          <t>technosphere</t>
        </is>
      </c>
      <c r="G2196" t="inlineStr">
        <is>
          <t>converter, for electric passenger car</t>
        </is>
      </c>
      <c r="H2196" t="inlineStr">
        <is>
          <t> Energy-use allocation: 25 * 1.428571428571429e-07 / 0.7594660845326908 MJ per person kilometer.</t>
        </is>
      </c>
      <c r="I2196">
        <v>0</v>
      </c>
    </row>
    <row r="2197">
      <c r="A2197" t="inlineStr">
        <is>
          <t>market for electric motor, electric passenger car</t>
        </is>
      </c>
      <c r="B2197">
        <v>1.632089456252256e-05</v>
      </c>
      <c r="C2197" t="inlineStr">
        <is>
          <t>GLO</t>
        </is>
      </c>
      <c r="D2197" t="inlineStr">
        <is>
          <t>kilogram</t>
        </is>
      </c>
      <c r="F2197" t="inlineStr">
        <is>
          <t>technosphere</t>
        </is>
      </c>
      <c r="G2197" t="inlineStr">
        <is>
          <t>electric motor, electric passenger car</t>
        </is>
      </c>
      <c r="H2197" t="inlineStr">
        <is>
          <t> Energy-use allocation: 86.76616122628923 * 1.428571428571429e-07 / 0.7594660845326908 MJ per person kilometer.</t>
        </is>
      </c>
      <c r="I2197">
        <v>0</v>
      </c>
    </row>
    <row r="2198">
      <c r="A2198" t="inlineStr">
        <is>
          <t>market for inverter, for electric passenger car</t>
        </is>
      </c>
      <c r="B2198">
        <v>2.3843425590101327e-06</v>
      </c>
      <c r="C2198" t="inlineStr">
        <is>
          <t>GLO</t>
        </is>
      </c>
      <c r="D2198" t="inlineStr">
        <is>
          <t>kilogram</t>
        </is>
      </c>
      <c r="F2198" t="inlineStr">
        <is>
          <t>technosphere</t>
        </is>
      </c>
      <c r="G2198" t="inlineStr">
        <is>
          <t>inverter, for electric passenger car</t>
        </is>
      </c>
      <c r="H2198" t="inlineStr">
        <is>
          <t> Energy-use allocation: 12.67579115233257 * 1.428571428571429e-07 / 0.7594660845326908 MJ per person kilometer.</t>
        </is>
      </c>
      <c r="I2198">
        <v>0</v>
      </c>
    </row>
    <row r="2199">
      <c r="A2199" t="inlineStr">
        <is>
          <t>market for power distribution unit, for electric passenger car</t>
        </is>
      </c>
      <c r="B2199">
        <v>6.771674532407343e-06</v>
      </c>
      <c r="C2199" t="inlineStr">
        <is>
          <t>GLO</t>
        </is>
      </c>
      <c r="D2199" t="inlineStr">
        <is>
          <t>kilogram</t>
        </is>
      </c>
      <c r="F2199" t="inlineStr">
        <is>
          <t>technosphere</t>
        </is>
      </c>
      <c r="G2199" t="inlineStr">
        <is>
          <t>power distribution unit, for electric passenger car</t>
        </is>
      </c>
      <c r="H2199" t="inlineStr">
        <is>
          <t> Energy-use allocation: 36 * 1.428571428571429e-07 / 0.7594660845326908 MJ per person kilometer.</t>
        </is>
      </c>
      <c r="I2199">
        <v>0</v>
      </c>
    </row>
    <row r="2200">
      <c r="A2200" t="inlineStr">
        <is>
          <t>power electronics, for lorry</t>
        </is>
      </c>
      <c r="B2200">
        <v>3.442267887307066e-05</v>
      </c>
      <c r="C2200" t="inlineStr">
        <is>
          <t>RER</t>
        </is>
      </c>
      <c r="D2200" t="inlineStr">
        <is>
          <t>kilogram</t>
        </is>
      </c>
      <c r="F2200" t="inlineStr">
        <is>
          <t>technosphere</t>
        </is>
      </c>
      <c r="G2200" t="inlineStr">
        <is>
          <t>power electronics, for lorry</t>
        </is>
      </c>
      <c r="H2200" t="inlineStr">
        <is>
          <t> Energy-use allocation: 183 * 1.428571428571429e-07 / 0.7594660845326908 MJ per person kilometer.</t>
        </is>
      </c>
      <c r="I2200">
        <v>0</v>
      </c>
    </row>
    <row r="2201">
      <c r="A2201" t="inlineStr">
        <is>
          <t>retarder, for lorry</t>
        </is>
      </c>
      <c r="B2201">
        <v>9.88213028582547e-06</v>
      </c>
      <c r="C2201" t="inlineStr">
        <is>
          <t>RER</t>
        </is>
      </c>
      <c r="D2201" t="inlineStr">
        <is>
          <t>kilogram</t>
        </is>
      </c>
      <c r="F2201" t="inlineStr">
        <is>
          <t>technosphere</t>
        </is>
      </c>
      <c r="G2201" t="inlineStr">
        <is>
          <t>retarder, for lorry</t>
        </is>
      </c>
      <c r="H2201" t="inlineStr">
        <is>
          <t> Energy-use allocation: 52.53599956512451 * 1.428571428571429e-07 / 0.7594660845326908 MJ per person kilometer.</t>
        </is>
      </c>
      <c r="I2201">
        <v>0</v>
      </c>
    </row>
    <row r="2202">
      <c r="A2202" t="inlineStr">
        <is>
          <t>transmission, for lorry</t>
        </is>
      </c>
      <c r="B2202">
        <v>4.282256457191035e-05</v>
      </c>
      <c r="C2202" t="inlineStr">
        <is>
          <t>RER</t>
        </is>
      </c>
      <c r="D2202" t="inlineStr">
        <is>
          <t>kilogram</t>
        </is>
      </c>
      <c r="F2202" t="inlineStr">
        <is>
          <t>technosphere</t>
        </is>
      </c>
      <c r="G2202" t="inlineStr">
        <is>
          <t>transmission, for lorry</t>
        </is>
      </c>
      <c r="H2202" t="inlineStr">
        <is>
          <t> Energy-use allocation: 227.6559981155395 * 1.428571428571429e-07 / 0.7594660845326908 MJ per person kilometer.</t>
        </is>
      </c>
      <c r="I2202">
        <v>0</v>
      </c>
    </row>
    <row r="2203">
      <c r="A2203" t="inlineStr">
        <is>
          <t>market for refrigerant R134a</t>
        </is>
      </c>
      <c r="B2203">
        <v>4.420398653099236e-06</v>
      </c>
      <c r="C2203" t="inlineStr">
        <is>
          <t>GLO</t>
        </is>
      </c>
      <c r="D2203" t="inlineStr">
        <is>
          <t>kilogram</t>
        </is>
      </c>
      <c r="F2203" t="inlineStr">
        <is>
          <t>technosphere</t>
        </is>
      </c>
      <c r="G2203" t="inlineStr">
        <is>
          <t>refrigerant R134a</t>
        </is>
      </c>
      <c r="I2203">
        <v>0</v>
      </c>
    </row>
    <row r="2204">
      <c r="A2204" t="inlineStr">
        <is>
          <t>treatment of brake wear emissions, lorry</t>
        </is>
      </c>
      <c r="B2204">
        <v>-6.472006126812549e-06</v>
      </c>
      <c r="C2204" t="inlineStr">
        <is>
          <t>RER</t>
        </is>
      </c>
      <c r="D2204" t="inlineStr">
        <is>
          <t>kilogram</t>
        </is>
      </c>
      <c r="F2204" t="inlineStr">
        <is>
          <t>technosphere</t>
        </is>
      </c>
      <c r="G2204" t="inlineStr">
        <is>
          <t>brake wear emissions, lorry</t>
        </is>
      </c>
      <c r="I2204">
        <v>0</v>
      </c>
    </row>
    <row r="2205">
      <c r="A2205" t="inlineStr">
        <is>
          <t>treatment of road wear emissions, lorry</t>
        </is>
      </c>
      <c r="B2205">
        <v>-1.1565437032804032e-05</v>
      </c>
      <c r="C2205" t="inlineStr">
        <is>
          <t>RER</t>
        </is>
      </c>
      <c r="D2205" t="inlineStr">
        <is>
          <t>kilogram</t>
        </is>
      </c>
      <c r="F2205" t="inlineStr">
        <is>
          <t>technosphere</t>
        </is>
      </c>
      <c r="G2205" t="inlineStr">
        <is>
          <t>road wear emissions, lorry</t>
        </is>
      </c>
      <c r="I2205">
        <v>0</v>
      </c>
    </row>
    <row r="2206">
      <c r="A2206" t="inlineStr">
        <is>
          <t>treatment of tyre wear emissions, lorry</t>
        </is>
      </c>
      <c r="B2206">
        <v>-1.1223374086581164e-05</v>
      </c>
      <c r="C2206" t="inlineStr">
        <is>
          <t>RER</t>
        </is>
      </c>
      <c r="D2206" t="inlineStr">
        <is>
          <t>kilogram</t>
        </is>
      </c>
      <c r="F2206" t="inlineStr">
        <is>
          <t>technosphere</t>
        </is>
      </c>
      <c r="G2206" t="inlineStr">
        <is>
          <t>tyre wear emissions, lorry</t>
        </is>
      </c>
      <c r="I2206">
        <v>0</v>
      </c>
    </row>
    <row r="2207"/>
    <row r="2208" spans="1:10" ht="16" ns3:dyDescent="0.2">
      <c r="A2208" s="1" t="s">
        <v>0</v>
      </c>
      <c r="B2208" s="1" t="s">
        <v>417</v>
      </c>
    </row>
    <row r="2209" spans="1:10" ns3:dyDescent="0.2">
      <c r="A2209" t="s">
        <v>9</v>
      </c>
      <c r="B2209" t="s">
        <v>16</v>
      </c>
    </row>
    <row r="2210" spans="1:10" ns3:dyDescent="0.2">
      <c r="A2210" t="s">
        <v>396</v>
      </c>
      <c r="B2210" t="s">
        <v>465</v>
      </c>
    </row>
    <row r="2211" spans="1:10" ns3:dyDescent="0.2">
      <c r="A2211" t="s">
        <v>1</v>
      </c>
      <c r="B2211" t="s">
        <v>103</v>
      </c>
    </row>
    <row r="2212" spans="1:10" ns3:dyDescent="0.2">
      <c r="A2212" t="s">
        <v>2</v>
      </c>
      <c r="B2212">
        <v>1</v>
      </c>
    </row>
    <row r="2213" spans="1:10" ns3:dyDescent="0.2">
      <c r="A2213" t="s">
        <v>3</v>
      </c>
      <c r="B2213" t="s">
        <v>417</v>
      </c>
    </row>
    <row r="2214" spans="1:10" ns3:dyDescent="0.2">
      <c r="A2214" t="s">
        <v>8</v>
      </c>
      <c r="B2214" t="s">
        <v>466</v>
      </c>
    </row>
    <row r="2215" spans="1:8" ns3:dyDescent="0.2">
      <c r="A2215" t="s">
        <v>397</v>
      </c>
      <c r="B2215" t="s">
        <v>16</v>
      </c>
    </row>
    <row r="2216" spans="1:8" ns3:dyDescent="0.2">
      <c r="A2216" t="s">
        <v>4</v>
      </c>
      <c r="B2216" t="s">
        <v>5</v>
      </c>
    </row>
    <row r="2217" spans="1:8" ns3:dyDescent="0.2">
      <c r="A2217" t="s">
        <v>6</v>
      </c>
      <c r="B2217" t="s">
        <v>6</v>
      </c>
    </row>
    <row r="2218" spans="1:8" ht="16" ns3:dyDescent="0.2">
      <c r="A2218" s="1" t="s">
        <v>10</v>
      </c>
      <c r="B2218"/>
    </row>
    <row r="2219" spans="1:8" ns3:dyDescent="0.2">
      <c r="A2219" t="s">
        <v>11</v>
      </c>
      <c r="B2219" t="s">
        <v>12</v>
      </c>
      <c r="C2219" t="s">
        <v>116</v>
      </c>
      <c r="D2219" t="s">
        <v>1</v>
      </c>
      <c r="E2219" t="s">
        <v>6</v>
      </c>
      <c r="F2219" t="s">
        <v>4</v>
      </c>
      <c r="G2219" t="s">
        <v>3</v>
      </c>
      <c r="H2219" t="s">
        <v>409</v>
      </c>
    </row>
    <row r="2220" spans="1:8" ns3:dyDescent="0.2">
      <c r="A2220" t="s">
        <v>417</v>
      </c>
      <c r="B2220">
        <v>1</v>
      </c>
      <c r="C2220" t="s">
        <v>410</v>
      </c>
      <c r="D2220" t="s">
        <v>103</v>
      </c>
      <c r="E2220" t="s">
        <v>6</v>
      </c>
      <c r="F2220" t="s">
        <v>15</v>
      </c>
      <c r="G2220" t="s">
        <v>417</v>
      </c>
      <c r="H2220" t="s">
        <v>411</v>
      </c>
    </row>
    <row r="2221" spans="1:8" ns3:dyDescent="0.2">
      <c r="A2221" t="s">
        <v>464</v>
      </c>
      <c r="B2221">
        <v>4.3</v>
      </c>
      <c r="C2221" t="s">
        <v>410</v>
      </c>
      <c r="D2221" t="s">
        <v>103</v>
      </c>
      <c r="E2221" t="s">
        <v>6</v>
      </c>
      <c r="F2221" t="s">
        <v>18</v>
      </c>
      <c r="G2221" t="s">
        <v>464</v>
      </c>
      <c r="H2221" t="s">
        <v>411</v>
      </c>
    </row>
    <row r="2222" spans="1:8" ns3:dyDescent="0.2">
      <c r="A2222" t="s">
        <v>467</v>
      </c>
      <c r="B2222">
        <v>1</v>
      </c>
      <c r="C2222" t="s">
        <v>410</v>
      </c>
      <c r="D2222" t="s">
        <v>103</v>
      </c>
      <c r="E2222" t="s">
        <v>6</v>
      </c>
      <c r="F2222" t="s">
        <v>18</v>
      </c>
      <c r="G2222" t="s">
        <v>467</v>
      </c>
      <c r="H2222" t="s">
        <v>411</v>
      </c>
    </row>
    <row r="2223" spans="1:8" ns3:dyDescent="0.2">
      <c r="A2223" t="s">
        <v>468</v>
      </c>
      <c r="B2223">
        <v>1</v>
      </c>
      <c r="C2223" t="s">
        <v>410</v>
      </c>
      <c r="D2223" t="s">
        <v>103</v>
      </c>
      <c r="E2223" t="s">
        <v>6</v>
      </c>
      <c r="F2223" t="s">
        <v>18</v>
      </c>
      <c r="G2223" t="s">
        <v>468</v>
      </c>
      <c r="H2223" t="s">
        <v>411</v>
      </c>
    </row>
    <row r="2224" spans="1:8" ns3:dyDescent="0.2">
      <c r="B2224"/>
    </row>
    <row r="2225">
      <c r="A2225" t="inlineStr">
        <is>
          <t>Activity</t>
        </is>
      </c>
      <c r="B2225" t="inlineStr">
        <is>
          <t>hydrogen, used in single deck coach or urban bus</t>
        </is>
      </c>
    </row>
    <row r="2226">
      <c r="A2226" t="inlineStr">
        <is>
          <t>comment</t>
        </is>
      </c>
      <c r="B2226" t="inlineStr">
        <is>
          <t>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2227">
      <c r="A2227" t="inlineStr">
        <is>
          <t>description</t>
        </is>
      </c>
      <c r="B222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228">
      <c r="A2228" t="inlineStr">
        <is>
          <t>location</t>
        </is>
      </c>
      <c r="B2228" t="inlineStr">
        <is>
          <t>CH</t>
        </is>
      </c>
    </row>
    <row r="2229">
      <c r="A2229" t="inlineStr">
        <is>
          <t>production amount</t>
        </is>
      </c>
      <c r="B2229">
        <v>1</v>
      </c>
    </row>
    <row r="2230">
      <c r="A2230" t="inlineStr">
        <is>
          <t>reference product</t>
        </is>
      </c>
      <c r="B2230" t="inlineStr">
        <is>
          <t>heat</t>
        </is>
      </c>
    </row>
    <row r="2231">
      <c r="A2231" t="inlineStr">
        <is>
          <t>source</t>
        </is>
      </c>
      <c r="B2231" t="inlineStr">
        <is>
          <t>Sacchi, R., Bauer, C., and Cox, B. Does size matter? The influence of size, load factor, range autonomy and application type on the Life Cycle Assessment of current and future trucks. 2021. Environmental Science and Technology.</t>
        </is>
      </c>
    </row>
    <row r="2232">
      <c r="A2232" t="inlineStr">
        <is>
          <t>type</t>
        </is>
      </c>
      <c r="B2232" t="inlineStr">
        <is>
          <t>process</t>
        </is>
      </c>
    </row>
    <row r="2233">
      <c r="A2233" t="inlineStr">
        <is>
          <t>unit</t>
        </is>
      </c>
      <c r="B2233" t="inlineStr">
        <is>
          <t>megajoule</t>
        </is>
      </c>
    </row>
    <row r="2234">
      <c r="A2234" t="inlineStr">
        <is>
          <t>energy use source</t>
        </is>
      </c>
      <c r="B2234"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["market for battery capacity (MIX scenario)", "electricity storage capacity", "GLO", "kilowatt hour"], "amount per vehicle": 81, "vehicle per source service": 1.428571428571429e-07, "coefficient limitation": "Native nominal-kWh MIX market is a manufacturing proxy; it does not reproduce the heavier high-power physical battery pack mass.", "replacement correction factor": 1.0, "amount per MJ": 1.1048878630712064e-05}, {"supplier": ["fuel tank assembly, compressed hydrogen gas, 700bar", "fuel tank, compressed hydrogen gas, 700bar", "RER", "kilogram"], "amount per vehicle": 266.1455199530711, "vehicle per source service": 1.428571428571429e-07, "replacement correction factor": 1.0, "amount per MJ": 3.630382158110171e-05},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["market for converter, for electric passenger car", "converter, for electric passenger car", "GLO", "kilogram"], "amount per vehicle": 25, "vehicle per source service": 1.428571428571429e-07, "replacement correction factor": 1.0, "amount per MJ": 3.4101477255284147e-06}, {"supplier": ["market for electric motor, electric passenger car", "electric motor, electric passenger car",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["market for power distribution unit, for electric passenger car", "power distribution unit, for electric passenger car", "GLO", "kilogram"], "amount per vehicle": 36, "vehicle per source service": 1.428571428571429e-07, "replacement correction factor": 1.0, "amount per MJ": 4.910612724760918e-06}, {"supplier": ["power electronics, for lorry", "power electronics, for lorry", "RER", "kilogram"], "amount per vehicle": 183, "vehicle per source service": 1.428571428571429e-07, "replacement correction factor": 1.0, "amount per MJ": 2.4962281350867997e-05},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12475, "vehicle per source service": 1.428571428571429e-07}, {"supplier": ["frame, blanks and saddle, for lorry", "frame, blanks and saddle, for lorry", "RER", "kilogram"], "amount per vehicle": 7300, "vehicle per source service": 1.428571428571429e-07}, {"supplier": ["maintenance, bus", "maintenance, bus", "CH", "unit"], "amount per vehicle": 1,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 "vehicle per source service": 1.428571428571429e-07}, {"supplier": ["suspension, for lorry", "suspension, for lorry", "RER", "kilogram"], "amount per vehicle": 1762, "vehicle per source service": 1.428571428571429e-07}, {"supplier": ["tires and wheels, for lorry", "tires and wheels, for lorry", "RER", "kilogram"], "amount per vehicle": 576, "vehicle per source service": 1.428571428571429e-07}, {"supplier": ["treatment of used bus", "used bus", "CH", "unit"], "amount per vehicle": -1, "vehicle per source service": 1.428571428571429e-07}, {"supplier": "market for road", "amount per source service": 0.0007193174067631049}, {"supplier": "market for road maintenance", "amount per source service": 0.000129}], "alternative fuel recipe retained": false}</t>
        </is>
      </c>
    </row>
    <row r="2235">
      <c r="A2235" t="inlineStr">
        <is>
          <t>Exchanges</t>
        </is>
      </c>
    </row>
    <row r="2236">
      <c r="A2236" t="inlineStr">
        <is>
          <t>name</t>
        </is>
      </c>
      <c r="B2236" t="inlineStr">
        <is>
          <t>amount</t>
        </is>
      </c>
      <c r="C2236" t="inlineStr">
        <is>
          <t>location</t>
        </is>
      </c>
      <c r="D2236" t="inlineStr">
        <is>
          <t>unit</t>
        </is>
      </c>
      <c r="E2236" t="inlineStr">
        <is>
          <t>categories</t>
        </is>
      </c>
      <c r="F2236" t="inlineStr">
        <is>
          <t>type</t>
        </is>
      </c>
      <c r="G2236" t="inlineStr">
        <is>
          <t>reference product</t>
        </is>
      </c>
      <c r="H2236" t="inlineStr">
        <is>
          <t>comment</t>
        </is>
      </c>
      <c r="I2236" t="inlineStr">
        <is>
          <t>uncertainty type</t>
        </is>
      </c>
    </row>
    <row r="2237">
      <c r="A2237" t="inlineStr">
        <is>
          <t>hydrogen, used in single deck coach or urban bus</t>
        </is>
      </c>
      <c r="B2237">
        <v>1.0</v>
      </c>
      <c r="C2237" t="inlineStr">
        <is>
          <t>CH</t>
        </is>
      </c>
      <c r="D2237" t="inlineStr">
        <is>
          <t>megajoule</t>
        </is>
      </c>
      <c r="F2237" t="inlineStr">
        <is>
          <t>production</t>
        </is>
      </c>
      <c r="G2237" t="inlineStr">
        <is>
          <t>heat</t>
        </is>
      </c>
      <c r="I2237">
        <v>0</v>
      </c>
    </row>
    <row r="2238">
      <c r="A2238" t="inlineStr">
        <is>
          <t>market for hydrogen, gaseous, low pressure</t>
        </is>
      </c>
      <c r="B2238">
        <v>0.0012945987175919265</v>
      </c>
      <c r="C2238" t="inlineStr">
        <is>
          <t>CN</t>
        </is>
      </c>
      <c r="D2238" t="inlineStr">
        <is>
          <t>kilogram</t>
        </is>
      </c>
      <c r="F2238" t="inlineStr">
        <is>
          <t>technosphere</t>
        </is>
      </c>
      <c r="G2238" t="inlineStr">
        <is>
          <t>hydrogen, gaseous, low pressure</t>
        </is>
      </c>
      <c r="I2238">
        <v>0</v>
      </c>
    </row>
    <row r="2239">
      <c r="A2239" t="inlineStr">
        <is>
          <t>market for hydrogen, gaseous, low pressure</t>
        </is>
      </c>
      <c r="B2239">
        <v>0.005469534948887208</v>
      </c>
      <c r="C2239" t="inlineStr">
        <is>
          <t>RoW</t>
        </is>
      </c>
      <c r="D2239" t="inlineStr">
        <is>
          <t>kilogram</t>
        </is>
      </c>
      <c r="F2239" t="inlineStr">
        <is>
          <t>technosphere</t>
        </is>
      </c>
      <c r="G2239" t="inlineStr">
        <is>
          <t>hydrogen, gaseous, low pressure</t>
        </is>
      </c>
      <c r="I2239">
        <v>0</v>
      </c>
    </row>
    <row r="2240">
      <c r="A2240" t="inlineStr">
        <is>
          <t>market for hydrogen, gaseous, low pressure</t>
        </is>
      </c>
      <c r="B2240">
        <v>0.0007686670431839546</v>
      </c>
      <c r="C2240" t="inlineStr">
        <is>
          <t>RER</t>
        </is>
      </c>
      <c r="D2240" t="inlineStr">
        <is>
          <t>kilogram</t>
        </is>
      </c>
      <c r="F2240" t="inlineStr">
        <is>
          <t>technosphere</t>
        </is>
      </c>
      <c r="G2240" t="inlineStr">
        <is>
          <t>hydrogen, gaseous, low pressure</t>
        </is>
      </c>
      <c r="I2240">
        <v>0</v>
      </c>
    </row>
    <row r="2241">
      <c r="A2241" t="inlineStr">
        <is>
          <t>market for hydrogen, gaseous, low pressure</t>
        </is>
      </c>
      <c r="B2241">
        <v>0.000800532623670244</v>
      </c>
      <c r="C2241" t="inlineStr">
        <is>
          <t>US</t>
        </is>
      </c>
      <c r="D2241" t="inlineStr">
        <is>
          <t>kilogram</t>
        </is>
      </c>
      <c r="F2241" t="inlineStr">
        <is>
          <t>technosphere</t>
        </is>
      </c>
      <c r="G2241" t="inlineStr">
        <is>
          <t>hydrogen, gaseous, low pressure</t>
        </is>
      </c>
      <c r="I2241">
        <v>0</v>
      </c>
    </row>
    <row r="2242">
      <c r="A2242" t="inlineStr">
        <is>
          <t>1,1,1,2-Tetrafluoroethane</t>
        </is>
      </c>
      <c r="B2242">
        <v>2.1824945443381847e-06</v>
      </c>
      <c r="D2242" t="inlineStr">
        <is>
          <t>kilogram</t>
        </is>
      </c>
      <c r="E2242" t="inlineStr">
        <is>
          <t>air::unspecified</t>
        </is>
      </c>
      <c r="F2242" t="inlineStr">
        <is>
          <t>biosphere</t>
        </is>
      </c>
      <c r="I2242">
        <v>0</v>
      </c>
    </row>
    <row r="2243">
      <c r="A2243" t="inlineStr">
        <is>
          <t>market for battery capacity (MIX scenario)</t>
        </is>
      </c>
      <c r="B2243">
        <v>1.1048878630712064e-05</v>
      </c>
      <c r="C2243" t="inlineStr">
        <is>
          <t>GLO</t>
        </is>
      </c>
      <c r="D2243" t="inlineStr">
        <is>
          <t>kilowatt hour</t>
        </is>
      </c>
      <c r="F2243" t="inlineStr">
        <is>
          <t>technosphere</t>
        </is>
      </c>
      <c r="G2243" t="inlineStr">
        <is>
          <t>electricity storage capacity</t>
        </is>
      </c>
      <c r="H2243" t="inlineStr">
        <is>
          <t> Energy-use allocation: 81 * 1.428571428571429e-07 / 1.0472943868949744 MJ per person kilometer.</t>
        </is>
      </c>
      <c r="I2243">
        <v>0</v>
      </c>
    </row>
    <row r="2244">
      <c r="A2244" t="inlineStr">
        <is>
          <t>fuel tank assembly, compressed hydrogen gas, 700bar</t>
        </is>
      </c>
      <c r="B2244">
        <v>3.630382158110171e-05</v>
      </c>
      <c r="C2244" t="inlineStr">
        <is>
          <t>RER</t>
        </is>
      </c>
      <c r="D2244" t="inlineStr">
        <is>
          <t>kilogram</t>
        </is>
      </c>
      <c r="F2244" t="inlineStr">
        <is>
          <t>technosphere</t>
        </is>
      </c>
      <c r="G2244" t="inlineStr">
        <is>
          <t>fuel tank, compressed hydrogen gas, 700bar</t>
        </is>
      </c>
      <c r="H2244" t="inlineStr">
        <is>
          <t> Energy-use allocation: 266.1455199530711 * 1.428571428571429e-07 / 1.0472943868949744 MJ per person kilometer.</t>
        </is>
      </c>
      <c r="I2244">
        <v>0</v>
      </c>
    </row>
    <row r="2245">
      <c r="A2245" t="inlineStr">
        <is>
          <t>fuel cell system assembly, 1 kWe, proton exchange membrane (PEM)</t>
        </is>
      </c>
      <c r="B2245">
        <v>2.522265960221538e-05</v>
      </c>
      <c r="C2245" t="inlineStr">
        <is>
          <t>GLO</t>
        </is>
      </c>
      <c r="D2245" t="inlineStr">
        <is>
          <t>unit</t>
        </is>
      </c>
      <c r="F2245" t="inlineStr">
        <is>
          <t>technosphere</t>
        </is>
      </c>
      <c r="G2245" t="inlineStr">
        <is>
          <t>fuel cell system, 1 kWe, proton exchange membrane (PEM)</t>
        </is>
      </c>
      <c r="H2245" t="inlineStr">
        <is>
          <t> Energy-use allocation: 184.9088487677395 * 1.428571428571429e-07 / 1.0472943868949744 MJ per person kilometer.</t>
        </is>
      </c>
      <c r="I2245">
        <v>0</v>
      </c>
    </row>
    <row r="2246">
      <c r="A2246" t="inlineStr">
        <is>
          <t>gearbox, for lorry</t>
        </is>
      </c>
      <c r="B2246">
        <v>2.1498662331044536e-05</v>
      </c>
      <c r="C2246" t="inlineStr">
        <is>
          <t>RER</t>
        </is>
      </c>
      <c r="D2246" t="inlineStr">
        <is>
          <t>kilogram</t>
        </is>
      </c>
      <c r="F2246" t="inlineStr">
        <is>
          <t>technosphere</t>
        </is>
      </c>
      <c r="G2246" t="inlineStr">
        <is>
          <t>gearbox, for lorry</t>
        </is>
      </c>
      <c r="H2246" t="inlineStr">
        <is>
          <t> Energy-use allocation: 157.6079986953735 * 1.428571428571429e-07 / 1.0472943868949744 MJ per person kilometer.</t>
        </is>
      </c>
      <c r="I2246">
        <v>0</v>
      </c>
    </row>
    <row r="2247">
      <c r="A2247" t="inlineStr">
        <is>
          <t>market for converter, for electric passenger car</t>
        </is>
      </c>
      <c r="B2247">
        <v>3.4101477255284147e-06</v>
      </c>
      <c r="C2247" t="inlineStr">
        <is>
          <t>GLO</t>
        </is>
      </c>
      <c r="D2247" t="inlineStr">
        <is>
          <t>kilogram</t>
        </is>
      </c>
      <c r="F2247" t="inlineStr">
        <is>
          <t>technosphere</t>
        </is>
      </c>
      <c r="G2247" t="inlineStr">
        <is>
          <t>converter, for electric passenger car</t>
        </is>
      </c>
      <c r="H2247" t="inlineStr">
        <is>
          <t> Energy-use allocation: 25 * 1.428571428571429e-07 / 1.0472943868949744 MJ per person kilometer.</t>
        </is>
      </c>
      <c r="I2247">
        <v>0</v>
      </c>
    </row>
    <row r="2248">
      <c r="A2248" t="inlineStr">
        <is>
          <t>market for electric motor, electric passenger car</t>
        </is>
      </c>
      <c r="B2248">
        <v>1.373481472971073e-05</v>
      </c>
      <c r="C2248" t="inlineStr">
        <is>
          <t>GLO</t>
        </is>
      </c>
      <c r="D2248" t="inlineStr">
        <is>
          <t>kilogram</t>
        </is>
      </c>
      <c r="F2248" t="inlineStr">
        <is>
          <t>technosphere</t>
        </is>
      </c>
      <c r="G2248" t="inlineStr">
        <is>
          <t>electric motor, electric passenger car</t>
        </is>
      </c>
      <c r="H2248" t="inlineStr">
        <is>
          <t> Energy-use allocation: 100.6907606002792 * 1.428571428571429e-07 / 1.0472943868949744 MJ per person kilometer.</t>
        </is>
      </c>
      <c r="I2248">
        <v>0</v>
      </c>
    </row>
    <row r="2249">
      <c r="A2249" t="inlineStr">
        <is>
          <t>market for inverter, for electric passenger car</t>
        </is>
      </c>
      <c r="B2249">
        <v>1.867004294153873e-06</v>
      </c>
      <c r="C2249" t="inlineStr">
        <is>
          <t>GLO</t>
        </is>
      </c>
      <c r="D2249" t="inlineStr">
        <is>
          <t>kilogram</t>
        </is>
      </c>
      <c r="F2249" t="inlineStr">
        <is>
          <t>technosphere</t>
        </is>
      </c>
      <c r="G2249" t="inlineStr">
        <is>
          <t>inverter, for electric passenger car</t>
        </is>
      </c>
      <c r="H2249" t="inlineStr">
        <is>
          <t> Energy-use allocation: 13.68712182303315 * 1.428571428571429e-07 / 1.0472943868949744 MJ per person kilometer.</t>
        </is>
      </c>
      <c r="I2249">
        <v>0</v>
      </c>
    </row>
    <row r="2250">
      <c r="A2250" t="inlineStr">
        <is>
          <t>market for power distribution unit, for electric passenger car</t>
        </is>
      </c>
      <c r="B2250">
        <v>4.910612724760918e-06</v>
      </c>
      <c r="C2250" t="inlineStr">
        <is>
          <t>GLO</t>
        </is>
      </c>
      <c r="D2250" t="inlineStr">
        <is>
          <t>kilogram</t>
        </is>
      </c>
      <c r="F2250" t="inlineStr">
        <is>
          <t>technosphere</t>
        </is>
      </c>
      <c r="G2250" t="inlineStr">
        <is>
          <t>power distribution unit, for electric passenger car</t>
        </is>
      </c>
      <c r="H2250" t="inlineStr">
        <is>
          <t> Energy-use allocation: 36 * 1.428571428571429e-07 / 1.0472943868949744 MJ per person kilometer.</t>
        </is>
      </c>
      <c r="I2250">
        <v>0</v>
      </c>
    </row>
    <row r="2251">
      <c r="A2251" t="inlineStr">
        <is>
          <t>power electronics, for lorry</t>
        </is>
      </c>
      <c r="B2251">
        <v>2.4962281350867997e-05</v>
      </c>
      <c r="C2251" t="inlineStr">
        <is>
          <t>RER</t>
        </is>
      </c>
      <c r="D2251" t="inlineStr">
        <is>
          <t>kilogram</t>
        </is>
      </c>
      <c r="F2251" t="inlineStr">
        <is>
          <t>technosphere</t>
        </is>
      </c>
      <c r="G2251" t="inlineStr">
        <is>
          <t>power electronics, for lorry</t>
        </is>
      </c>
      <c r="H2251" t="inlineStr">
        <is>
          <t> Energy-use allocation: 183 * 1.428571428571429e-07 / 1.0472943868949744 MJ per person kilometer.</t>
        </is>
      </c>
      <c r="I2251">
        <v>0</v>
      </c>
    </row>
    <row r="2252">
      <c r="A2252" t="inlineStr">
        <is>
          <t>retarder, for lorry</t>
        </is>
      </c>
      <c r="B2252">
        <v>7.166220777014846e-06</v>
      </c>
      <c r="C2252" t="inlineStr">
        <is>
          <t>RER</t>
        </is>
      </c>
      <c r="D2252" t="inlineStr">
        <is>
          <t>kilogram</t>
        </is>
      </c>
      <c r="F2252" t="inlineStr">
        <is>
          <t>technosphere</t>
        </is>
      </c>
      <c r="G2252" t="inlineStr">
        <is>
          <t>retarder, for lorry</t>
        </is>
      </c>
      <c r="H2252" t="inlineStr">
        <is>
          <t> Energy-use allocation: 52.53599956512451 * 1.428571428571429e-07 / 1.0472943868949744 MJ per person kilometer.</t>
        </is>
      </c>
      <c r="I2252">
        <v>0</v>
      </c>
    </row>
    <row r="2253">
      <c r="A2253" t="inlineStr">
        <is>
          <t>transmission, for lorry</t>
        </is>
      </c>
      <c r="B2253">
        <v>3.105362336706432e-05</v>
      </c>
      <c r="C2253" t="inlineStr">
        <is>
          <t>RER</t>
        </is>
      </c>
      <c r="D2253" t="inlineStr">
        <is>
          <t>kilogram</t>
        </is>
      </c>
      <c r="F2253" t="inlineStr">
        <is>
          <t>technosphere</t>
        </is>
      </c>
      <c r="G2253" t="inlineStr">
        <is>
          <t>transmission, for lorry</t>
        </is>
      </c>
      <c r="H2253" t="inlineStr">
        <is>
          <t> Energy-use allocation: 227.6559981155395 * 1.428571428571429e-07 / 1.0472943868949744 MJ per person kilometer.</t>
        </is>
      </c>
      <c r="I2253">
        <v>0</v>
      </c>
    </row>
    <row r="2254">
      <c r="A2254" t="inlineStr">
        <is>
          <t>market for refrigerant R134a</t>
        </is>
      </c>
      <c r="B2254">
        <v>3.2055388619967086e-06</v>
      </c>
      <c r="C2254" t="inlineStr">
        <is>
          <t>GLO</t>
        </is>
      </c>
      <c r="D2254" t="inlineStr">
        <is>
          <t>kilogram</t>
        </is>
      </c>
      <c r="F2254" t="inlineStr">
        <is>
          <t>technosphere</t>
        </is>
      </c>
      <c r="G2254" t="inlineStr">
        <is>
          <t>refrigerant R134a</t>
        </is>
      </c>
      <c r="I2254">
        <v>0</v>
      </c>
    </row>
    <row r="2255">
      <c r="A2255" t="inlineStr">
        <is>
          <t>treatment of brake wear emissions, lorry</t>
        </is>
      </c>
      <c r="B2255">
        <v>-4.30601059459193e-06</v>
      </c>
      <c r="C2255" t="inlineStr">
        <is>
          <t>RER</t>
        </is>
      </c>
      <c r="D2255" t="inlineStr">
        <is>
          <t>kilogram</t>
        </is>
      </c>
      <c r="F2255" t="inlineStr">
        <is>
          <t>technosphere</t>
        </is>
      </c>
      <c r="G2255" t="inlineStr">
        <is>
          <t>brake wear emissions, lorry</t>
        </is>
      </c>
      <c r="I2255">
        <v>0</v>
      </c>
    </row>
    <row r="2256">
      <c r="A2256" t="inlineStr">
        <is>
          <t>treatment of road wear emissions, lorry</t>
        </is>
      </c>
      <c r="B2256">
        <v>-7.685978760462684e-06</v>
      </c>
      <c r="C2256" t="inlineStr">
        <is>
          <t>RER</t>
        </is>
      </c>
      <c r="D2256" t="inlineStr">
        <is>
          <t>kilogram</t>
        </is>
      </c>
      <c r="F2256" t="inlineStr">
        <is>
          <t>technosphere</t>
        </is>
      </c>
      <c r="G2256" t="inlineStr">
        <is>
          <t>road wear emissions, lorry</t>
        </is>
      </c>
      <c r="I2256">
        <v>0</v>
      </c>
    </row>
    <row r="2257">
      <c r="A2257" t="inlineStr">
        <is>
          <t>treatment of tyre wear emissions, lorry</t>
        </is>
      </c>
      <c r="B2257">
        <v>-7.562223665570384e-06</v>
      </c>
      <c r="C2257" t="inlineStr">
        <is>
          <t>RER</t>
        </is>
      </c>
      <c r="D2257" t="inlineStr">
        <is>
          <t>kilogram</t>
        </is>
      </c>
      <c r="F2257" t="inlineStr">
        <is>
          <t>technosphere</t>
        </is>
      </c>
      <c r="G2257" t="inlineStr">
        <is>
          <t>tyre wear emissions, lorry</t>
        </is>
      </c>
      <c r="I2257">
        <v>0</v>
      </c>
    </row>
    <row r="2258"/>
    <row r="2259">
      <c r="A2259" t="inlineStr">
        <is>
          <t>Activity</t>
        </is>
      </c>
      <c r="B2259" t="inlineStr">
        <is>
          <t>electricity, used in single deck trolleybus</t>
        </is>
      </c>
    </row>
    <row r="2260">
      <c r="A2260" t="inlineStr">
        <is>
          <t>comment</t>
        </is>
      </c>
      <c r="B2260" t="inlineStr">
        <is>
          <t>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Electric motor power: 148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2261">
      <c r="A2261" t="inlineStr">
        <is>
          <t>description</t>
        </is>
      </c>
      <c r="B226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262">
      <c r="A2262" t="inlineStr">
        <is>
          <t>location</t>
        </is>
      </c>
      <c r="B2262" t="inlineStr">
        <is>
          <t>CH</t>
        </is>
      </c>
    </row>
    <row r="2263">
      <c r="A2263" t="inlineStr">
        <is>
          <t>production amount</t>
        </is>
      </c>
      <c r="B2263">
        <v>1</v>
      </c>
    </row>
    <row r="2264">
      <c r="A2264" t="inlineStr">
        <is>
          <t>reference product</t>
        </is>
      </c>
      <c r="B2264" t="inlineStr">
        <is>
          <t>electricity, low voltage</t>
        </is>
      </c>
    </row>
    <row r="2265">
      <c r="A2265" t="inlineStr">
        <is>
          <t>source</t>
        </is>
      </c>
      <c r="B2265" t="inlineStr">
        <is>
          <t>Sacchi, R., Bauer, C., and Cox, B. Does size matter? The influence of size, load factor, range autonomy and application type on the Life Cycle Assessment of current and future trucks. 2021. Environmental Science and Technology.</t>
        </is>
      </c>
    </row>
    <row r="2266">
      <c r="A2266" t="inlineStr">
        <is>
          <t>type</t>
        </is>
      </c>
      <c r="B2266" t="inlineStr">
        <is>
          <t>process</t>
        </is>
      </c>
    </row>
    <row r="2267">
      <c r="A2267" t="inlineStr">
        <is>
          <t>unit</t>
        </is>
      </c>
      <c r="B2267" t="inlineStr">
        <is>
          <t>megajoule</t>
        </is>
      </c>
    </row>
    <row r="2268">
      <c r="A2268" t="inlineStr">
        <is>
          <t>energy use source</t>
        </is>
      </c>
      <c r="B2268"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["market for converter, for electric passenger car", "converter, for electric passenger car", "GLO", "kilogram"], "amount per vehicle": 25, "vehicle per source service": 1e-07, "replacement correction factor": 1.0, "amount per MJ": 4.332507071149654e-06}, {"supplier": ["market for electric motor, electric passenger car", "electric motor, electric passenger car", "GLO", "kilogram"], "amount per vehicle": 87.16847324955381, "vehicle per source service": 1e-07, "replacement correction factor": 1.0, "amount per MJ": 1.5106321069400454e-05}, {"supplier": ["market for inverter, for electric passenger car", "inverter, for electric passenger car", "GLO", "kilogram"], "amount per vehicle": 12.70722437977019, "vehicle per source service": 1e-07, "replacement correction factor": 1.0, "amount per MJ": 2.202165579201585e-06}, {"supplier": ["market for power distribution unit, for electric passenger car", "power distribution unit, for electric passenger car", "GLO", "kilogram"], "amount per vehicle": 36, "vehicle per source service": 1e-07, "replacement correction factor": 1.0, "amount per MJ": 6.2388101824555015e-06}, {"supplier": ["power electronics, for lorry", "power electronics, for lorry", "RER", "kilogram"], "amount per vehicle": 183, "vehicle per source service": 1e-07, "replacement correction factor": 1.0, "amount per MJ": 3.171395176081547e-05},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12492, "vehicle per source service": 1e-07}, {"supplier": ["frame, blanks and saddle, for lorry", "frame, blanks and saddle, for lorry", "RER", "kilogram"], "amount per vehicle": 7300, "vehicle per source service": 1e-07}, {"supplier": ["maintenance, bus", "maintenance, bus", "CH", "unit"], "amount per vehicle": 1,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 "vehicle per source service": 1e-07}, {"supplier": ["suspension, for lorry", "suspension, for lorry", "RER", "kilogram"], "amount per vehicle": 1762, "vehicle per source service": 1e-07}, {"supplier": ["tires and wheels, for lorry", "tires and wheels, for lorry", "RER", "kilogram"], "amount per vehicle": 576, "vehicle per source service": 1e-07}, {"supplier": ["treatment of used bus", "used bus", "CH", "unit"], "amount per vehicle": -1,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t>
        </is>
      </c>
    </row>
    <row r="2269">
      <c r="A2269" t="inlineStr">
        <is>
          <t>Exchanges</t>
        </is>
      </c>
    </row>
    <row r="2270">
      <c r="A2270" t="inlineStr">
        <is>
          <t>name</t>
        </is>
      </c>
      <c r="B2270" t="inlineStr">
        <is>
          <t>amount</t>
        </is>
      </c>
      <c r="C2270" t="inlineStr">
        <is>
          <t>location</t>
        </is>
      </c>
      <c r="D2270" t="inlineStr">
        <is>
          <t>unit</t>
        </is>
      </c>
      <c r="E2270" t="inlineStr">
        <is>
          <t>categories</t>
        </is>
      </c>
      <c r="F2270" t="inlineStr">
        <is>
          <t>type</t>
        </is>
      </c>
      <c r="G2270" t="inlineStr">
        <is>
          <t>reference product</t>
        </is>
      </c>
      <c r="H2270" t="inlineStr">
        <is>
          <t>comment</t>
        </is>
      </c>
      <c r="I2270" t="inlineStr">
        <is>
          <t>uncertainty type</t>
        </is>
      </c>
    </row>
    <row r="2271">
      <c r="A2271" t="inlineStr">
        <is>
          <t>electricity, used in single deck trolleybus</t>
        </is>
      </c>
      <c r="B2271">
        <v>1.0</v>
      </c>
      <c r="C2271" t="inlineStr">
        <is>
          <t>CH</t>
        </is>
      </c>
      <c r="D2271" t="inlineStr">
        <is>
          <t>megajoule</t>
        </is>
      </c>
      <c r="F2271" t="inlineStr">
        <is>
          <t>production</t>
        </is>
      </c>
      <c r="G2271" t="inlineStr">
        <is>
          <t>electricity, low voltage</t>
        </is>
      </c>
      <c r="I2271">
        <v>0</v>
      </c>
    </row>
    <row r="2272">
      <c r="A2272" t="inlineStr">
        <is>
          <t>market group for electricity, low voltage</t>
        </is>
      </c>
      <c r="B2272">
        <v>0.2777777777777778</v>
      </c>
      <c r="C2272" t="inlineStr">
        <is>
          <t>RER</t>
        </is>
      </c>
      <c r="D2272" t="inlineStr">
        <is>
          <t>kilowatt hour</t>
        </is>
      </c>
      <c r="F2272" t="inlineStr">
        <is>
          <t>technosphere</t>
        </is>
      </c>
      <c r="G2272" t="inlineStr">
        <is>
          <t>electricity, low voltage</t>
        </is>
      </c>
      <c r="I2272">
        <v>0</v>
      </c>
    </row>
    <row r="2273">
      <c r="A2273" t="inlineStr">
        <is>
          <t>1,1,1,2-Tetrafluoroethane</t>
        </is>
      </c>
      <c r="B2273">
        <v>2.7728045255357786e-06</v>
      </c>
      <c r="D2273" t="inlineStr">
        <is>
          <t>kilogram</t>
        </is>
      </c>
      <c r="E2273" t="inlineStr">
        <is>
          <t>air::unspecified</t>
        </is>
      </c>
      <c r="F2273" t="inlineStr">
        <is>
          <t>biosphere</t>
        </is>
      </c>
      <c r="I2273">
        <v>0</v>
      </c>
    </row>
    <row r="2274">
      <c r="A2274" t="inlineStr">
        <is>
          <t>Catenary system</t>
        </is>
      </c>
      <c r="B2274">
        <v>1.443591356107065e-08</v>
      </c>
      <c r="C2274" t="inlineStr">
        <is>
          <t>RER</t>
        </is>
      </c>
      <c r="D2274" t="inlineStr">
        <is>
          <t>kilometer</t>
        </is>
      </c>
      <c r="F2274" t="inlineStr">
        <is>
          <t>technosphere</t>
        </is>
      </c>
      <c r="G2274" t="inlineStr">
        <is>
          <t>Catenary system</t>
        </is>
      </c>
      <c r="I2274">
        <v>0</v>
      </c>
    </row>
    <row r="2275">
      <c r="A2275" t="inlineStr">
        <is>
          <t>market for battery capacity, Li-ion, LTO</t>
        </is>
      </c>
      <c r="B2275">
        <v>2.25290367699782e-06</v>
      </c>
      <c r="C2275" t="inlineStr">
        <is>
          <t>GLO</t>
        </is>
      </c>
      <c r="D2275" t="inlineStr">
        <is>
          <t>kilowatt hour</t>
        </is>
      </c>
      <c r="F2275" t="inlineStr">
        <is>
          <t>technosphere</t>
        </is>
      </c>
      <c r="G2275" t="inlineStr">
        <is>
          <t>electricity storage capacity</t>
        </is>
      </c>
      <c r="H2275" t="inlineStr">
        <is>
          <t> Energy-use allocation: 13 * 1e-07 / 0.5770331032227517 MJ per person kilometer.</t>
        </is>
      </c>
      <c r="I2275">
        <v>0</v>
      </c>
    </row>
    <row r="2276">
      <c r="A2276" t="inlineStr">
        <is>
          <t>gearbox, for lorry</t>
        </is>
      </c>
      <c r="B2276">
        <v>2.7313510752698047e-05</v>
      </c>
      <c r="C2276" t="inlineStr">
        <is>
          <t>RER</t>
        </is>
      </c>
      <c r="D2276" t="inlineStr">
        <is>
          <t>kilogram</t>
        </is>
      </c>
      <c r="F2276" t="inlineStr">
        <is>
          <t>technosphere</t>
        </is>
      </c>
      <c r="G2276" t="inlineStr">
        <is>
          <t>gearbox, for lorry</t>
        </is>
      </c>
      <c r="H2276" t="inlineStr">
        <is>
          <t> Energy-use allocation: 157.6079986953735 * 1e-07 / 0.5770331032227517 MJ per person kilometer.</t>
        </is>
      </c>
      <c r="I2276">
        <v>0</v>
      </c>
    </row>
    <row r="2277">
      <c r="A2277" t="inlineStr">
        <is>
          <t>market for converter, for electric passenger car</t>
        </is>
      </c>
      <c r="B2277">
        <v>4.332507071149654e-06</v>
      </c>
      <c r="C2277" t="inlineStr">
        <is>
          <t>GLO</t>
        </is>
      </c>
      <c r="D2277" t="inlineStr">
        <is>
          <t>kilogram</t>
        </is>
      </c>
      <c r="F2277" t="inlineStr">
        <is>
          <t>technosphere</t>
        </is>
      </c>
      <c r="G2277" t="inlineStr">
        <is>
          <t>converter, for electric passenger car</t>
        </is>
      </c>
      <c r="H2277" t="inlineStr">
        <is>
          <t> Energy-use allocation: 25 * 1e-07 / 0.5770331032227517 MJ per person kilometer.</t>
        </is>
      </c>
      <c r="I2277">
        <v>0</v>
      </c>
    </row>
    <row r="2278">
      <c r="A2278" t="inlineStr">
        <is>
          <t>market for electric motor, electric passenger car</t>
        </is>
      </c>
      <c r="B2278">
        <v>1.5106321069400454e-05</v>
      </c>
      <c r="C2278" t="inlineStr">
        <is>
          <t>GLO</t>
        </is>
      </c>
      <c r="D2278" t="inlineStr">
        <is>
          <t>kilogram</t>
        </is>
      </c>
      <c r="F2278" t="inlineStr">
        <is>
          <t>technosphere</t>
        </is>
      </c>
      <c r="G2278" t="inlineStr">
        <is>
          <t>electric motor, electric passenger car</t>
        </is>
      </c>
      <c r="H2278" t="inlineStr">
        <is>
          <t> Energy-use allocation: 87.16847324955381 * 1e-07 / 0.5770331032227517 MJ per person kilometer.</t>
        </is>
      </c>
      <c r="I2278">
        <v>0</v>
      </c>
    </row>
    <row r="2279">
      <c r="A2279" t="inlineStr">
        <is>
          <t>market for inverter, for electric passenger car</t>
        </is>
      </c>
      <c r="B2279">
        <v>2.202165579201585e-06</v>
      </c>
      <c r="C2279" t="inlineStr">
        <is>
          <t>GLO</t>
        </is>
      </c>
      <c r="D2279" t="inlineStr">
        <is>
          <t>kilogram</t>
        </is>
      </c>
      <c r="F2279" t="inlineStr">
        <is>
          <t>technosphere</t>
        </is>
      </c>
      <c r="G2279" t="inlineStr">
        <is>
          <t>inverter, for electric passenger car</t>
        </is>
      </c>
      <c r="H2279" t="inlineStr">
        <is>
          <t> Energy-use allocation: 12.70722437977019 * 1e-07 / 0.5770331032227517 MJ per person kilometer.</t>
        </is>
      </c>
      <c r="I2279">
        <v>0</v>
      </c>
    </row>
    <row r="2280">
      <c r="A2280" t="inlineStr">
        <is>
          <t>market for power distribution unit, for electric passenger car</t>
        </is>
      </c>
      <c r="B2280">
        <v>6.2388101824555015e-06</v>
      </c>
      <c r="C2280" t="inlineStr">
        <is>
          <t>GLO</t>
        </is>
      </c>
      <c r="D2280" t="inlineStr">
        <is>
          <t>kilogram</t>
        </is>
      </c>
      <c r="F2280" t="inlineStr">
        <is>
          <t>technosphere</t>
        </is>
      </c>
      <c r="G2280" t="inlineStr">
        <is>
          <t>power distribution unit, for electric passenger car</t>
        </is>
      </c>
      <c r="H2280" t="inlineStr">
        <is>
          <t> Energy-use allocation: 36 * 1e-07 / 0.5770331032227517 MJ per person kilometer.</t>
        </is>
      </c>
      <c r="I2280">
        <v>0</v>
      </c>
    </row>
    <row r="2281">
      <c r="A2281" t="inlineStr">
        <is>
          <t>power electronics, for lorry</t>
        </is>
      </c>
      <c r="B2281">
        <v>3.171395176081547e-05</v>
      </c>
      <c r="C2281" t="inlineStr">
        <is>
          <t>RER</t>
        </is>
      </c>
      <c r="D2281" t="inlineStr">
        <is>
          <t>kilogram</t>
        </is>
      </c>
      <c r="F2281" t="inlineStr">
        <is>
          <t>technosphere</t>
        </is>
      </c>
      <c r="G2281" t="inlineStr">
        <is>
          <t>power electronics, for lorry</t>
        </is>
      </c>
      <c r="H2281" t="inlineStr">
        <is>
          <t> Energy-use allocation: 183 * 1e-07 / 0.5770331032227517 MJ per person kilometer.</t>
        </is>
      </c>
      <c r="I2281">
        <v>0</v>
      </c>
    </row>
    <row r="2282">
      <c r="A2282" t="inlineStr">
        <is>
          <t>retarder, for lorry</t>
        </is>
      </c>
      <c r="B2282">
        <v>9.104503584232683e-06</v>
      </c>
      <c r="C2282" t="inlineStr">
        <is>
          <t>RER</t>
        </is>
      </c>
      <c r="D2282" t="inlineStr">
        <is>
          <t>kilogram</t>
        </is>
      </c>
      <c r="F2282" t="inlineStr">
        <is>
          <t>technosphere</t>
        </is>
      </c>
      <c r="G2282" t="inlineStr">
        <is>
          <t>retarder, for lorry</t>
        </is>
      </c>
      <c r="H2282" t="inlineStr">
        <is>
          <t> Energy-use allocation: 52.53599956512451 * 1e-07 / 0.5770331032227517 MJ per person kilometer.</t>
        </is>
      </c>
      <c r="I2282">
        <v>0</v>
      </c>
    </row>
    <row r="2283">
      <c r="A2283" t="inlineStr">
        <is>
          <t>transmission, for lorry</t>
        </is>
      </c>
      <c r="B2283">
        <v>3.945284886500829e-05</v>
      </c>
      <c r="C2283" t="inlineStr">
        <is>
          <t>RER</t>
        </is>
      </c>
      <c r="D2283" t="inlineStr">
        <is>
          <t>kilogram</t>
        </is>
      </c>
      <c r="F2283" t="inlineStr">
        <is>
          <t>technosphere</t>
        </is>
      </c>
      <c r="G2283" t="inlineStr">
        <is>
          <t>transmission, for lorry</t>
        </is>
      </c>
      <c r="H2283" t="inlineStr">
        <is>
          <t> Energy-use allocation: 227.6559981155395 * 1e-07 / 0.5770331032227517 MJ per person kilometer.</t>
        </is>
      </c>
      <c r="I2283">
        <v>0</v>
      </c>
    </row>
    <row r="2284">
      <c r="A2284" t="inlineStr">
        <is>
          <t>market for refrigerant R134a</t>
        </is>
      </c>
      <c r="B2284">
        <v>4.072556646880675e-06</v>
      </c>
      <c r="C2284" t="inlineStr">
        <is>
          <t>GLO</t>
        </is>
      </c>
      <c r="D2284" t="inlineStr">
        <is>
          <t>kilogram</t>
        </is>
      </c>
      <c r="F2284" t="inlineStr">
        <is>
          <t>technosphere</t>
        </is>
      </c>
      <c r="G2284" t="inlineStr">
        <is>
          <t>refrigerant R134a</t>
        </is>
      </c>
      <c r="I2284">
        <v>0</v>
      </c>
    </row>
    <row r="2285">
      <c r="A2285" t="inlineStr">
        <is>
          <t>treatment of brake wear emissions, lorry</t>
        </is>
      </c>
      <c r="B2285">
        <v>-7.430982091970633e-06</v>
      </c>
      <c r="C2285" t="inlineStr">
        <is>
          <t>RER</t>
        </is>
      </c>
      <c r="D2285" t="inlineStr">
        <is>
          <t>kilogram</t>
        </is>
      </c>
      <c r="F2285" t="inlineStr">
        <is>
          <t>technosphere</t>
        </is>
      </c>
      <c r="G2285" t="inlineStr">
        <is>
          <t>brake wear emissions, lorry</t>
        </is>
      </c>
      <c r="I2285">
        <v>0</v>
      </c>
    </row>
    <row r="2286">
      <c r="A2286" t="inlineStr">
        <is>
          <t>treatment of road wear emissions, lorry</t>
        </is>
      </c>
      <c r="B2286">
        <v>-1.3109941475499826e-05</v>
      </c>
      <c r="C2286" t="inlineStr">
        <is>
          <t>RER</t>
        </is>
      </c>
      <c r="D2286" t="inlineStr">
        <is>
          <t>kilogram</t>
        </is>
      </c>
      <c r="F2286" t="inlineStr">
        <is>
          <t>technosphere</t>
        </is>
      </c>
      <c r="G2286" t="inlineStr">
        <is>
          <t>road wear emissions, lorry</t>
        </is>
      </c>
      <c r="I2286">
        <v>0</v>
      </c>
    </row>
    <row r="2287">
      <c r="A2287" t="inlineStr">
        <is>
          <t>treatment of tyre wear emissions, lorry</t>
        </is>
      </c>
      <c r="B2287">
        <v>-1.3030412942614006e-05</v>
      </c>
      <c r="C2287" t="inlineStr">
        <is>
          <t>RER</t>
        </is>
      </c>
      <c r="D2287" t="inlineStr">
        <is>
          <t>kilogram</t>
        </is>
      </c>
      <c r="F2287" t="inlineStr">
        <is>
          <t>technosphere</t>
        </is>
      </c>
      <c r="G2287" t="inlineStr">
        <is>
          <t>tyre wear emissions, lorry</t>
        </is>
      </c>
      <c r="I2287">
        <v>0</v>
      </c>
    </row>
    <row r="2288"/>
    <row r="2289">
      <c r="A2289" t="inlineStr">
        <is>
          <t>Activity</t>
        </is>
      </c>
      <c r="B2289" t="inlineStr">
        <is>
          <t>electricity, used in tram</t>
        </is>
      </c>
    </row>
    <row r="2290">
      <c r="A2290" t="inlineStr">
        <is>
          <t>location</t>
        </is>
      </c>
      <c r="B2290" t="inlineStr">
        <is>
          <t>CH</t>
        </is>
      </c>
    </row>
    <row r="2291">
      <c r="A2291" t="inlineStr">
        <is>
          <t>reference product</t>
        </is>
      </c>
      <c r="B2291" t="inlineStr">
        <is>
          <t>electricity, low voltage</t>
        </is>
      </c>
    </row>
    <row r="2292">
      <c r="A2292" t="inlineStr">
        <is>
          <t>type</t>
        </is>
      </c>
      <c r="B2292" t="inlineStr">
        <is>
          <t>process</t>
        </is>
      </c>
    </row>
    <row r="2293">
      <c r="A2293" t="inlineStr">
        <is>
          <t>unit</t>
        </is>
      </c>
      <c r="B2293" t="inlineStr">
        <is>
          <t>megajoule</t>
        </is>
      </c>
    </row>
    <row r="2294">
      <c r="A2294" t="inlineStr">
        <is>
          <t>energy use source</t>
        </is>
      </c>
      <c r="B2294" t="inlineStr">
        <is>
          <t>{"source":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 "vehicle per source service": 7.11e-10, "replacement correction factor": 1.0, "amount per MJ": 1.0214001325676948e-05}, {"supplier": ["market for electric motor, electric passenger car", "electric motor, electric passenger car", "GLO", "kilogram"], "amount per vehicle": 3710, "vehicle per source service": 7.11e-10, "replacement correction factor": 1.0, "amount per MJ": 1.2424244235495565e-05}, {"supplier": ["market for converter, for electric passenger car", "converter, for electric passenger car", "GLO", "kilogram"], "amount per vehicle": 10359.999999999989, "vehicle per source service": 7.11e-10, "replacement correction factor": 1.0, "amount per MJ": 3.4694115978364936e-05}], "excluded": [{"supplier": ["market for locomotive", "locomotive", "GLO", "unit"], "amount per vehicle": 1,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2295">
      <c r="A2295" t="inlineStr">
        <is>
          <t>comment</t>
        </is>
      </c>
      <c r="B2295" t="inlineStr">
        <is>
          <t>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2296">
      <c r="A2296" t="inlineStr">
        <is>
          <t>Exchanges</t>
        </is>
      </c>
    </row>
    <row r="2297">
      <c r="A2297" t="inlineStr">
        <is>
          <t>name</t>
        </is>
      </c>
      <c r="B2297" t="inlineStr">
        <is>
          <t>amount</t>
        </is>
      </c>
      <c r="C2297" t="inlineStr">
        <is>
          <t>location</t>
        </is>
      </c>
      <c r="D2297" t="inlineStr">
        <is>
          <t>unit</t>
        </is>
      </c>
      <c r="E2297" t="inlineStr">
        <is>
          <t>categories</t>
        </is>
      </c>
      <c r="F2297" t="inlineStr">
        <is>
          <t>type</t>
        </is>
      </c>
      <c r="G2297" t="inlineStr">
        <is>
          <t>reference product</t>
        </is>
      </c>
      <c r="H2297" t="inlineStr">
        <is>
          <t>comment</t>
        </is>
      </c>
      <c r="I2297" t="inlineStr">
        <is>
          <t>uncertainty type</t>
        </is>
      </c>
    </row>
    <row r="2298">
      <c r="A2298" t="inlineStr">
        <is>
          <t>electricity, used in tram</t>
        </is>
      </c>
      <c r="B2298">
        <v>1.0</v>
      </c>
      <c r="C2298" t="inlineStr">
        <is>
          <t>CH</t>
        </is>
      </c>
      <c r="D2298" t="inlineStr">
        <is>
          <t>megajoule</t>
        </is>
      </c>
      <c r="F2298" t="inlineStr">
        <is>
          <t>production</t>
        </is>
      </c>
      <c r="G2298" t="inlineStr">
        <is>
          <t>electricity, low voltage</t>
        </is>
      </c>
      <c r="I2298">
        <v>0</v>
      </c>
    </row>
    <row r="2299">
      <c r="A2299" t="inlineStr">
        <is>
          <t>market group for electricity, high voltage</t>
        </is>
      </c>
      <c r="B2299">
        <v>0.27777777777777773</v>
      </c>
      <c r="C2299" t="inlineStr">
        <is>
          <t>Europe without Switzerland</t>
        </is>
      </c>
      <c r="D2299" t="inlineStr">
        <is>
          <t>kilowatt hour</t>
        </is>
      </c>
      <c r="F2299" t="inlineStr">
        <is>
          <t>technosphere</t>
        </is>
      </c>
      <c r="G2299" t="inlineStr">
        <is>
          <t>electricity, high voltage</t>
        </is>
      </c>
      <c r="H2299"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2299">
        <v>0</v>
      </c>
    </row>
    <row r="2300">
      <c r="A2300" t="inlineStr">
        <is>
          <t>market for diesel</t>
        </is>
      </c>
      <c r="B2300">
        <v>0.003188710842490739</v>
      </c>
      <c r="C2300" t="inlineStr">
        <is>
          <t>Europe without Switzerland</t>
        </is>
      </c>
      <c r="D2300" t="inlineStr">
        <is>
          <t>kilogram</t>
        </is>
      </c>
      <c r="F2300" t="inlineStr">
        <is>
          <t>technosphere</t>
        </is>
      </c>
      <c r="G2300" t="inlineStr">
        <is>
          <t>diesel</t>
        </is>
      </c>
      <c r="H2300"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2300">
        <v>0</v>
      </c>
    </row>
    <row r="2301">
      <c r="A2301" t="inlineStr">
        <is>
          <t>market for transformer, high voltage use</t>
        </is>
      </c>
      <c r="B2301">
        <v>1.0214001325676948e-05</v>
      </c>
      <c r="C2301" t="inlineStr">
        <is>
          <t>GLO</t>
        </is>
      </c>
      <c r="D2301" t="inlineStr">
        <is>
          <t>kilogram</t>
        </is>
      </c>
      <c r="F2301" t="inlineStr">
        <is>
          <t>technosphere</t>
        </is>
      </c>
      <c r="G2301" t="inlineStr">
        <is>
          <t>transformer, high voltage use</t>
        </is>
      </c>
      <c r="H2301"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2301">
        <v>0</v>
      </c>
    </row>
    <row r="2302">
      <c r="A2302" t="inlineStr">
        <is>
          <t>market for electric motor, electric passenger car</t>
        </is>
      </c>
      <c r="B2302">
        <v>1.2424244235495565e-05</v>
      </c>
      <c r="C2302" t="inlineStr">
        <is>
          <t>GLO</t>
        </is>
      </c>
      <c r="D2302" t="inlineStr">
        <is>
          <t>kilogram</t>
        </is>
      </c>
      <c r="F2302" t="inlineStr">
        <is>
          <t>technosphere</t>
        </is>
      </c>
      <c r="G2302" t="inlineStr">
        <is>
          <t>electric motor, electric passenger car</t>
        </is>
      </c>
      <c r="H2302" t="inlineStr">
        <is>
          <t>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2302">
        <v>0</v>
      </c>
    </row>
    <row r="2303">
      <c r="A2303" t="inlineStr">
        <is>
          <t>market for converter, for electric passenger car</t>
        </is>
      </c>
      <c r="B2303">
        <v>3.4694115978364936e-05</v>
      </c>
      <c r="C2303" t="inlineStr">
        <is>
          <t>GLO</t>
        </is>
      </c>
      <c r="D2303" t="inlineStr">
        <is>
          <t>kilogram</t>
        </is>
      </c>
      <c r="F2303" t="inlineStr">
        <is>
          <t>technosphere</t>
        </is>
      </c>
      <c r="G2303" t="inlineStr">
        <is>
          <t>converter, for electric passenger car</t>
        </is>
      </c>
      <c r="H2303"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2303">
        <v>0</v>
      </c>
    </row>
    <row r="2304">
      <c r="A2304" t="inlineStr">
        <is>
          <t>Ammonia</t>
        </is>
      </c>
      <c r="B2304">
        <v>6.377421684981479e-08</v>
      </c>
      <c r="D2304" t="inlineStr">
        <is>
          <t>kilogram</t>
        </is>
      </c>
      <c r="E2304" t="inlineStr">
        <is>
          <t>air</t>
        </is>
      </c>
      <c r="F2304" t="inlineStr">
        <is>
          <t>biosphere</t>
        </is>
      </c>
      <c r="H2304" t="inlineStr">
        <is>
          <t>2.0E-05 kg/kg fuel for diesel locomotives, according to Spielmann et al. (2007)
Spielmann, M., Bauer, C., Dones, R., Institut, P. S., &amp; Tuchschmid, M. (2007). Transport Services. Swiss Centre for Life Cycle Inventories, ecoinvent report No. 14.</t>
        </is>
      </c>
      <c r="I2304">
        <v>0</v>
      </c>
    </row>
    <row r="2305">
      <c r="A2305" t="inlineStr">
        <is>
          <t>Benzene</t>
        </is>
      </c>
      <c r="B2305">
        <v>3.1887108424907397e-07</v>
      </c>
      <c r="D2305" t="inlineStr">
        <is>
          <t>kilogram</t>
        </is>
      </c>
      <c r="E2305" t="inlineStr">
        <is>
          <t>air</t>
        </is>
      </c>
      <c r="F2305" t="inlineStr">
        <is>
          <t>biosphere</t>
        </is>
      </c>
      <c r="H2305" t="inlineStr">
        <is>
          <t>1.0E-04 kg/kg fuel for diesel locomotives, according to Spielmann et al. (2007)
Spielmann, M., Bauer, C., Dones, R., Institut, P. S., &amp; Tuchschmid, M. (2007). Transport Services. Swiss Centre for Life Cycle Inventories, ecoinvent report No. 14.</t>
        </is>
      </c>
      <c r="I2305">
        <v>0</v>
      </c>
    </row>
    <row r="2306">
      <c r="A2306" t="inlineStr">
        <is>
          <t>Cadmium II</t>
        </is>
      </c>
      <c r="B2306">
        <v>3.1887108424907394e-11</v>
      </c>
      <c r="D2306" t="inlineStr">
        <is>
          <t>kilogram</t>
        </is>
      </c>
      <c r="E2306" t="inlineStr">
        <is>
          <t>air</t>
        </is>
      </c>
      <c r="F2306" t="inlineStr">
        <is>
          <t>biosphere</t>
        </is>
      </c>
      <c r="H2306" t="inlineStr">
        <is>
          <t>1.0E-08 kg/kg fuel for diesel locomotives, according to Spielmann et al. (2007)
Spielmann, M., Bauer, C., Dones, R., Institut, P. S., &amp; Tuchschmid, M. (2007). Transport Services. Swiss Centre for Life Cycle Inventories, ecoinvent report No. 14.</t>
        </is>
      </c>
      <c r="I2306">
        <v>0</v>
      </c>
    </row>
    <row r="2307">
      <c r="A2307" t="inlineStr">
        <is>
          <t>Carbon dioxide, fossil</t>
        </is>
      </c>
      <c r="B2307">
        <v>0.010031684310475865</v>
      </c>
      <c r="D2307" t="inlineStr">
        <is>
          <t>kilogram</t>
        </is>
      </c>
      <c r="E2307" t="inlineStr">
        <is>
          <t>air</t>
        </is>
      </c>
      <c r="F2307" t="inlineStr">
        <is>
          <t>biosphere</t>
        </is>
      </c>
      <c r="H2307" t="inlineStr">
        <is>
          <t>3.146 kg/kg fuel for diesel locomotives, according to Spielmann et al. (2007)
Spielmann, M., Bauer, C., Dones, R., Institut, P. S., &amp; Tuchschmid, M. (2007). Transport Services. Swiss Centre for Life Cycle Inventories, ecoinvent report No. 14.</t>
        </is>
      </c>
      <c r="I2307">
        <v>0</v>
      </c>
    </row>
    <row r="2308">
      <c r="A2308" t="inlineStr">
        <is>
          <t>Carbon monoxide, fossil</t>
        </is>
      </c>
      <c r="B2308">
        <v>5.038163131135368e-05</v>
      </c>
      <c r="D2308" t="inlineStr">
        <is>
          <t>kilogram</t>
        </is>
      </c>
      <c r="E2308" t="inlineStr">
        <is>
          <t>air</t>
        </is>
      </c>
      <c r="F2308" t="inlineStr">
        <is>
          <t>biosphere</t>
        </is>
      </c>
      <c r="H2308" t="inlineStr">
        <is>
          <t>1.58E-02 kg/kg fuel for diesel locomotives, according to Spielmann et al. (2007)
Spielmann, M., Bauer, C., Dones, R., Institut, P. S., &amp; Tuchschmid, M. (2007). Transport Services. Swiss Centre for Life Cycle Inventories, ecoinvent report No. 14.</t>
        </is>
      </c>
      <c r="I2308">
        <v>0</v>
      </c>
    </row>
    <row r="2309">
      <c r="A2309" t="inlineStr">
        <is>
          <t>Chromium III</t>
        </is>
      </c>
      <c r="B2309">
        <v>1.5943554212453697e-10</v>
      </c>
      <c r="D2309" t="inlineStr">
        <is>
          <t>kilogram</t>
        </is>
      </c>
      <c r="E2309" t="inlineStr">
        <is>
          <t>air</t>
        </is>
      </c>
      <c r="F2309" t="inlineStr">
        <is>
          <t>biosphere</t>
        </is>
      </c>
      <c r="H2309" t="inlineStr">
        <is>
          <t>5.0E-08 kg/kg fuel for diesel locomotives, according to Spielmann et al. (2007)
Spielmann, M., Bauer, C., Dones, R., Institut, P. S., &amp; Tuchschmid, M. (2007). Transport Services. Swiss Centre for Life Cycle Inventories, ecoinvent report No. 14.</t>
        </is>
      </c>
      <c r="I2309">
        <v>0</v>
      </c>
    </row>
    <row r="2310">
      <c r="A2310" t="inlineStr">
        <is>
          <t>Copper ion</t>
        </is>
      </c>
      <c r="B2310">
        <v>5.420808432234257e-09</v>
      </c>
      <c r="D2310" t="inlineStr">
        <is>
          <t>kilogram</t>
        </is>
      </c>
      <c r="E2310" t="inlineStr">
        <is>
          <t>air</t>
        </is>
      </c>
      <c r="F2310" t="inlineStr">
        <is>
          <t>biosphere</t>
        </is>
      </c>
      <c r="H2310" t="inlineStr">
        <is>
          <t>1.7E-06 kg/kg fuel for diesel locomotives, according to Spielmann et al. (2007)
Spielmann, M., Bauer, C., Dones, R., Institut, P. S., &amp; Tuchschmid, M. (2007). Transport Services. Swiss Centre for Life Cycle Inventories, ecoinvent report No. 14.</t>
        </is>
      </c>
      <c r="I2310">
        <v>0</v>
      </c>
    </row>
    <row r="2311">
      <c r="A2311" t="inlineStr">
        <is>
          <t>Dinitrogen monoxide</t>
        </is>
      </c>
      <c r="B2311">
        <v>3.1887108424907397e-07</v>
      </c>
      <c r="D2311" t="inlineStr">
        <is>
          <t>kilogram</t>
        </is>
      </c>
      <c r="E2311" t="inlineStr">
        <is>
          <t>air</t>
        </is>
      </c>
      <c r="F2311" t="inlineStr">
        <is>
          <t>biosphere</t>
        </is>
      </c>
      <c r="H2311" t="inlineStr">
        <is>
          <t>1.0E-04 kg/kg fuel for diesel locomotives, according to Spielmann et al. (2007)
Spielmann, M., Bauer, C., Dones, R., Institut, P. S., &amp; Tuchschmid, M. (2007). Transport Services. Swiss Centre for Life Cycle Inventories, ecoinvent report No. 14.</t>
        </is>
      </c>
      <c r="I2311">
        <v>0</v>
      </c>
    </row>
    <row r="2312">
      <c r="A2312" t="inlineStr">
        <is>
          <t>Iron ion</t>
        </is>
      </c>
      <c r="B2312">
        <v>5.840474807516273e-05</v>
      </c>
      <c r="D2312" t="inlineStr">
        <is>
          <t>kilogram</t>
        </is>
      </c>
      <c r="E2312" t="inlineStr">
        <is>
          <t>soil</t>
        </is>
      </c>
      <c r="F2312" t="inlineStr">
        <is>
          <t>biosphere</t>
        </is>
      </c>
      <c r="H231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2312">
        <v>0</v>
      </c>
    </row>
    <row r="2313">
      <c r="A2313" t="inlineStr">
        <is>
          <t>Lead II</t>
        </is>
      </c>
      <c r="B2313">
        <v>3.5075819267398133e-13</v>
      </c>
      <c r="D2313" t="inlineStr">
        <is>
          <t>kilogram</t>
        </is>
      </c>
      <c r="E2313" t="inlineStr">
        <is>
          <t>air</t>
        </is>
      </c>
      <c r="F2313" t="inlineStr">
        <is>
          <t>biosphere</t>
        </is>
      </c>
      <c r="H2313" t="inlineStr">
        <is>
          <t>1.1E-10 kg/kg fuel for diesel locomotives, according to Spielmann et al. (2007)
Spielmann, M., Bauer, C., Dones, R., Institut, P. S., &amp; Tuchschmid, M. (2007). Transport Services. Swiss Centre for Life Cycle Inventories, ecoinvent report No. 14.</t>
        </is>
      </c>
      <c r="I2313">
        <v>0</v>
      </c>
    </row>
    <row r="2314">
      <c r="A2314" t="inlineStr">
        <is>
          <t>Mercury II</t>
        </is>
      </c>
      <c r="B2314">
        <v>6.377421684981477e-14</v>
      </c>
      <c r="D2314" t="inlineStr">
        <is>
          <t>kilogram</t>
        </is>
      </c>
      <c r="E2314" t="inlineStr">
        <is>
          <t>air</t>
        </is>
      </c>
      <c r="F2314" t="inlineStr">
        <is>
          <t>biosphere</t>
        </is>
      </c>
      <c r="H2314" t="inlineStr">
        <is>
          <t>2.0E-11 kg/kg fuel for diesel locomotives, according to Spielmann et al. (2007)
Spielmann, M., Bauer, C., Dones, R., Institut, P. S., &amp; Tuchschmid, M. (2007). Transport Services. Swiss Centre for Life Cycle Inventories, ecoinvent report No. 14.</t>
        </is>
      </c>
      <c r="I2314">
        <v>0</v>
      </c>
    </row>
    <row r="2315">
      <c r="A2315" t="inlineStr">
        <is>
          <t>Methane, fossil</t>
        </is>
      </c>
      <c r="B2315">
        <v>4.1453240952379607e-07</v>
      </c>
      <c r="D2315" t="inlineStr">
        <is>
          <t>kilogram</t>
        </is>
      </c>
      <c r="E2315" t="inlineStr">
        <is>
          <t>air</t>
        </is>
      </c>
      <c r="F2315" t="inlineStr">
        <is>
          <t>biosphere</t>
        </is>
      </c>
      <c r="H2315" t="inlineStr">
        <is>
          <t>1.3E-04 kg/kg fuel for diesel locomotives, according to Spielmann et al. (2007)
Spielmann, M., Bauer, C., Dones, R., Institut, P. S., &amp; Tuchschmid, M. (2007). Transport Services. Swiss Centre for Life Cycle Inventories, ecoinvent report No. 14.</t>
        </is>
      </c>
      <c r="I2315">
        <v>0</v>
      </c>
    </row>
    <row r="2316">
      <c r="A2316" t="inlineStr">
        <is>
          <t>NMVOC, non-methane volatile organic compounds</t>
        </is>
      </c>
      <c r="B2316">
        <v>1.6740731923076382e-05</v>
      </c>
      <c r="D2316" t="inlineStr">
        <is>
          <t>kilogram</t>
        </is>
      </c>
      <c r="E2316" t="inlineStr">
        <is>
          <t>air</t>
        </is>
      </c>
      <c r="F2316" t="inlineStr">
        <is>
          <t>biosphere</t>
        </is>
      </c>
      <c r="H2316" t="inlineStr">
        <is>
          <t>5.25E-03 kg/kg fuel for diesel locomotives, according to Spielmann et al. (2007)
Spielmann, M., Bauer, C., Dones, R., Institut, P. S., &amp; Tuchschmid, M. (2007). Transport Services. Swiss Centre for Life Cycle Inventories, ecoinvent report No. 14.</t>
        </is>
      </c>
      <c r="I2316">
        <v>0</v>
      </c>
    </row>
    <row r="2317">
      <c r="A2317" t="inlineStr">
        <is>
          <t>Nickel II</t>
        </is>
      </c>
      <c r="B2317">
        <v>2.2320975897435179e-10</v>
      </c>
      <c r="D2317" t="inlineStr">
        <is>
          <t>kilogram</t>
        </is>
      </c>
      <c r="E2317" t="inlineStr">
        <is>
          <t>air</t>
        </is>
      </c>
      <c r="F2317" t="inlineStr">
        <is>
          <t>biosphere</t>
        </is>
      </c>
      <c r="H2317" t="inlineStr">
        <is>
          <t>7.0E-08 kg/kg fuel for diesel locomotives, according to Spielmann et al. (2007)
Spielmann, M., Bauer, C., Dones, R., Institut, P. S., &amp; Tuchschmid, M. (2007). Transport Services. Swiss Centre for Life Cycle Inventories, ecoinvent report No. 14.</t>
        </is>
      </c>
      <c r="I2317">
        <v>0</v>
      </c>
    </row>
    <row r="2318">
      <c r="A2318" t="inlineStr">
        <is>
          <t>Nitrogen oxides</t>
        </is>
      </c>
      <c r="B2318">
        <v>0.00017537909633699066</v>
      </c>
      <c r="D2318" t="inlineStr">
        <is>
          <t>kilogram</t>
        </is>
      </c>
      <c r="E2318" t="inlineStr">
        <is>
          <t>air::unspecified</t>
        </is>
      </c>
      <c r="F2318" t="inlineStr">
        <is>
          <t>biosphere</t>
        </is>
      </c>
      <c r="H2318" t="inlineStr">
        <is>
          <t>5.5E-02 kg/kg fuel for diesel locomotives, according to Spielmann et al. (2007)
Spielmann, M., Bauer, C., Dones, R., Institut, P. S., &amp; Tuchschmid, M. (2007). Transport Services. Swiss Centre for Life Cycle Inventories, ecoinvent report No. 14.</t>
        </is>
      </c>
      <c r="I2318">
        <v>0</v>
      </c>
    </row>
    <row r="2319">
      <c r="A2319" t="inlineStr">
        <is>
          <t>Particulate Matter, &lt; 2.5 um</t>
        </is>
      </c>
      <c r="B2319">
        <v>3.922114336263609e-06</v>
      </c>
      <c r="D2319" t="inlineStr">
        <is>
          <t>kilogram</t>
        </is>
      </c>
      <c r="E2319" t="inlineStr">
        <is>
          <t>air</t>
        </is>
      </c>
      <c r="F2319" t="inlineStr">
        <is>
          <t>biosphere</t>
        </is>
      </c>
      <c r="H2319" t="inlineStr">
        <is>
          <t>1.28E-03 kg/kg fuel for diesel locomotives, according to Spielmann et al. (2007)
Spielmann, M., Bauer, C., Dones, R., Institut, P. S., &amp; Tuchschmid, M. (2007). Transport Services. Swiss Centre for Life Cycle Inventories, ecoinvent report No. 14.</t>
        </is>
      </c>
      <c r="I2319">
        <v>0</v>
      </c>
    </row>
    <row r="2320">
      <c r="A2320" t="inlineStr">
        <is>
          <t>Particulate Matter, &gt; 10 um</t>
        </is>
      </c>
      <c r="B2320">
        <v>8.35431280422189e-05</v>
      </c>
      <c r="D2320" t="inlineStr">
        <is>
          <t>kilogram</t>
        </is>
      </c>
      <c r="E2320" t="inlineStr">
        <is>
          <t>air</t>
        </is>
      </c>
      <c r="F2320" t="inlineStr">
        <is>
          <t>biosphere</t>
        </is>
      </c>
      <c r="H232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2320">
        <v>0</v>
      </c>
    </row>
    <row r="2321">
      <c r="A2321" t="inlineStr">
        <is>
          <t>Particulate Matter, &gt; 2.5 um and &lt; 10um</t>
        </is>
      </c>
      <c r="B2321">
        <v>7.711517541701365e-05</v>
      </c>
      <c r="D2321" t="inlineStr">
        <is>
          <t>kilogram</t>
        </is>
      </c>
      <c r="E2321" t="inlineStr">
        <is>
          <t>air</t>
        </is>
      </c>
      <c r="F2321" t="inlineStr">
        <is>
          <t>biosphere</t>
        </is>
      </c>
      <c r="H232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2321">
        <v>0</v>
      </c>
    </row>
    <row r="2322">
      <c r="A2322" t="inlineStr">
        <is>
          <t>Selenium IV</t>
        </is>
      </c>
      <c r="B2322">
        <v>3.1887108424907394e-11</v>
      </c>
      <c r="D2322" t="inlineStr">
        <is>
          <t>kilogram</t>
        </is>
      </c>
      <c r="E2322" t="inlineStr">
        <is>
          <t>air</t>
        </is>
      </c>
      <c r="F2322" t="inlineStr">
        <is>
          <t>biosphere</t>
        </is>
      </c>
      <c r="H2322" t="inlineStr">
        <is>
          <t>1.0E-08 kg/kg fuel for diesel locomotives, according to Spielmann et al. (2007)
Spielmann, M., Bauer, C., Dones, R., Institut, P. S., &amp; Tuchschmid, M. (2007). Transport Services. Swiss Centre for Life Cycle Inventories, ecoinvent report No. 14.</t>
        </is>
      </c>
      <c r="I2322">
        <v>0</v>
      </c>
    </row>
    <row r="2323">
      <c r="A2323" t="inlineStr">
        <is>
          <t>Sulfur dioxide</t>
        </is>
      </c>
      <c r="B2323">
        <v>1.9132265054944433e-06</v>
      </c>
      <c r="D2323" t="inlineStr">
        <is>
          <t>kilogram</t>
        </is>
      </c>
      <c r="E2323" t="inlineStr">
        <is>
          <t>air</t>
        </is>
      </c>
      <c r="F2323" t="inlineStr">
        <is>
          <t>biosphere</t>
        </is>
      </c>
      <c r="H2323" t="inlineStr">
        <is>
          <t>6.0E-04 kg/kg fuel for diesel locomotives, according to Spielmann et al. (2007)
Spielmann, M., Bauer, C., Dones, R., Institut, P. S., &amp; Tuchschmid, M. (2007). Transport Services. Swiss Centre for Life Cycle Inventories, ecoinvent report No. 14.</t>
        </is>
      </c>
      <c r="I2323">
        <v>0</v>
      </c>
    </row>
    <row r="2324">
      <c r="A2324" t="inlineStr">
        <is>
          <t>Sulfur hexafluoride</t>
        </is>
      </c>
      <c r="B2324">
        <v>1.4789589431936368e-08</v>
      </c>
      <c r="D2324" t="inlineStr">
        <is>
          <t>kilogram</t>
        </is>
      </c>
      <c r="E2324" t="inlineStr">
        <is>
          <t>air</t>
        </is>
      </c>
      <c r="F2324" t="inlineStr">
        <is>
          <t>biosphere</t>
        </is>
      </c>
      <c r="H2324"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2324">
        <v>0</v>
      </c>
    </row>
    <row r="2325">
      <c r="A2325" t="inlineStr">
        <is>
          <t>Toluene</t>
        </is>
      </c>
      <c r="B2325">
        <v>1.2754843369962958e-07</v>
      </c>
      <c r="D2325" t="inlineStr">
        <is>
          <t>kilogram</t>
        </is>
      </c>
      <c r="E2325" t="inlineStr">
        <is>
          <t>air</t>
        </is>
      </c>
      <c r="F2325" t="inlineStr">
        <is>
          <t>biosphere</t>
        </is>
      </c>
      <c r="H2325" t="inlineStr">
        <is>
          <t>4.0E-05 kg/kg fuel for diesel locomotives, according to Spielmann et al. (2007)
Spielmann, M., Bauer, C., Dones, R., Institut, P. S., &amp; Tuchschmid, M. (2007). Transport Services. Swiss Centre for Life Cycle Inventories, ecoinvent report No. 14.</t>
        </is>
      </c>
      <c r="I2325">
        <v>0</v>
      </c>
    </row>
    <row r="2326">
      <c r="A2326" t="inlineStr">
        <is>
          <t>Xylenes, unspecified</t>
        </is>
      </c>
      <c r="B2326">
        <v>1.2754843369962958e-07</v>
      </c>
      <c r="D2326" t="inlineStr">
        <is>
          <t>kilogram</t>
        </is>
      </c>
      <c r="E2326" t="inlineStr">
        <is>
          <t>air::unspecified</t>
        </is>
      </c>
      <c r="F2326" t="inlineStr">
        <is>
          <t>biosphere</t>
        </is>
      </c>
      <c r="H2326" t="inlineStr">
        <is>
          <t>4.0E-05 kg/kg fuel for diesel locomotives, according to Spielmann et al. (2007)
Spielmann, M., Bauer, C., Dones, R., Institut, P. S., &amp; Tuchschmid, M. (2007). Transport Services. Swiss Centre for Life Cycle Inventories, ecoinvent report No. 14.</t>
        </is>
      </c>
      <c r="I2326">
        <v>0</v>
      </c>
    </row>
    <row r="2327">
      <c r="A2327" t="inlineStr">
        <is>
          <t>Zinc II</t>
        </is>
      </c>
      <c r="B2327">
        <v>3.188710842490739e-09</v>
      </c>
      <c r="D2327" t="inlineStr">
        <is>
          <t>kilogram</t>
        </is>
      </c>
      <c r="E2327" t="inlineStr">
        <is>
          <t>air</t>
        </is>
      </c>
      <c r="F2327" t="inlineStr">
        <is>
          <t>biosphere</t>
        </is>
      </c>
      <c r="H2327" t="inlineStr">
        <is>
          <t>1.0E-06 kg/kg fuel for diesel locomotives, according to Spielmann et al. (2007)
Spielmann, M., Bauer, C., Dones, R., Institut, P. S., &amp; Tuchschmid, M. (2007). Transport Services. Swiss Centre for Life Cycle Inventories, ecoinvent report No. 14.</t>
        </is>
      </c>
      <c r="I2327">
        <v>0</v>
      </c>
    </row>
    <row r="2328"/>
    <row r="2329">
      <c r="A2329" t="inlineStr">
        <is>
          <t>Activity</t>
        </is>
      </c>
      <c r="B2329" t="inlineStr">
        <is>
          <t>electricity, used in battery electric motorcycle</t>
        </is>
      </c>
    </row>
    <row r="2330">
      <c r="A2330" t="inlineStr">
        <is>
          <t>location</t>
        </is>
      </c>
      <c r="B2330" t="inlineStr">
        <is>
          <t>CH</t>
        </is>
      </c>
    </row>
    <row r="2331">
      <c r="A2331" t="inlineStr">
        <is>
          <t>reference product</t>
        </is>
      </c>
      <c r="B2331" t="inlineStr">
        <is>
          <t>electricity, low voltage</t>
        </is>
      </c>
    </row>
    <row r="2332">
      <c r="A2332" t="inlineStr">
        <is>
          <t>type</t>
        </is>
      </c>
      <c r="B2332" t="inlineStr">
        <is>
          <t>process</t>
        </is>
      </c>
    </row>
    <row r="2333">
      <c r="A2333" t="inlineStr">
        <is>
          <t>unit</t>
        </is>
      </c>
      <c r="B2333" t="inlineStr">
        <is>
          <t>megajoule</t>
        </is>
      </c>
    </row>
    <row r="2334">
      <c r="A2334" t="inlineStr">
        <is>
          <t>source</t>
        </is>
      </c>
      <c r="B2334" t="inlineStr">
        <is>
          <t>Sacchi R., Bauer C. Life cycle inventories for on-road vehicles. Paul Scherrer Institut, 2021.</t>
        </is>
      </c>
    </row>
    <row r="2335">
      <c r="A2335" t="inlineStr">
        <is>
          <t>comment</t>
        </is>
      </c>
      <c r="B2335" t="inlineStr">
        <is>
          <t>Produces consumption of 1 MJ of purchased energy. Representative powertrain carrier: electricity. energy-specific equipment; excludes chassis, body, roads and whole-vehicle maintenance. Source transport, Motorbike, battery electric, 11-35kW [CH]; 0.270991379051034 purchased MJ per kilometer. All retained exchanges divided by this energy; lifetime, occupancy/payload and replacement allocation are carried by source production links. Baseline source specifications: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2336">
      <c r="A2336" t="inlineStr">
        <is>
          <t>energy use source</t>
        </is>
      </c>
      <c r="B2336" t="inlineStr">
        <is>
          <t>{"source": ["transport, Motorbike, battery electric, 11-35kW", "transport, Motorbike, battery electric, 11-35kW", "CH", "kilometer"], "source unit": "kilometer", "purchased MJ per source service": 0.2709913790510339, "boundary": "energy-specific equipment; excludes chassis, body, roads and whole-vehicle maintenance", "retained equipment": [{"supplier": ["market for powertrain, for electric scooter", "powertrain, for electric scooter", "GLO", "kilogram"], "amount per vehicle": 19, "vehicle per source service": 2.5974025974025975e-05, "replacement correction factor": 1.0, "amount per MJ": 0.001821115104231987},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0.0015527402467662207}, {"supplier": ["charging station, 3kW", "charging station, 3kW", "GLO", "unit"], "amount per vehicle": 1, "vehicle per source service": 2.5974025974025975e-05, "replacement correction factor": 1.0, "amount per MJ": 9.58481633806309e-05}], "excluded": [{"supplier": ["market for glider, for electric scooter", "glider, for electric scooter", "GLO", "kilogram"], "amount per vehicle": 81, "vehicle per source service": 2.5974025974025975e-05}, {"supplier": ["market for glider, for electric scooter", "glider, for electric scooter", "GLO", "kilogram"], "amount per vehicle": 13, "vehicle per source service": 2.5974025974025975e-05}, {"supplier": ["manual dismantling of used electric scooter", "manual dismantling of electric scooter", "GLO", "unit"], "amount per vehicle": 81, "vehicle per source service": 2.5974025974025975e-05}, {"supplier": ["manual dismantling of used electric scooter", "manual dismantling of electric scooter", "GLO", "unit"], "amount per vehicle": 32, "vehicle per source service": 2.5974025974025975e-05}, {"supplier": ["market for transport, freight, lorry, unspecified", "transport, freight, lorry, unspecified", "RER", "ton kilometer"], "amount per vehicle": 165.64999999999998, "vehicle per source service": 2.5974025974025975e-05}, {"supplier": ["transport, freight, sea, container ship", "transport, freight, sea, container ship", "GLO", "ton kilometer"], "amount per vehicle": 2633.8349999999996, "vehicle per source service": 2.5974025974025975e-05}, {"supplier": "road construction", "amount per source service": 0.00013647855}, {"supplier": "road maintenance", "amount per source service": 0.00129}], "alternative fuel recipe retained": false}</t>
        </is>
      </c>
    </row>
    <row r="2337">
      <c r="A2337" t="inlineStr">
        <is>
          <t>Exchanges</t>
        </is>
      </c>
    </row>
    <row r="2338">
      <c r="A2338" t="inlineStr">
        <is>
          <t>name</t>
        </is>
      </c>
      <c r="B2338" t="inlineStr">
        <is>
          <t>amount</t>
        </is>
      </c>
      <c r="C2338" t="inlineStr">
        <is>
          <t>location</t>
        </is>
      </c>
      <c r="D2338" t="inlineStr">
        <is>
          <t>unit</t>
        </is>
      </c>
      <c r="E2338" t="inlineStr">
        <is>
          <t>categories</t>
        </is>
      </c>
      <c r="F2338" t="inlineStr">
        <is>
          <t>type</t>
        </is>
      </c>
      <c r="G2338" t="inlineStr">
        <is>
          <t>reference product</t>
        </is>
      </c>
      <c r="H2338" t="inlineStr">
        <is>
          <t>comment</t>
        </is>
      </c>
      <c r="I2338" t="inlineStr">
        <is>
          <t>uncertainty type</t>
        </is>
      </c>
    </row>
    <row r="2339">
      <c r="A2339" t="inlineStr">
        <is>
          <t>electricity, used in battery electric motorcycle</t>
        </is>
      </c>
      <c r="B2339">
        <v>1.0</v>
      </c>
      <c r="C2339" t="inlineStr">
        <is>
          <t>CH</t>
        </is>
      </c>
      <c r="D2339" t="inlineStr">
        <is>
          <t>megajoule</t>
        </is>
      </c>
      <c r="F2339" t="inlineStr">
        <is>
          <t>production</t>
        </is>
      </c>
      <c r="G2339" t="inlineStr">
        <is>
          <t>electricity, low voltage</t>
        </is>
      </c>
      <c r="H2339" t="inlineStr">
        <is>
          <t/>
        </is>
      </c>
      <c r="I2339">
        <v>0</v>
      </c>
    </row>
    <row r="2340">
      <c r="A2340" t="inlineStr">
        <is>
          <t>market for electricity, low voltage</t>
        </is>
      </c>
      <c r="B2340">
        <v>0.27777777777777773</v>
      </c>
      <c r="C2340" t="inlineStr">
        <is>
          <t>CH</t>
        </is>
      </c>
      <c r="D2340" t="inlineStr">
        <is>
          <t>kilowatt hour</t>
        </is>
      </c>
      <c r="F2340" t="inlineStr">
        <is>
          <t>technosphere</t>
        </is>
      </c>
      <c r="G2340" t="inlineStr">
        <is>
          <t>electricity, low voltage</t>
        </is>
      </c>
      <c r="H2340" t="inlineStr">
        <is>
          <t>Electricity consumption [MJ/km]</t>
        </is>
      </c>
      <c r="I2340">
        <v>0</v>
      </c>
    </row>
    <row r="2341">
      <c r="A2341" t="inlineStr">
        <is>
          <t>market for powertrain, for electric scooter</t>
        </is>
      </c>
      <c r="B2341">
        <v>0.001821115104231987</v>
      </c>
      <c r="C2341" t="inlineStr">
        <is>
          <t>GLO</t>
        </is>
      </c>
      <c r="D2341" t="inlineStr">
        <is>
          <t>kilogram</t>
        </is>
      </c>
      <c r="F2341" t="inlineStr">
        <is>
          <t>technosphere</t>
        </is>
      </c>
      <c r="G2341" t="inlineStr">
        <is>
          <t>powertrain, for electric scooter</t>
        </is>
      </c>
      <c r="H2341" t="inlineStr">
        <is>
          <t>Electric powertrain mass [kg] Energy-use allocation: 19 * 2.5974025974025975e-05 / 0.2709913790510339 MJ per kilometer.</t>
        </is>
      </c>
      <c r="I2341">
        <v>0</v>
      </c>
    </row>
    <row r="2342">
      <c r="A2342" t="inlineStr">
        <is>
          <t>market for battery capacity (MIX scenario)</t>
        </is>
      </c>
      <c r="B2342">
        <v>0.0015527402467662207</v>
      </c>
      <c r="C2342" t="inlineStr">
        <is>
          <t>GLO</t>
        </is>
      </c>
      <c r="D2342" t="inlineStr">
        <is>
          <t>kilowatt hour</t>
        </is>
      </c>
      <c r="F2342" t="inlineStr">
        <is>
          <t>technosphere</t>
        </is>
      </c>
      <c r="G2342" t="inlineStr">
        <is>
          <t>electricity storage capacity</t>
        </is>
      </c>
      <c r="H2342" t="inlineStr">
        <is>
          <t> Energy-use allocation: 8.1 * 2.5974025974025975e-05 / 0.2709913790510339 MJ per kilometer.</t>
        </is>
      </c>
      <c r="I2342">
        <v>0</v>
      </c>
    </row>
    <row r="2343">
      <c r="A2343" t="inlineStr">
        <is>
          <t>charging station, 3kW</t>
        </is>
      </c>
      <c r="B2343">
        <v>9.58481633806309e-05</v>
      </c>
      <c r="C2343" t="inlineStr">
        <is>
          <t>GLO</t>
        </is>
      </c>
      <c r="D2343" t="inlineStr">
        <is>
          <t>unit</t>
        </is>
      </c>
      <c r="F2343" t="inlineStr">
        <is>
          <t>technosphere</t>
        </is>
      </c>
      <c r="G2343" t="inlineStr">
        <is>
          <t>charging station, 3kW</t>
        </is>
      </c>
      <c r="H2343" t="inlineStr">
        <is>
          <t>Charging station per vehicle [unit] Energy-use allocation: 1 * 2.5974025974025975e-05 / 0.2709913790510339 MJ per kilometer.</t>
        </is>
      </c>
      <c r="I2343">
        <v>0</v>
      </c>
    </row>
    <row r="2344">
      <c r="A2344" t="inlineStr">
        <is>
          <t>market for maintenance, electric scooter, without battery</t>
        </is>
      </c>
      <c r="B2344">
        <v>0.0001476061716061716</v>
      </c>
      <c r="C2344" t="inlineStr">
        <is>
          <t>GLO</t>
        </is>
      </c>
      <c r="D2344" t="inlineStr">
        <is>
          <t>unit</t>
        </is>
      </c>
      <c r="F2344" t="inlineStr">
        <is>
          <t>technosphere</t>
        </is>
      </c>
      <c r="G2344" t="inlineStr">
        <is>
          <t>maintenance, electric scooter, without battery</t>
        </is>
      </c>
      <c r="H2344" t="inlineStr">
        <is>
          <t>Servicing [unit]</t>
        </is>
      </c>
      <c r="I2344">
        <v>0</v>
      </c>
    </row>
    <row r="2345">
      <c r="A2345" t="inlineStr">
        <is>
          <t>treatment of road wear emissions, passenger car</t>
        </is>
      </c>
      <c r="B2345">
        <v>-3.2522650169904065e-05</v>
      </c>
      <c r="C2345" t="inlineStr">
        <is>
          <t>RER</t>
        </is>
      </c>
      <c r="D2345" t="inlineStr">
        <is>
          <t>kilogram</t>
        </is>
      </c>
      <c r="F2345" t="inlineStr">
        <is>
          <t>technosphere</t>
        </is>
      </c>
      <c r="G2345" t="inlineStr">
        <is>
          <t>road wear emissions, passenger car</t>
        </is>
      </c>
      <c r="H2345" t="inlineStr">
        <is>
          <t>Road wear [kg/km]</t>
        </is>
      </c>
      <c r="I2345">
        <v>0</v>
      </c>
    </row>
    <row r="2346">
      <c r="A2346" t="inlineStr">
        <is>
          <t>treatment of tyre wear emissions, passenger car</t>
        </is>
      </c>
      <c r="B2346">
        <v>-2.1350377440557216e-05</v>
      </c>
      <c r="C2346" t="inlineStr">
        <is>
          <t>RER</t>
        </is>
      </c>
      <c r="D2346" t="inlineStr">
        <is>
          <t>kilogram</t>
        </is>
      </c>
      <c r="F2346" t="inlineStr">
        <is>
          <t>technosphere</t>
        </is>
      </c>
      <c r="G2346" t="inlineStr">
        <is>
          <t>tyre wear emissions, passenger car</t>
        </is>
      </c>
      <c r="H2346" t="inlineStr">
        <is>
          <t>Tire wear [kg/km]</t>
        </is>
      </c>
      <c r="I2346">
        <v>0</v>
      </c>
    </row>
    <row r="2347">
      <c r="A2347" t="inlineStr">
        <is>
          <t>treatment of brake wear emissions, passenger car</t>
        </is>
      </c>
      <c r="B2347">
        <v>-1.1905895030261116e-05</v>
      </c>
      <c r="C2347" t="inlineStr">
        <is>
          <t>RER</t>
        </is>
      </c>
      <c r="D2347" t="inlineStr">
        <is>
          <t>kilogram</t>
        </is>
      </c>
      <c r="F2347" t="inlineStr">
        <is>
          <t>technosphere</t>
        </is>
      </c>
      <c r="G2347" t="inlineStr">
        <is>
          <t>brake wear emissions, passenger car</t>
        </is>
      </c>
      <c r="H2347" t="inlineStr">
        <is>
          <t>Brake wear [kg/km]</t>
        </is>
      </c>
      <c r="I2347">
        <v>0</v>
      </c>
    </row>
    <row r="2348"/>
    <row r="2349">
      <c r="A2349" t="inlineStr">
        <is>
          <t>Activity</t>
        </is>
      </c>
      <c r="B2349" t="inlineStr">
        <is>
          <t>hydrogen, used in hydrogen motorcycle</t>
        </is>
      </c>
    </row>
    <row r="2350">
      <c r="A2350" t="inlineStr">
        <is>
          <t>location</t>
        </is>
      </c>
      <c r="B2350" t="inlineStr">
        <is>
          <t>CH</t>
        </is>
      </c>
    </row>
    <row r="2351">
      <c r="A2351" t="inlineStr">
        <is>
          <t>reference product</t>
        </is>
      </c>
      <c r="B2351" t="inlineStr">
        <is>
          <t>heat</t>
        </is>
      </c>
    </row>
    <row r="2352">
      <c r="A2352" t="inlineStr">
        <is>
          <t>type</t>
        </is>
      </c>
      <c r="B2352" t="inlineStr">
        <is>
          <t>process</t>
        </is>
      </c>
    </row>
    <row r="2353">
      <c r="A2353" t="inlineStr">
        <is>
          <t>unit</t>
        </is>
      </c>
      <c r="B2353" t="inlineStr">
        <is>
          <t>megajoule</t>
        </is>
      </c>
    </row>
    <row r="2354">
      <c r="A2354" t="inlineStr">
        <is>
          <t>source</t>
        </is>
      </c>
      <c r="B2354" t="inlineStr">
        <is>
          <t>Sacchi R., Bauer C. Life cycle inventories for on-road vehicles. Paul Scherrer Institut, 2021.</t>
        </is>
      </c>
    </row>
    <row r="2355">
      <c r="A2355" t="inlineStr">
        <is>
          <t>comment</t>
        </is>
      </c>
      <c r="B2355"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356">
      <c r="A2356" t="inlineStr">
        <is>
          <t>energy use source</t>
        </is>
      </c>
      <c r="B2356"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internal combustion engine, passenger car", "internal combustion engine, passenger car", "GLO", "kilogram"], "amount per vehicle": 91.5510482788086,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0.0004267582557876431},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 "vehicle per source service": 4.999999873689376e-06}], "alternative fuel recipe retained": false}</t>
        </is>
      </c>
    </row>
    <row r="2357">
      <c r="A2357" t="inlineStr">
        <is>
          <t>Exchanges</t>
        </is>
      </c>
    </row>
    <row r="2358">
      <c r="A2358" t="inlineStr">
        <is>
          <t>name</t>
        </is>
      </c>
      <c r="B2358" t="inlineStr">
        <is>
          <t>amount</t>
        </is>
      </c>
      <c r="C2358" t="inlineStr">
        <is>
          <t>location</t>
        </is>
      </c>
      <c r="D2358" t="inlineStr">
        <is>
          <t>unit</t>
        </is>
      </c>
      <c r="E2358" t="inlineStr">
        <is>
          <t>categories</t>
        </is>
      </c>
      <c r="F2358" t="inlineStr">
        <is>
          <t>type</t>
        </is>
      </c>
      <c r="G2358" t="inlineStr">
        <is>
          <t>reference product</t>
        </is>
      </c>
      <c r="H2358" t="inlineStr">
        <is>
          <t>comment</t>
        </is>
      </c>
      <c r="I2358" t="inlineStr">
        <is>
          <t>uncertainty type</t>
        </is>
      </c>
    </row>
    <row r="2359">
      <c r="A2359" t="inlineStr">
        <is>
          <t>hydrogen, used in hydrogen motorcycle</t>
        </is>
      </c>
      <c r="B2359">
        <v>1.0</v>
      </c>
      <c r="C2359" t="inlineStr">
        <is>
          <t>CH</t>
        </is>
      </c>
      <c r="D2359" t="inlineStr">
        <is>
          <t>megajoule</t>
        </is>
      </c>
      <c r="F2359" t="inlineStr">
        <is>
          <t>production</t>
        </is>
      </c>
      <c r="G2359" t="inlineStr">
        <is>
          <t>heat</t>
        </is>
      </c>
      <c r="H2359" t="inlineStr">
        <is>
          <t/>
        </is>
      </c>
      <c r="I2359">
        <v>0</v>
      </c>
    </row>
    <row r="2360">
      <c r="A2360" t="inlineStr">
        <is>
          <t>market for hydrogen, gaseous, low pressure</t>
        </is>
      </c>
      <c r="B2360">
        <v>0.008333333333333333</v>
      </c>
      <c r="C2360" t="inlineStr">
        <is>
          <t>RER</t>
        </is>
      </c>
      <c r="D2360" t="inlineStr">
        <is>
          <t>kilogram</t>
        </is>
      </c>
      <c r="F2360" t="inlineStr">
        <is>
          <t>technosphere</t>
        </is>
      </c>
      <c r="G2360" t="inlineStr">
        <is>
          <t>hydrogen, gaseous, low pressure</t>
        </is>
      </c>
      <c r="H2360" t="inlineStr">
        <is>
          <t>Default carculator fuel energy preserved (1.07263356625 MJ/vkm); premise reference LHV 120.0 MJ/kg. Regional scenario blend belongs to premise.</t>
        </is>
      </c>
      <c r="I2360">
        <v>0</v>
      </c>
    </row>
    <row r="2361">
      <c r="A2361" t="inlineStr">
        <is>
          <t>treatment of brake wear emissions, passenger car</t>
        </is>
      </c>
      <c r="B2361">
        <v>-7.811243251597881e-06</v>
      </c>
      <c r="C2361" t="inlineStr">
        <is>
          <t>RER</t>
        </is>
      </c>
      <c r="D2361" t="inlineStr">
        <is>
          <t>kilogram</t>
        </is>
      </c>
      <c r="F2361" t="inlineStr">
        <is>
          <t>technosphere</t>
        </is>
      </c>
      <c r="G2361" t="inlineStr">
        <is>
          <t>brake wear emissions, passenger car</t>
        </is>
      </c>
      <c r="I2361">
        <v>0</v>
      </c>
    </row>
    <row r="2362">
      <c r="A2362" t="inlineStr">
        <is>
          <t>treatment of road wear emissions, passenger car</t>
        </is>
      </c>
      <c r="B2362">
        <v>-1.7354722075946138e-05</v>
      </c>
      <c r="C2362" t="inlineStr">
        <is>
          <t>RER</t>
        </is>
      </c>
      <c r="D2362" t="inlineStr">
        <is>
          <t>kilogram</t>
        </is>
      </c>
      <c r="F2362" t="inlineStr">
        <is>
          <t>technosphere</t>
        </is>
      </c>
      <c r="G2362" t="inlineStr">
        <is>
          <t>road wear emissions, passenger car</t>
        </is>
      </c>
      <c r="I2362">
        <v>0</v>
      </c>
    </row>
    <row r="2363">
      <c r="A2363" t="inlineStr">
        <is>
          <t>treatment of tyre wear emissions, passenger car</t>
        </is>
      </c>
      <c r="B2363">
        <v>-1.9644274084031096e-05</v>
      </c>
      <c r="C2363" t="inlineStr">
        <is>
          <t>RER</t>
        </is>
      </c>
      <c r="D2363" t="inlineStr">
        <is>
          <t>kilogram</t>
        </is>
      </c>
      <c r="F2363" t="inlineStr">
        <is>
          <t>technosphere</t>
        </is>
      </c>
      <c r="G2363" t="inlineStr">
        <is>
          <t>tyre wear emissions, passenger car</t>
        </is>
      </c>
      <c r="I2363">
        <v>0</v>
      </c>
    </row>
    <row r="2364">
      <c r="A2364" t="inlineStr">
        <is>
          <t>market for tetrafluoroethane, R134a</t>
        </is>
      </c>
      <c r="B2364">
        <v>6.05985131483241e-06</v>
      </c>
      <c r="C2364" t="inlineStr">
        <is>
          <t>GLO</t>
        </is>
      </c>
      <c r="D2364" t="inlineStr">
        <is>
          <t>kilogram</t>
        </is>
      </c>
      <c r="F2364" t="inlineStr">
        <is>
          <t>technosphere</t>
        </is>
      </c>
      <c r="G2364" t="inlineStr">
        <is>
          <t>tetrafluoroethane, R134a</t>
        </is>
      </c>
      <c r="I2364">
        <v>0</v>
      </c>
    </row>
    <row r="2365">
      <c r="A2365" t="inlineStr">
        <is>
          <t>1,1,1,2-Tetrafluoroethane</t>
        </is>
      </c>
      <c r="B2365">
        <v>3.4960680173316915e-06</v>
      </c>
      <c r="D2365" t="inlineStr">
        <is>
          <t>kilogram</t>
        </is>
      </c>
      <c r="E2365" t="inlineStr">
        <is>
          <t>air</t>
        </is>
      </c>
      <c r="F2365" t="inlineStr">
        <is>
          <t>biosphere</t>
        </is>
      </c>
      <c r="I2365">
        <v>0</v>
      </c>
    </row>
    <row r="2366">
      <c r="A2366" t="inlineStr">
        <is>
          <t>market group for electricity, low voltage</t>
        </is>
      </c>
      <c r="B2366">
        <v>0.020421827056420445</v>
      </c>
      <c r="C2366" t="inlineStr">
        <is>
          <t>RER</t>
        </is>
      </c>
      <c r="D2366" t="inlineStr">
        <is>
          <t>kilowatt hour</t>
        </is>
      </c>
      <c r="F2366" t="inlineStr">
        <is>
          <t>technosphere</t>
        </is>
      </c>
      <c r="G2366" t="inlineStr">
        <is>
          <t>electricity, low voltage</t>
        </is>
      </c>
      <c r="H2366" t="inlineStr">
        <is>
          <t>Hydrogen tank compression, 30 to 700 bar: 2.45061924677 kWh/kg H2, using the model's default compressor assumptions and Premise's documented delivery pressure.</t>
        </is>
      </c>
      <c r="I2366">
        <v>0</v>
      </c>
    </row>
    <row r="2367">
      <c r="A2367" t="inlineStr">
        <is>
          <t>fuel cell Balance of Plant production, 1 kWe, proton exchange membrane (PEM), carculator passenger car 2020</t>
        </is>
      </c>
      <c r="B2367">
        <v>0.00013256366446464648</v>
      </c>
      <c r="C2367" t="inlineStr">
        <is>
          <t>GLO</t>
        </is>
      </c>
      <c r="D2367" t="inlineStr">
        <is>
          <t>unit</t>
        </is>
      </c>
      <c r="F2367" t="inlineStr">
        <is>
          <t>technosphere</t>
        </is>
      </c>
      <c r="G2367" t="inlineStr">
        <is>
          <t>fuel cell Balance of Plant, 1 kWe, proton exchange membrane (PEM)</t>
        </is>
      </c>
      <c r="H2367" t="inlineStr">
        <is>
          <t> Energy-use allocation: 28.43844795227051 * 4.999999873689376e-06 / 1.0726335662454156 MJ per kilometer.</t>
        </is>
      </c>
      <c r="I2367">
        <v>0</v>
      </c>
    </row>
    <row r="2368">
      <c r="A2368" t="inlineStr">
        <is>
          <t>fuel cell stack production, 1 kWe, proton exchange membrane (PEM), carculator passenger car 2020</t>
        </is>
      </c>
      <c r="B2368">
        <v>0.0006491343068889693</v>
      </c>
      <c r="C2368" t="inlineStr">
        <is>
          <t>GLO</t>
        </is>
      </c>
      <c r="D2368" t="inlineStr">
        <is>
          <t>unit</t>
        </is>
      </c>
      <c r="F2368" t="inlineStr">
        <is>
          <t>technosphere</t>
        </is>
      </c>
      <c r="G2368" t="inlineStr">
        <is>
          <t>fuel cell stack, 1 kWe, proton exchange membrane (PEM)</t>
        </is>
      </c>
      <c r="H2368" t="inlineStr">
        <is>
          <t> Energy-use allocation: 139.2566528320312 * 4.999999873689376e-06 / 1.0726335662454156 MJ per kilometer.</t>
        </is>
      </c>
      <c r="I2368">
        <v>0</v>
      </c>
    </row>
    <row r="2369">
      <c r="A2369" t="inlineStr">
        <is>
          <t>fuel tank, compressed hydrogen gas, 700bar, with HDPE liner, carculator passenger car 2020</t>
        </is>
      </c>
      <c r="B2369">
        <v>0.0004560088764646349</v>
      </c>
      <c r="C2369" t="inlineStr">
        <is>
          <t>RER</t>
        </is>
      </c>
      <c r="D2369" t="inlineStr">
        <is>
          <t>kilogram</t>
        </is>
      </c>
      <c r="F2369" t="inlineStr">
        <is>
          <t>technosphere</t>
        </is>
      </c>
      <c r="G2369" t="inlineStr">
        <is>
          <t>hydrogen tank</t>
        </is>
      </c>
      <c r="H2369" t="inlineStr">
        <is>
          <t> Energy-use allocation: 97.82608795166016 * 4.999999873689376e-06 / 1.0726335662454156 MJ per kilometer.</t>
        </is>
      </c>
      <c r="I2369">
        <v>0</v>
      </c>
    </row>
    <row r="2370">
      <c r="A2370" t="inlineStr">
        <is>
          <t>market for converter, for electric passenger car</t>
        </is>
      </c>
      <c r="B2370">
        <v>2.0839605113863403e-05</v>
      </c>
      <c r="C2370" t="inlineStr">
        <is>
          <t>GLO</t>
        </is>
      </c>
      <c r="D2370" t="inlineStr">
        <is>
          <t>kilogram</t>
        </is>
      </c>
      <c r="F2370" t="inlineStr">
        <is>
          <t>technosphere</t>
        </is>
      </c>
      <c r="G2370" t="inlineStr">
        <is>
          <t>converter, for electric passenger car</t>
        </is>
      </c>
      <c r="H2370" t="inlineStr">
        <is>
          <t> Energy-use allocation: 4.470652103424072 * 4.999999873689376e-06 / 1.0726335662454156 MJ per kilometer.</t>
        </is>
      </c>
      <c r="I2370">
        <v>0</v>
      </c>
    </row>
    <row r="2371">
      <c r="A2371" t="inlineStr">
        <is>
          <t>market for electric motor, electric passenger car</t>
        </is>
      </c>
      <c r="B2371">
        <v>0.0004290234592004841</v>
      </c>
      <c r="C2371" t="inlineStr">
        <is>
          <t>GLO</t>
        </is>
      </c>
      <c r="D2371" t="inlineStr">
        <is>
          <t>kilogram</t>
        </is>
      </c>
      <c r="F2371" t="inlineStr">
        <is>
          <t>technosphere</t>
        </is>
      </c>
      <c r="G2371" t="inlineStr">
        <is>
          <t>electric motor, electric passenger car</t>
        </is>
      </c>
      <c r="H2371" t="inlineStr">
        <is>
          <t> Energy-use allocation: 92.03699493408203 * 4.999999873689376e-06 / 1.0726335662454156 MJ per kilometer.</t>
        </is>
      </c>
      <c r="I2371">
        <v>0</v>
      </c>
    </row>
    <row r="2372">
      <c r="A2372" t="inlineStr">
        <is>
          <t>market for internal combustion engine, passenger car</t>
        </is>
      </c>
      <c r="B2372">
        <v>0.0004267582557876431</v>
      </c>
      <c r="C2372" t="inlineStr">
        <is>
          <t>GLO</t>
        </is>
      </c>
      <c r="D2372" t="inlineStr">
        <is>
          <t>kilogram</t>
        </is>
      </c>
      <c r="F2372" t="inlineStr">
        <is>
          <t>technosphere</t>
        </is>
      </c>
      <c r="G2372" t="inlineStr">
        <is>
          <t>internal combustion engine, passenger car</t>
        </is>
      </c>
      <c r="H2372" t="inlineStr">
        <is>
          <t> Energy-use allocation: 91.5510482788086 * 4.999999873689376e-06 / 1.0726335662454156 MJ per kilometer.</t>
        </is>
      </c>
      <c r="I2372">
        <v>0</v>
      </c>
    </row>
    <row r="2373">
      <c r="A2373" t="inlineStr">
        <is>
          <t>market for inverter, for electric passenger car</t>
        </is>
      </c>
      <c r="B2373">
        <v>4.1679210227726807e-05</v>
      </c>
      <c r="C2373" t="inlineStr">
        <is>
          <t>GLO</t>
        </is>
      </c>
      <c r="D2373" t="inlineStr">
        <is>
          <t>kilogram</t>
        </is>
      </c>
      <c r="F2373" t="inlineStr">
        <is>
          <t>technosphere</t>
        </is>
      </c>
      <c r="G2373" t="inlineStr">
        <is>
          <t>inverter, for electric passenger car</t>
        </is>
      </c>
      <c r="H2373" t="inlineStr">
        <is>
          <t> Energy-use allocation: 8.941304206848145 * 4.999999873689376e-06 / 1.0726335662454156 MJ per kilometer.</t>
        </is>
      </c>
      <c r="I2373">
        <v>0</v>
      </c>
    </row>
    <row r="2374">
      <c r="A2374" t="inlineStr">
        <is>
          <t>market for power distribution unit, for electric passenger car</t>
        </is>
      </c>
      <c r="B2374">
        <v>1.852409331105968e-05</v>
      </c>
      <c r="C2374" t="inlineStr">
        <is>
          <t>GLO</t>
        </is>
      </c>
      <c r="D2374" t="inlineStr">
        <is>
          <t>kilogram</t>
        </is>
      </c>
      <c r="F2374" t="inlineStr">
        <is>
          <t>technosphere</t>
        </is>
      </c>
      <c r="G2374" t="inlineStr">
        <is>
          <t>power distribution unit, for electric passenger car</t>
        </is>
      </c>
      <c r="H2374" t="inlineStr">
        <is>
          <t> Energy-use allocation: 3.973912954330444 * 4.999999873689376e-06 / 1.0726335662454156 MJ per kilometer.</t>
        </is>
      </c>
      <c r="I2374">
        <v>0</v>
      </c>
    </row>
    <row r="2375">
      <c r="A2375" t="inlineStr">
        <is>
          <t>market for used powertrain from electric passenger car, manual dismantling</t>
        </is>
      </c>
      <c r="B2375">
        <v>-0.0016750567184222265</v>
      </c>
      <c r="C2375" t="inlineStr">
        <is>
          <t>GLO</t>
        </is>
      </c>
      <c r="D2375" t="inlineStr">
        <is>
          <t>kilogram</t>
        </is>
      </c>
      <c r="F2375" t="inlineStr">
        <is>
          <t>technosphere</t>
        </is>
      </c>
      <c r="G2375" t="inlineStr">
        <is>
          <t>used powertrain from electric passenger car, manual dismantling</t>
        </is>
      </c>
      <c r="H2375" t="inlineStr">
        <is>
          <t> Energy-use allocation: -359.3444213867188 * 4.999999873689376e-06 / 1.0726335662454156 MJ per kilometer.</t>
        </is>
      </c>
      <c r="I2375">
        <v>0</v>
      </c>
    </row>
    <row r="2376">
      <c r="A2376" t="inlineStr">
        <is>
          <t>market for waste plastic, industrial electronics</t>
        </is>
      </c>
      <c r="B2376">
        <v>-0.0004560088764646349</v>
      </c>
      <c r="C2376" t="inlineStr">
        <is>
          <t>CH</t>
        </is>
      </c>
      <c r="D2376" t="inlineStr">
        <is>
          <t>kilogram</t>
        </is>
      </c>
      <c r="F2376" t="inlineStr">
        <is>
          <t>technosphere</t>
        </is>
      </c>
      <c r="G2376" t="inlineStr">
        <is>
          <t>waste plastic, industrial electronics</t>
        </is>
      </c>
      <c r="H2376" t="inlineStr">
        <is>
          <t> Energy-use allocation: -97.82608795166016 * 4.999999873689376e-06 / 1.0726335662454156 MJ per kilometer.</t>
        </is>
      </c>
      <c r="I2376">
        <v>0</v>
      </c>
    </row>
    <row r="2377">
      <c r="A2377" t="inlineStr">
        <is>
          <t>market for battery capacity (MIX scenario)</t>
        </is>
      </c>
      <c r="B2377">
        <v>7.446961466462621e-06</v>
      </c>
      <c r="C2377" t="inlineStr">
        <is>
          <t>GLO</t>
        </is>
      </c>
      <c r="D2377" t="inlineStr">
        <is>
          <t>kilowatt hour</t>
        </is>
      </c>
      <c r="F2377" t="inlineStr">
        <is>
          <t>technosphere</t>
        </is>
      </c>
      <c r="G2377" t="inlineStr">
        <is>
          <t>electricity storage capacity</t>
        </is>
      </c>
      <c r="H2377" t="inlineStr">
        <is>
          <t>1.59757220745 kWh nominal * (1 + 0 lifetime replacements). Capacity market includes battery manufacture AND end of life; original kg pack and disposal removed. Energy-use allocation: 1.597572207450867 * 4.999999873689376e-06 / 1.0726335662454156 MJ per kilometer.</t>
        </is>
      </c>
      <c r="I2377">
        <v>0</v>
      </c>
    </row>
    <row r="2378"/>
    <row r="2379">
      <c r="A2379" t="inlineStr">
        <is>
          <t>Activity</t>
        </is>
      </c>
      <c r="B2379" t="inlineStr">
        <is>
          <t>petrol, burned in motorcycle</t>
        </is>
      </c>
    </row>
    <row r="2380">
      <c r="A2380" t="inlineStr">
        <is>
          <t>location</t>
        </is>
      </c>
      <c r="B2380" t="inlineStr">
        <is>
          <t>CH</t>
        </is>
      </c>
    </row>
    <row r="2381">
      <c r="A2381" t="inlineStr">
        <is>
          <t>production amount</t>
        </is>
      </c>
      <c r="B2381">
        <v>1</v>
      </c>
    </row>
    <row r="2382">
      <c r="A2382" t="inlineStr">
        <is>
          <t>reference product</t>
        </is>
      </c>
      <c r="B2382" t="inlineStr">
        <is>
          <t>heat</t>
        </is>
      </c>
    </row>
    <row r="2383">
      <c r="A2383" t="inlineStr">
        <is>
          <t>type</t>
        </is>
      </c>
      <c r="B2383" t="inlineStr">
        <is>
          <t>process</t>
        </is>
      </c>
    </row>
    <row r="2384">
      <c r="A2384" t="inlineStr">
        <is>
          <t>unit</t>
        </is>
      </c>
      <c r="B2384" t="inlineStr">
        <is>
          <t>megajoule</t>
        </is>
      </c>
    </row>
    <row r="2385">
      <c r="A2385" t="inlineStr">
        <is>
          <t>energy use source</t>
        </is>
      </c>
      <c r="B2385"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t>
        </is>
      </c>
    </row>
    <row r="2386">
      <c r="A2386" t="inlineStr">
        <is>
          <t>comment</t>
        </is>
      </c>
      <c r="B2386"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87">
      <c r="A2387" t="inlineStr">
        <is>
          <t>Exchanges</t>
        </is>
      </c>
    </row>
    <row r="2388">
      <c r="A2388" t="inlineStr">
        <is>
          <t>name</t>
        </is>
      </c>
      <c r="B2388" t="inlineStr">
        <is>
          <t>amount</t>
        </is>
      </c>
      <c r="C2388" t="inlineStr">
        <is>
          <t>location</t>
        </is>
      </c>
      <c r="D2388" t="inlineStr">
        <is>
          <t>unit</t>
        </is>
      </c>
      <c r="E2388" t="inlineStr">
        <is>
          <t>categories</t>
        </is>
      </c>
      <c r="F2388" t="inlineStr">
        <is>
          <t>type</t>
        </is>
      </c>
      <c r="G2388" t="inlineStr">
        <is>
          <t>reference product</t>
        </is>
      </c>
      <c r="H2388" t="inlineStr">
        <is>
          <t>comment</t>
        </is>
      </c>
      <c r="I2388" t="inlineStr">
        <is>
          <t>uncertainty type</t>
        </is>
      </c>
    </row>
    <row r="2389">
      <c r="A2389" t="inlineStr">
        <is>
          <t>petrol, burned in motorcycle</t>
        </is>
      </c>
      <c r="B2389">
        <v>1.0</v>
      </c>
      <c r="C2389" t="inlineStr">
        <is>
          <t>CH</t>
        </is>
      </c>
      <c r="D2389" t="inlineStr">
        <is>
          <t>megajoule</t>
        </is>
      </c>
      <c r="F2389" t="inlineStr">
        <is>
          <t>production</t>
        </is>
      </c>
      <c r="G2389" t="inlineStr">
        <is>
          <t>heat</t>
        </is>
      </c>
      <c r="I2389">
        <v>0</v>
      </c>
    </row>
    <row r="2390">
      <c r="A2390" t="inlineStr">
        <is>
          <t>fuel supply for gasoline vehicles</t>
        </is>
      </c>
      <c r="B2390">
        <v>0.02347417840375587</v>
      </c>
      <c r="C2390" t="inlineStr">
        <is>
          <t>CH</t>
        </is>
      </c>
      <c r="D2390" t="inlineStr">
        <is>
          <t>kilogram</t>
        </is>
      </c>
      <c r="F2390" t="inlineStr">
        <is>
          <t>technosphere</t>
        </is>
      </c>
      <c r="G2390" t="inlineStr">
        <is>
          <t>gasoline blend</t>
        </is>
      </c>
      <c r="H2390" t="inlineStr">
        <is>
          <t>Gasoline consumption [MJ/km]</t>
        </is>
      </c>
      <c r="I2390">
        <v>0</v>
      </c>
    </row>
    <row r="2391">
      <c r="A2391" t="inlineStr">
        <is>
          <t>polyethylene production, high density, granulate</t>
        </is>
      </c>
      <c r="B2391">
        <v>3.004649931974593e-05</v>
      </c>
      <c r="C2391" t="inlineStr">
        <is>
          <t>RER</t>
        </is>
      </c>
      <c r="D2391" t="inlineStr">
        <is>
          <t>kilogram</t>
        </is>
      </c>
      <c r="F2391" t="inlineStr">
        <is>
          <t>technosphere</t>
        </is>
      </c>
      <c r="G2391" t="inlineStr">
        <is>
          <t>polyethylene, high density, granulate</t>
        </is>
      </c>
      <c r="H2391" t="inlineStr">
        <is>
          <t>Fuel tank mass [kg] Energy-use allocation: 1.6875 * 2.5974025974025975e-05 / 1.4587778883899432 MJ per kilometer.</t>
        </is>
      </c>
      <c r="I2391">
        <v>0</v>
      </c>
    </row>
    <row r="2392">
      <c r="A2392" t="inlineStr">
        <is>
          <t>Carbon dioxide, fossil</t>
        </is>
      </c>
      <c r="B2392">
        <v>0.0728244131455399</v>
      </c>
      <c r="D2392" t="inlineStr">
        <is>
          <t>kilogram</t>
        </is>
      </c>
      <c r="E2392" t="inlineStr">
        <is>
          <t>air::urban air close to ground</t>
        </is>
      </c>
      <c r="F2392" t="inlineStr">
        <is>
          <t>biosphere</t>
        </is>
      </c>
      <c r="H2392" t="inlineStr">
        <is>
          <t>CO2</t>
        </is>
      </c>
      <c r="I2392">
        <v>0</v>
      </c>
    </row>
    <row r="2393">
      <c r="A2393" t="inlineStr">
        <is>
          <t>Carbon dioxide, from soil or biomass stock</t>
        </is>
      </c>
      <c r="B2393">
        <v>0.0008845070422535212</v>
      </c>
      <c r="D2393" t="inlineStr">
        <is>
          <t>kilogram</t>
        </is>
      </c>
      <c r="E2393" t="inlineStr">
        <is>
          <t>air::urban air close to ground</t>
        </is>
      </c>
      <c r="F2393" t="inlineStr">
        <is>
          <t>biosphere</t>
        </is>
      </c>
      <c r="H2393" t="inlineStr">
        <is>
          <t>CO2, bio</t>
        </is>
      </c>
      <c r="I2393">
        <v>0</v>
      </c>
    </row>
    <row r="2394">
      <c r="A2394" t="inlineStr">
        <is>
          <t>Sulfur dioxide</t>
        </is>
      </c>
      <c r="B2394">
        <v>3.755868544600939e-07</v>
      </c>
      <c r="D2394" t="inlineStr">
        <is>
          <t>kilogram</t>
        </is>
      </c>
      <c r="E2394" t="inlineStr">
        <is>
          <t>air::urban air close to ground</t>
        </is>
      </c>
      <c r="F2394" t="inlineStr">
        <is>
          <t>biosphere</t>
        </is>
      </c>
      <c r="H2394" t="inlineStr">
        <is>
          <t>SO2</t>
        </is>
      </c>
      <c r="I2394">
        <v>0</v>
      </c>
    </row>
    <row r="2395">
      <c r="A2395" t="inlineStr">
        <is>
          <t>Benzene</t>
        </is>
      </c>
      <c r="B2395">
        <v>7.62340991328562e-07</v>
      </c>
      <c r="D2395" t="inlineStr">
        <is>
          <t>kilogram</t>
        </is>
      </c>
      <c r="E2395" t="inlineStr">
        <is>
          <t>air::urban air close to ground</t>
        </is>
      </c>
      <c r="F2395" t="inlineStr">
        <is>
          <t>biosphere</t>
        </is>
      </c>
      <c r="H2395" t="inlineStr">
        <is>
          <t>Benzene</t>
        </is>
      </c>
      <c r="I2395">
        <v>0</v>
      </c>
    </row>
    <row r="2396">
      <c r="A2396" t="inlineStr">
        <is>
          <t>Methane, fossil</t>
        </is>
      </c>
      <c r="B2396">
        <v>1.8797075715851682e-05</v>
      </c>
      <c r="D2396" t="inlineStr">
        <is>
          <t>kilogram</t>
        </is>
      </c>
      <c r="E2396" t="inlineStr">
        <is>
          <t>air::urban air close to ground</t>
        </is>
      </c>
      <c r="F2396" t="inlineStr">
        <is>
          <t>biosphere</t>
        </is>
      </c>
      <c r="H2396" t="inlineStr">
        <is>
          <t>CH4</t>
        </is>
      </c>
      <c r="I2396">
        <v>0</v>
      </c>
    </row>
    <row r="2397">
      <c r="A2397" t="inlineStr">
        <is>
          <t>Carbon monoxide, fossil</t>
        </is>
      </c>
      <c r="B2397">
        <v>8.345515188546348e-05</v>
      </c>
      <c r="D2397" t="inlineStr">
        <is>
          <t>kilogram</t>
        </is>
      </c>
      <c r="E2397" t="inlineStr">
        <is>
          <t>air::urban air close to ground</t>
        </is>
      </c>
      <c r="F2397" t="inlineStr">
        <is>
          <t>biosphere</t>
        </is>
      </c>
      <c r="H2397" t="inlineStr">
        <is>
          <t>CO</t>
        </is>
      </c>
      <c r="I2397">
        <v>0</v>
      </c>
    </row>
    <row r="2398">
      <c r="A2398" t="inlineStr">
        <is>
          <t>Dinitrogen monoxide</t>
        </is>
      </c>
      <c r="B2398">
        <v>5.653255854391483e-07</v>
      </c>
      <c r="D2398" t="inlineStr">
        <is>
          <t>kilogram</t>
        </is>
      </c>
      <c r="E2398" t="inlineStr">
        <is>
          <t>air::urban air close to ground</t>
        </is>
      </c>
      <c r="F2398" t="inlineStr">
        <is>
          <t>biosphere</t>
        </is>
      </c>
      <c r="H2398" t="inlineStr">
        <is>
          <t>N2O</t>
        </is>
      </c>
      <c r="I2398">
        <v>0</v>
      </c>
    </row>
    <row r="2399">
      <c r="A2399" t="inlineStr">
        <is>
          <t>Ammonia</t>
        </is>
      </c>
      <c r="B2399">
        <v>5.653255854391483e-07</v>
      </c>
      <c r="D2399" t="inlineStr">
        <is>
          <t>kilogram</t>
        </is>
      </c>
      <c r="E2399" t="inlineStr">
        <is>
          <t>air::urban air close to ground</t>
        </is>
      </c>
      <c r="F2399" t="inlineStr">
        <is>
          <t>biosphere</t>
        </is>
      </c>
      <c r="H2399" t="inlineStr">
        <is>
          <t>NH3</t>
        </is>
      </c>
      <c r="I2399">
        <v>0</v>
      </c>
    </row>
    <row r="2400">
      <c r="A2400" t="inlineStr">
        <is>
          <t>Nitrogen oxides</t>
        </is>
      </c>
      <c r="B2400">
        <v>6.162014101297245e-06</v>
      </c>
      <c r="D2400" t="inlineStr">
        <is>
          <t>kilogram</t>
        </is>
      </c>
      <c r="E2400" t="inlineStr">
        <is>
          <t>air::urban air close to ground</t>
        </is>
      </c>
      <c r="F2400" t="inlineStr">
        <is>
          <t>biosphere</t>
        </is>
      </c>
      <c r="H2400" t="inlineStr">
        <is>
          <t>NOx</t>
        </is>
      </c>
      <c r="I2400">
        <v>0</v>
      </c>
    </row>
    <row r="2401">
      <c r="A2401" t="inlineStr">
        <is>
          <t>Particulate Matter, &lt; 2.5 um</t>
        </is>
      </c>
      <c r="B2401">
        <v>1.4133139635978708e-06</v>
      </c>
      <c r="D2401" t="inlineStr">
        <is>
          <t>kilogram</t>
        </is>
      </c>
      <c r="E2401" t="inlineStr">
        <is>
          <t>air::urban air close to ground</t>
        </is>
      </c>
      <c r="F2401" t="inlineStr">
        <is>
          <t>biosphere</t>
        </is>
      </c>
      <c r="H2401" t="inlineStr">
        <is>
          <t>PM2.5</t>
        </is>
      </c>
      <c r="I2401">
        <v>0</v>
      </c>
    </row>
    <row r="2402">
      <c r="A2402" t="inlineStr">
        <is>
          <t>NMVOC, non-methane volatile organic compounds</t>
        </is>
      </c>
      <c r="B2402">
        <v>6.1476482081469075e-06</v>
      </c>
      <c r="D2402" t="inlineStr">
        <is>
          <t>kilogram</t>
        </is>
      </c>
      <c r="E2402" t="inlineStr">
        <is>
          <t>air::urban air close to ground</t>
        </is>
      </c>
      <c r="F2402" t="inlineStr">
        <is>
          <t>biosphere</t>
        </is>
      </c>
      <c r="H2402" t="inlineStr">
        <is>
          <t>NMVOC</t>
        </is>
      </c>
      <c r="I2402">
        <v>0</v>
      </c>
    </row>
    <row r="2403">
      <c r="A2403" t="inlineStr">
        <is>
          <t>Ethane</t>
        </is>
      </c>
      <c r="B2403">
        <v>4.3348801467702544e-07</v>
      </c>
      <c r="D2403" t="inlineStr">
        <is>
          <t>kilogram</t>
        </is>
      </c>
      <c r="E2403" t="inlineStr">
        <is>
          <t>air::urban air close to ground</t>
        </is>
      </c>
      <c r="F2403" t="inlineStr">
        <is>
          <t>biosphere</t>
        </is>
      </c>
      <c r="H2403" t="inlineStr">
        <is>
          <t>Ethane</t>
        </is>
      </c>
      <c r="I2403">
        <v>0</v>
      </c>
    </row>
    <row r="2404">
      <c r="A2404" t="inlineStr">
        <is>
          <t>Propane</t>
        </is>
      </c>
      <c r="B2404">
        <v>8.832827885268543e-08</v>
      </c>
      <c r="D2404" t="inlineStr">
        <is>
          <t>kilogram</t>
        </is>
      </c>
      <c r="E2404" t="inlineStr">
        <is>
          <t>air::urban air close to ground</t>
        </is>
      </c>
      <c r="F2404" t="inlineStr">
        <is>
          <t>biosphere</t>
        </is>
      </c>
      <c r="H2404" t="inlineStr">
        <is>
          <t>Propane</t>
        </is>
      </c>
      <c r="I2404">
        <v>0</v>
      </c>
    </row>
    <row r="2405">
      <c r="A2405" t="inlineStr">
        <is>
          <t>Butane</t>
        </is>
      </c>
      <c r="B2405">
        <v>7.120618172124179e-07</v>
      </c>
      <c r="D2405" t="inlineStr">
        <is>
          <t>kilogram</t>
        </is>
      </c>
      <c r="E2405" t="inlineStr">
        <is>
          <t>air::urban air close to ground</t>
        </is>
      </c>
      <c r="F2405" t="inlineStr">
        <is>
          <t>biosphere</t>
        </is>
      </c>
      <c r="H2405" t="inlineStr">
        <is>
          <t>Butane</t>
        </is>
      </c>
      <c r="I2405">
        <v>0</v>
      </c>
    </row>
    <row r="2406">
      <c r="A2406" t="inlineStr">
        <is>
          <t>Pentane</t>
        </is>
      </c>
      <c r="B2406">
        <v>2.9216276851272876e-07</v>
      </c>
      <c r="D2406" t="inlineStr">
        <is>
          <t>kilogram</t>
        </is>
      </c>
      <c r="E2406" t="inlineStr">
        <is>
          <t>air::urban air close to ground</t>
        </is>
      </c>
      <c r="F2406" t="inlineStr">
        <is>
          <t>biosphere</t>
        </is>
      </c>
      <c r="H2406" t="inlineStr">
        <is>
          <t>Pentane</t>
        </is>
      </c>
      <c r="I2406">
        <v>0</v>
      </c>
    </row>
    <row r="2407">
      <c r="A2407" t="inlineStr">
        <is>
          <t>Hexane</t>
        </is>
      </c>
      <c r="B2407">
        <v>2.1878235223511317e-07</v>
      </c>
      <c r="D2407" t="inlineStr">
        <is>
          <t>kilogram</t>
        </is>
      </c>
      <c r="E2407" t="inlineStr">
        <is>
          <t>air::urban air close to ground</t>
        </is>
      </c>
      <c r="F2407" t="inlineStr">
        <is>
          <t>biosphere</t>
        </is>
      </c>
      <c r="H2407" t="inlineStr">
        <is>
          <t>Hexane</t>
        </is>
      </c>
      <c r="I2407">
        <v>0</v>
      </c>
    </row>
    <row r="2408">
      <c r="A2408" t="inlineStr">
        <is>
          <t>Cyclohexane</t>
        </is>
      </c>
      <c r="B2408">
        <v>1.5491421214163292e-07</v>
      </c>
      <c r="D2408" t="inlineStr">
        <is>
          <t>kilogram</t>
        </is>
      </c>
      <c r="E2408" t="inlineStr">
        <is>
          <t>air::urban air close to ground</t>
        </is>
      </c>
      <c r="F2408" t="inlineStr">
        <is>
          <t>biosphere</t>
        </is>
      </c>
      <c r="H2408" t="inlineStr">
        <is>
          <t>Cyclohexane</t>
        </is>
      </c>
      <c r="I2408">
        <v>0</v>
      </c>
    </row>
    <row r="2409">
      <c r="A2409" t="inlineStr">
        <is>
          <t>Heptane</t>
        </is>
      </c>
      <c r="B2409">
        <v>1.0055834823228804e-07</v>
      </c>
      <c r="D2409" t="inlineStr">
        <is>
          <t>kilogram</t>
        </is>
      </c>
      <c r="E2409" t="inlineStr">
        <is>
          <t>air::urban air close to ground</t>
        </is>
      </c>
      <c r="F2409" t="inlineStr">
        <is>
          <t>biosphere</t>
        </is>
      </c>
      <c r="H2409" t="inlineStr">
        <is>
          <t>Heptane</t>
        </is>
      </c>
      <c r="I2409">
        <v>0</v>
      </c>
    </row>
    <row r="2410">
      <c r="A2410" t="inlineStr">
        <is>
          <t>Ethylene</t>
        </is>
      </c>
      <c r="B2410">
        <v>9.919945163455441e-07</v>
      </c>
      <c r="D2410" t="inlineStr">
        <is>
          <t>kilogram</t>
        </is>
      </c>
      <c r="E2410" t="inlineStr">
        <is>
          <t>air::urban air close to ground</t>
        </is>
      </c>
      <c r="F2410" t="inlineStr">
        <is>
          <t>biosphere</t>
        </is>
      </c>
      <c r="H2410" t="inlineStr">
        <is>
          <t>Ethene</t>
        </is>
      </c>
      <c r="I2410">
        <v>0</v>
      </c>
    </row>
    <row r="2411">
      <c r="A2411" t="inlineStr">
        <is>
          <t>Propylene</t>
        </is>
      </c>
      <c r="B2411">
        <v>5.190985003342436e-07</v>
      </c>
      <c r="D2411" t="inlineStr">
        <is>
          <t>kilogram</t>
        </is>
      </c>
      <c r="E2411" t="inlineStr">
        <is>
          <t>air::urban air close to ground</t>
        </is>
      </c>
      <c r="F2411" t="inlineStr">
        <is>
          <t>biosphere</t>
        </is>
      </c>
      <c r="H2411" t="inlineStr">
        <is>
          <t>Propene</t>
        </is>
      </c>
      <c r="I2411">
        <v>0</v>
      </c>
    </row>
    <row r="2412">
      <c r="A2412" t="inlineStr">
        <is>
          <t>1-Pentene</t>
        </is>
      </c>
      <c r="B2412">
        <v>1.4947862575069847e-08</v>
      </c>
      <c r="D2412" t="inlineStr">
        <is>
          <t>kilogram</t>
        </is>
      </c>
      <c r="E2412" t="inlineStr">
        <is>
          <t>air::urban air close to ground</t>
        </is>
      </c>
      <c r="F2412" t="inlineStr">
        <is>
          <t>biosphere</t>
        </is>
      </c>
      <c r="H2412" t="inlineStr">
        <is>
          <t>1-Pentene</t>
        </is>
      </c>
      <c r="I2412">
        <v>0</v>
      </c>
    </row>
    <row r="2413">
      <c r="A2413" t="inlineStr">
        <is>
          <t>Toluene</t>
        </is>
      </c>
      <c r="B2413">
        <v>1.4920684643115172e-06</v>
      </c>
      <c r="D2413" t="inlineStr">
        <is>
          <t>kilogram</t>
        </is>
      </c>
      <c r="E2413" t="inlineStr">
        <is>
          <t>air::urban air close to ground</t>
        </is>
      </c>
      <c r="F2413" t="inlineStr">
        <is>
          <t>biosphere</t>
        </is>
      </c>
      <c r="H2413" t="inlineStr">
        <is>
          <t>Toluene</t>
        </is>
      </c>
      <c r="I2413">
        <v>0</v>
      </c>
    </row>
    <row r="2414">
      <c r="A2414" t="inlineStr">
        <is>
          <t>m-Xylene</t>
        </is>
      </c>
      <c r="B2414">
        <v>7.37880852569357e-07</v>
      </c>
      <c r="D2414" t="inlineStr">
        <is>
          <t>kilogram</t>
        </is>
      </c>
      <c r="E2414" t="inlineStr">
        <is>
          <t>air::urban air close to ground</t>
        </is>
      </c>
      <c r="F2414" t="inlineStr">
        <is>
          <t>biosphere</t>
        </is>
      </c>
      <c r="H2414" t="inlineStr">
        <is>
          <t>m-Xylene</t>
        </is>
      </c>
      <c r="I2414">
        <v>0</v>
      </c>
    </row>
    <row r="2415">
      <c r="A2415" t="inlineStr">
        <is>
          <t>o-Xylene</t>
        </is>
      </c>
      <c r="B2415">
        <v>3.071106310877986e-07</v>
      </c>
      <c r="D2415" t="inlineStr">
        <is>
          <t>kilogram</t>
        </is>
      </c>
      <c r="E2415" t="inlineStr">
        <is>
          <t>air::urban air close to ground</t>
        </is>
      </c>
      <c r="F2415" t="inlineStr">
        <is>
          <t>biosphere</t>
        </is>
      </c>
      <c r="H2415" t="inlineStr">
        <is>
          <t>o-Xylene</t>
        </is>
      </c>
      <c r="I2415">
        <v>0</v>
      </c>
    </row>
    <row r="2416">
      <c r="A2416" t="inlineStr">
        <is>
          <t>Formaldehyde</t>
        </is>
      </c>
      <c r="B2416">
        <v>2.310124216147158e-07</v>
      </c>
      <c r="D2416" t="inlineStr">
        <is>
          <t>kilogram</t>
        </is>
      </c>
      <c r="E2416" t="inlineStr">
        <is>
          <t>air::urban air close to ground</t>
        </is>
      </c>
      <c r="F2416" t="inlineStr">
        <is>
          <t>biosphere</t>
        </is>
      </c>
      <c r="H2416" t="inlineStr">
        <is>
          <t>Formaldehyde</t>
        </is>
      </c>
      <c r="I2416">
        <v>0</v>
      </c>
    </row>
    <row r="2417">
      <c r="A2417" t="inlineStr">
        <is>
          <t>Acetaldehyde</t>
        </is>
      </c>
      <c r="B2417">
        <v>1.0191724483002165e-07</v>
      </c>
      <c r="D2417" t="inlineStr">
        <is>
          <t>kilogram</t>
        </is>
      </c>
      <c r="E2417" t="inlineStr">
        <is>
          <t>air::urban air close to ground</t>
        </is>
      </c>
      <c r="F2417" t="inlineStr">
        <is>
          <t>biosphere</t>
        </is>
      </c>
      <c r="H2417" t="inlineStr">
        <is>
          <t>Acetaldehyde</t>
        </is>
      </c>
      <c r="I2417">
        <v>0</v>
      </c>
    </row>
    <row r="2418">
      <c r="A2418" t="inlineStr">
        <is>
          <t>Benzaldehyde</t>
        </is>
      </c>
      <c r="B2418">
        <v>2.9895725150139694e-08</v>
      </c>
      <c r="D2418" t="inlineStr">
        <is>
          <t>kilogram</t>
        </is>
      </c>
      <c r="E2418" t="inlineStr">
        <is>
          <t>air::urban air close to ground</t>
        </is>
      </c>
      <c r="F2418" t="inlineStr">
        <is>
          <t>biosphere</t>
        </is>
      </c>
      <c r="H2418" t="inlineStr">
        <is>
          <t>Benzaldehyde</t>
        </is>
      </c>
      <c r="I2418">
        <v>0</v>
      </c>
    </row>
    <row r="2419">
      <c r="A2419" t="inlineStr">
        <is>
          <t>Acetone</t>
        </is>
      </c>
      <c r="B2419">
        <v>8.289269246175097e-08</v>
      </c>
      <c r="D2419" t="inlineStr">
        <is>
          <t>kilogram</t>
        </is>
      </c>
      <c r="E2419" t="inlineStr">
        <is>
          <t>air::urban air close to ground</t>
        </is>
      </c>
      <c r="F2419" t="inlineStr">
        <is>
          <t>biosphere</t>
        </is>
      </c>
      <c r="H2419" t="inlineStr">
        <is>
          <t>Acetone</t>
        </is>
      </c>
      <c r="I2419">
        <v>0</v>
      </c>
    </row>
    <row r="2420">
      <c r="A2420" t="inlineStr">
        <is>
          <t>Methyl ethyl ketone</t>
        </is>
      </c>
      <c r="B2420">
        <v>0.0</v>
      </c>
      <c r="D2420" t="inlineStr">
        <is>
          <t>kilogram</t>
        </is>
      </c>
      <c r="E2420" t="inlineStr">
        <is>
          <t>air::urban air close to ground</t>
        </is>
      </c>
      <c r="F2420" t="inlineStr">
        <is>
          <t>biosphere</t>
        </is>
      </c>
      <c r="H2420" t="inlineStr">
        <is>
          <t>Methyl ethyl ketone</t>
        </is>
      </c>
      <c r="I2420">
        <v>0</v>
      </c>
    </row>
    <row r="2421">
      <c r="A2421" t="inlineStr">
        <is>
          <t>Acrolein</t>
        </is>
      </c>
      <c r="B2421">
        <v>2.581903535693882e-08</v>
      </c>
      <c r="D2421" t="inlineStr">
        <is>
          <t>kilogram</t>
        </is>
      </c>
      <c r="E2421" t="inlineStr">
        <is>
          <t>air::urban air close to ground</t>
        </is>
      </c>
      <c r="F2421" t="inlineStr">
        <is>
          <t>biosphere</t>
        </is>
      </c>
      <c r="H2421" t="inlineStr">
        <is>
          <t>Acrolein</t>
        </is>
      </c>
      <c r="I2421">
        <v>0</v>
      </c>
    </row>
    <row r="2422">
      <c r="A2422" t="inlineStr">
        <is>
          <t>Styrene</t>
        </is>
      </c>
      <c r="B2422">
        <v>1.3724855637109585e-07</v>
      </c>
      <c r="D2422" t="inlineStr">
        <is>
          <t>kilogram</t>
        </is>
      </c>
      <c r="E2422" t="inlineStr">
        <is>
          <t>air::urban air close to ground</t>
        </is>
      </c>
      <c r="F2422" t="inlineStr">
        <is>
          <t>biosphere</t>
        </is>
      </c>
      <c r="H2422" t="inlineStr">
        <is>
          <t>Styrene</t>
        </is>
      </c>
      <c r="I2422">
        <v>0</v>
      </c>
    </row>
    <row r="2423">
      <c r="A2423" t="inlineStr">
        <is>
          <t>PAH, polycyclic aromatic hydrocarbons</t>
        </is>
      </c>
      <c r="B2423">
        <v>8.188235294117648e-10</v>
      </c>
      <c r="D2423" t="inlineStr">
        <is>
          <t>kilogram</t>
        </is>
      </c>
      <c r="E2423" t="inlineStr">
        <is>
          <t>air::urban air close to ground</t>
        </is>
      </c>
      <c r="F2423" t="inlineStr">
        <is>
          <t>biosphere</t>
        </is>
      </c>
      <c r="H2423" t="inlineStr">
        <is>
          <t>PAHs</t>
        </is>
      </c>
      <c r="I2423">
        <v>0</v>
      </c>
    </row>
    <row r="2424">
      <c r="A2424" t="inlineStr">
        <is>
          <t>Arsenic ion</t>
        </is>
      </c>
      <c r="B2424">
        <v>7.058823529411766e-12</v>
      </c>
      <c r="D2424" t="inlineStr">
        <is>
          <t>kilogram</t>
        </is>
      </c>
      <c r="E2424" t="inlineStr">
        <is>
          <t>air::urban air close to ground</t>
        </is>
      </c>
      <c r="F2424" t="inlineStr">
        <is>
          <t>biosphere</t>
        </is>
      </c>
      <c r="H2424" t="inlineStr">
        <is>
          <t>Arsenic</t>
        </is>
      </c>
      <c r="I2424">
        <v>0</v>
      </c>
    </row>
    <row r="2425">
      <c r="A2425" t="inlineStr">
        <is>
          <t>Selenium IV</t>
        </is>
      </c>
      <c r="B2425">
        <v>4.705882352941177e-12</v>
      </c>
      <c r="D2425" t="inlineStr">
        <is>
          <t>kilogram</t>
        </is>
      </c>
      <c r="E2425" t="inlineStr">
        <is>
          <t>air::urban air close to ground</t>
        </is>
      </c>
      <c r="F2425" t="inlineStr">
        <is>
          <t>biosphere</t>
        </is>
      </c>
      <c r="H2425" t="inlineStr">
        <is>
          <t>Selenium</t>
        </is>
      </c>
      <c r="I2425">
        <v>0</v>
      </c>
    </row>
    <row r="2426">
      <c r="A2426" t="inlineStr">
        <is>
          <t>Zinc II</t>
        </is>
      </c>
      <c r="B2426">
        <v>5.082352941176471e-08</v>
      </c>
      <c r="D2426" t="inlineStr">
        <is>
          <t>kilogram</t>
        </is>
      </c>
      <c r="E2426" t="inlineStr">
        <is>
          <t>air::urban air close to ground</t>
        </is>
      </c>
      <c r="F2426" t="inlineStr">
        <is>
          <t>biosphere</t>
        </is>
      </c>
      <c r="H2426" t="inlineStr">
        <is>
          <t>Zinc</t>
        </is>
      </c>
      <c r="I2426">
        <v>0</v>
      </c>
    </row>
    <row r="2427">
      <c r="A2427" t="inlineStr">
        <is>
          <t>Copper ion</t>
        </is>
      </c>
      <c r="B2427">
        <v>9.88235294117647e-10</v>
      </c>
      <c r="D2427" t="inlineStr">
        <is>
          <t>kilogram</t>
        </is>
      </c>
      <c r="E2427" t="inlineStr">
        <is>
          <t>air::urban air close to ground</t>
        </is>
      </c>
      <c r="F2427" t="inlineStr">
        <is>
          <t>biosphere</t>
        </is>
      </c>
      <c r="H2427" t="inlineStr">
        <is>
          <t>Copper</t>
        </is>
      </c>
      <c r="I2427">
        <v>0</v>
      </c>
    </row>
    <row r="2428">
      <c r="A2428" t="inlineStr">
        <is>
          <t>Nickel II</t>
        </is>
      </c>
      <c r="B2428">
        <v>3.058823529411765e-10</v>
      </c>
      <c r="D2428" t="inlineStr">
        <is>
          <t>kilogram</t>
        </is>
      </c>
      <c r="E2428" t="inlineStr">
        <is>
          <t>air::urban air close to ground</t>
        </is>
      </c>
      <c r="F2428" t="inlineStr">
        <is>
          <t>biosphere</t>
        </is>
      </c>
      <c r="H2428" t="inlineStr">
        <is>
          <t>Nickel</t>
        </is>
      </c>
      <c r="I2428">
        <v>0</v>
      </c>
    </row>
    <row r="2429">
      <c r="A2429" t="inlineStr">
        <is>
          <t>Chromium III</t>
        </is>
      </c>
      <c r="B2429">
        <v>3.7647058823529416e-10</v>
      </c>
      <c r="D2429" t="inlineStr">
        <is>
          <t>kilogram</t>
        </is>
      </c>
      <c r="E2429" t="inlineStr">
        <is>
          <t>air::urban air close to ground</t>
        </is>
      </c>
      <c r="F2429" t="inlineStr">
        <is>
          <t>biosphere</t>
        </is>
      </c>
      <c r="H2429" t="inlineStr">
        <is>
          <t>Chromium</t>
        </is>
      </c>
      <c r="I2429">
        <v>0</v>
      </c>
    </row>
    <row r="2430">
      <c r="A2430" t="inlineStr">
        <is>
          <t>Chromium VI</t>
        </is>
      </c>
      <c r="B2430">
        <v>7.529411764705882e-13</v>
      </c>
      <c r="D2430" t="inlineStr">
        <is>
          <t>kilogram</t>
        </is>
      </c>
      <c r="E2430" t="inlineStr">
        <is>
          <t>air::urban air close to ground</t>
        </is>
      </c>
      <c r="F2430" t="inlineStr">
        <is>
          <t>biosphere</t>
        </is>
      </c>
      <c r="H2430" t="inlineStr">
        <is>
          <t>Chromium VI</t>
        </is>
      </c>
      <c r="I2430">
        <v>0</v>
      </c>
    </row>
    <row r="2431">
      <c r="A2431" t="inlineStr">
        <is>
          <t>Mercury II</t>
        </is>
      </c>
      <c r="B2431">
        <v>2.047058823529412e-10</v>
      </c>
      <c r="D2431" t="inlineStr">
        <is>
          <t>kilogram</t>
        </is>
      </c>
      <c r="E2431" t="inlineStr">
        <is>
          <t>air::urban air close to ground</t>
        </is>
      </c>
      <c r="F2431" t="inlineStr">
        <is>
          <t>biosphere</t>
        </is>
      </c>
      <c r="H2431" t="inlineStr">
        <is>
          <t>Mercury</t>
        </is>
      </c>
      <c r="I2431">
        <v>0</v>
      </c>
    </row>
    <row r="2432">
      <c r="A2432" t="inlineStr">
        <is>
          <t>Cadmium II</t>
        </is>
      </c>
      <c r="B2432">
        <v>2.541176470588236e-10</v>
      </c>
      <c r="D2432" t="inlineStr">
        <is>
          <t>kilogram</t>
        </is>
      </c>
      <c r="E2432" t="inlineStr">
        <is>
          <t>air::urban air close to ground</t>
        </is>
      </c>
      <c r="F2432" t="inlineStr">
        <is>
          <t>biosphere</t>
        </is>
      </c>
      <c r="H2432" t="inlineStr">
        <is>
          <t>Cadmium</t>
        </is>
      </c>
      <c r="I2432">
        <v>0</v>
      </c>
    </row>
    <row r="2433">
      <c r="A2433" t="inlineStr">
        <is>
          <t>treatment of road wear emissions, passenger car</t>
        </is>
      </c>
      <c r="B2433">
        <v>-5.857039126012582e-06</v>
      </c>
      <c r="C2433" t="inlineStr">
        <is>
          <t>RER</t>
        </is>
      </c>
      <c r="D2433" t="inlineStr">
        <is>
          <t>kilogram</t>
        </is>
      </c>
      <c r="F2433" t="inlineStr">
        <is>
          <t>technosphere</t>
        </is>
      </c>
      <c r="G2433" t="inlineStr">
        <is>
          <t>road wear emissions, passenger car</t>
        </is>
      </c>
      <c r="H2433" t="inlineStr">
        <is>
          <t>Road wear [kg/km]</t>
        </is>
      </c>
      <c r="I2433">
        <v>0</v>
      </c>
    </row>
    <row r="2434">
      <c r="A2434" t="inlineStr">
        <is>
          <t>treatment of tyre wear emissions, passenger car</t>
        </is>
      </c>
      <c r="B2434">
        <v>-3.886222117725553e-06</v>
      </c>
      <c r="C2434" t="inlineStr">
        <is>
          <t>RER</t>
        </is>
      </c>
      <c r="D2434" t="inlineStr">
        <is>
          <t>kilogram</t>
        </is>
      </c>
      <c r="F2434" t="inlineStr">
        <is>
          <t>technosphere</t>
        </is>
      </c>
      <c r="G2434" t="inlineStr">
        <is>
          <t>tyre wear emissions, passenger car</t>
        </is>
      </c>
      <c r="H2434" t="inlineStr">
        <is>
          <t>Tire wear [kg/km]</t>
        </is>
      </c>
      <c r="I2434">
        <v>0</v>
      </c>
    </row>
    <row r="2435">
      <c r="A2435" t="inlineStr">
        <is>
          <t>treatment of brake wear emissions, passenger car</t>
        </is>
      </c>
      <c r="B2435">
        <v>-2.1569214522274334e-06</v>
      </c>
      <c r="C2435" t="inlineStr">
        <is>
          <t>RER</t>
        </is>
      </c>
      <c r="D2435" t="inlineStr">
        <is>
          <t>kilogram</t>
        </is>
      </c>
      <c r="F2435" t="inlineStr">
        <is>
          <t>technosphere</t>
        </is>
      </c>
      <c r="G2435" t="inlineStr">
        <is>
          <t>brake wear emissions, passenger car</t>
        </is>
      </c>
      <c r="H2435" t="inlineStr">
        <is>
          <t>Brake wear [kg/km]</t>
        </is>
      </c>
      <c r="I2435">
        <v>0</v>
      </c>
    </row>
    <row r="2436"/>
    <row r="2437">
      <c r="A2437" t="inlineStr">
        <is>
          <t>Activity</t>
        </is>
      </c>
      <c r="B2437" t="inlineStr">
        <is>
          <t>diesel, burned in heavy duty vehicle</t>
        </is>
      </c>
    </row>
    <row r="2438">
      <c r="A2438" t="inlineStr">
        <is>
          <t>location</t>
        </is>
      </c>
      <c r="B2438" t="inlineStr">
        <is>
          <t>CH</t>
        </is>
      </c>
    </row>
    <row r="2439">
      <c r="A2439" t="inlineStr">
        <is>
          <t>production amount</t>
        </is>
      </c>
      <c r="B2439">
        <v>1</v>
      </c>
    </row>
    <row r="2440">
      <c r="A2440" t="inlineStr">
        <is>
          <t>reference product</t>
        </is>
      </c>
      <c r="B2440" t="inlineStr">
        <is>
          <t>heat</t>
        </is>
      </c>
    </row>
    <row r="2441">
      <c r="A2441" t="inlineStr">
        <is>
          <t>type</t>
        </is>
      </c>
      <c r="B2441" t="inlineStr">
        <is>
          <t>process</t>
        </is>
      </c>
    </row>
    <row r="2442">
      <c r="A2442" t="inlineStr">
        <is>
          <t>unit</t>
        </is>
      </c>
      <c r="B2442" t="inlineStr">
        <is>
          <t>megajoule</t>
        </is>
      </c>
    </row>
    <row r="2443">
      <c r="A2443" t="inlineStr">
        <is>
          <t>source</t>
        </is>
      </c>
      <c r="B2443" t="inlineStr">
        <is>
          <t>Sacchi, R., Bauer, C., and Cox, B. Does size matter? The influence of size, load factor, range autonomy and application type on the Life Cycle Assessment of current and future trucks. 2021. Environmental Science and Technology.</t>
        </is>
      </c>
    </row>
    <row r="2444">
      <c r="A2444" t="inlineStr">
        <is>
          <t>description</t>
        </is>
      </c>
      <c r="B2444"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445">
      <c r="A2445" t="inlineStr">
        <is>
          <t>comment</t>
        </is>
      </c>
      <c r="B2445"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446">
      <c r="A2446" t="inlineStr">
        <is>
          <t>energy use source</t>
        </is>
      </c>
      <c r="B2446"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carculator regional truck 2020", "exhaust system, for lorry", "RER", "kilogram"], "amount per vehicle": 220, "vehicle per source service": 1.367427797431765e-07, "replacement correction factor": 1.0, "amount per MJ": 2.4791665583947556e-05}, {"supplier": ["fuel tank, for diesel vehicle, carculator regional truck 2020", "fuel tank", "RER", "kilogram"], "amount per vehicle": 54.85818481445312, "vehicle per source service": 1.367427797431765e-07, "replacement correction factor": 1.0, "amount per MJ": 6.181935329374144e-06}, {"supplier": ["gearbox, for lorry, carculator regional truck 2020", "gearbox, for lorry", "RER", "kilogram"], "amount per vehicle": 201.6000061035156, "vehicle per source service": 1.367427797431765e-07, "replacement correction factor": 1.0, "amount per MJ": 2.271818151381884e-05}, {"supplier": ["internal combustion engine, for lorry, carculator regional truck 2020", "internal combustion engine, for lorry", "RER", "kilogram"], "amount per vehicle": 1081.695922851562, "vehicle per source service": 1.367427797431765e-07, "replacement correction factor": 1.0, "amount per MJ": 0.000121895652649343}, {"supplier": ["lead acid battery, for lorry, carculator regional truck 2020", "lead acid battery, for lorry", "RER", "kilogram"], "amount per vehicle": 33.41176605224609, "vehicle per source service": 1.367427797431765e-07, "replacement correction factor": 1.0, "amount per MJ": 3.7651515024380753e-06}, {"supplier": ["power electronics, for lorry, carculator regional truck 2020", "power electronics, for lorry", "RER", "kilogram"], "amount per vehicle": 265, "vehicle per source service": 1.367427797431765e-07, "replacement correction factor": 1.0, "amount per MJ": 2.986268808975501e-05}, {"supplier": ["retarder, for lorry, carculator regional truck 2020", "retarder, for lorry", "RER", "kilogram"], "amount per vehicle": 67.19999694824219, "vehicle per source service": 1.367427797431765e-07, "replacement correction factor": 1.0, "amount per MJ": 7.572726598105075e-06}, {"supplier": ["transmission, for lorry, carculator regional truck 2020",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carculator regional truck 2020", "assembly operation, for lorry", "RER", "kilogram"], "amount per vehicle": 14738.513671875, "vehicle per source service": 1.367427797431765e-07}, {"supplier": ["frame, blanks and saddle, for lorry, carculator regional truck 2020", "frame, blanks and saddle, for lorry", "RER", "kilogram"], "amount per vehicle": 5539,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carculator regional truck 2020", "other components, for hybrid electric lorry", "RER", "kilogram"], "amount per vehicle": 1059, "vehicle per source service": 1.367427797431765e-07}, {"supplier": ["suspension, for lorry, carculator regional truck 2020", "suspension, for lorry", "RER", "kilogram"], "amount per vehicle": 3440, "vehicle per source service": 1.367427797431765e-07}, {"supplier": ["tires and wheels, for lorry, carculator regional truck 2020", "tires and wheels, for lorry", "RER", "kilogram"], "amount per vehicle": 1422, "vehicle per source service": 1.367427797431765e-07}, {"supplier": ["maintenance, lorry 40 metric ton", "maintenance, lorry 40 metric ton", "CH", "unit"], "amount per vehicle": 1, "vehicle per source service": 1.367427797431765e-07}, {"supplier": ["treatment of used lorry, 40 metric ton", "used lorry, 40 metric ton", "CH", "unit"], "amount per vehicle": -1, "vehicle per source service": 1.367427797431765e-07}], "alternative fuel recipe retained": false}</t>
        </is>
      </c>
    </row>
    <row r="2447">
      <c r="A2447" t="inlineStr">
        <is>
          <t>Exchanges</t>
        </is>
      </c>
    </row>
    <row r="2448">
      <c r="A2448" t="inlineStr">
        <is>
          <t>name</t>
        </is>
      </c>
      <c r="B2448" t="inlineStr">
        <is>
          <t>amount</t>
        </is>
      </c>
      <c r="C2448" t="inlineStr">
        <is>
          <t>location</t>
        </is>
      </c>
      <c r="D2448" t="inlineStr">
        <is>
          <t>unit</t>
        </is>
      </c>
      <c r="E2448" t="inlineStr">
        <is>
          <t>categories</t>
        </is>
      </c>
      <c r="F2448" t="inlineStr">
        <is>
          <t>type</t>
        </is>
      </c>
      <c r="G2448" t="inlineStr">
        <is>
          <t>reference product</t>
        </is>
      </c>
      <c r="H2448" t="inlineStr">
        <is>
          <t>comment</t>
        </is>
      </c>
      <c r="I2448" t="inlineStr">
        <is>
          <t>uncertainty type</t>
        </is>
      </c>
    </row>
    <row r="2449">
      <c r="A2449" t="inlineStr">
        <is>
          <t>diesel, burned in heavy duty vehicle</t>
        </is>
      </c>
      <c r="B2449">
        <v>1.0</v>
      </c>
      <c r="C2449" t="inlineStr">
        <is>
          <t>CH</t>
        </is>
      </c>
      <c r="D2449" t="inlineStr">
        <is>
          <t>megajoule</t>
        </is>
      </c>
      <c r="E2449" t="inlineStr">
        <is>
          <t/>
        </is>
      </c>
      <c r="F2449" t="inlineStr">
        <is>
          <t>production</t>
        </is>
      </c>
      <c r="G2449" t="inlineStr">
        <is>
          <t>heat</t>
        </is>
      </c>
      <c r="I2449">
        <v>0</v>
      </c>
    </row>
    <row r="2450">
      <c r="A2450" t="inlineStr">
        <is>
          <t>market for diesel, low-sulfur</t>
        </is>
      </c>
      <c r="B2450">
        <v>0.023255813953488372</v>
      </c>
      <c r="C2450" t="inlineStr">
        <is>
          <t>Europe without Switzerland</t>
        </is>
      </c>
      <c r="D2450" t="inlineStr">
        <is>
          <t>kilogram</t>
        </is>
      </c>
      <c r="F2450" t="inlineStr">
        <is>
          <t>technosphere</t>
        </is>
      </c>
      <c r="G2450" t="inlineStr">
        <is>
          <t>diesel, low-sulfur</t>
        </is>
      </c>
      <c r="H2450" t="inlineStr">
        <is>
          <t>Model fuel energy retained: 1.21344858584 MJ/tkm; reference LHV 43.0 MJ/kg. Premise determines regional blends.</t>
        </is>
      </c>
      <c r="I2450">
        <v>0</v>
      </c>
    </row>
    <row r="2451">
      <c r="A2451" t="inlineStr">
        <is>
          <t>market for tetrafluoroethane, R134a</t>
        </is>
      </c>
      <c r="B2451">
        <v>2.2988634886667227e-07</v>
      </c>
      <c r="C2451" t="inlineStr">
        <is>
          <t>GLO</t>
        </is>
      </c>
      <c r="D2451" t="inlineStr">
        <is>
          <t>kilogram</t>
        </is>
      </c>
      <c r="F2451" t="inlineStr">
        <is>
          <t>technosphere</t>
        </is>
      </c>
      <c r="G2451" t="inlineStr">
        <is>
          <t>tetrafluoroethane, R134a</t>
        </is>
      </c>
      <c r="I2451">
        <v>0</v>
      </c>
    </row>
    <row r="2452">
      <c r="A2452" t="inlineStr">
        <is>
          <t>treatment of brake wear emissions, lorry</t>
        </is>
      </c>
      <c r="B2452">
        <v>-8.332264901167272e-06</v>
      </c>
      <c r="C2452" t="inlineStr">
        <is>
          <t>RER</t>
        </is>
      </c>
      <c r="D2452" t="inlineStr">
        <is>
          <t>kilogram</t>
        </is>
      </c>
      <c r="F2452" t="inlineStr">
        <is>
          <t>technosphere</t>
        </is>
      </c>
      <c r="G2452" t="inlineStr">
        <is>
          <t>brake wear emissions, lorry</t>
        </is>
      </c>
      <c r="I2452">
        <v>0</v>
      </c>
    </row>
    <row r="2453">
      <c r="A2453" t="inlineStr">
        <is>
          <t>treatment of road wear emissions, lorry</t>
        </is>
      </c>
      <c r="B2453">
        <v>-1.0511814175882647e-05</v>
      </c>
      <c r="C2453" t="inlineStr">
        <is>
          <t>RER</t>
        </is>
      </c>
      <c r="D2453" t="inlineStr">
        <is>
          <t>kilogram</t>
        </is>
      </c>
      <c r="F2453" t="inlineStr">
        <is>
          <t>technosphere</t>
        </is>
      </c>
      <c r="G2453" t="inlineStr">
        <is>
          <t>road wear emissions, lorry</t>
        </is>
      </c>
      <c r="I2453">
        <v>0</v>
      </c>
    </row>
    <row r="2454">
      <c r="A2454" t="inlineStr">
        <is>
          <t>treatment of tyre wear emissions, lorry</t>
        </is>
      </c>
      <c r="B2454">
        <v>-8.54276405830878e-06</v>
      </c>
      <c r="C2454" t="inlineStr">
        <is>
          <t>RER</t>
        </is>
      </c>
      <c r="D2454" t="inlineStr">
        <is>
          <t>kilogram</t>
        </is>
      </c>
      <c r="F2454" t="inlineStr">
        <is>
          <t>technosphere</t>
        </is>
      </c>
      <c r="G2454" t="inlineStr">
        <is>
          <t>tyre wear emissions, lorry</t>
        </is>
      </c>
      <c r="I2454">
        <v>0</v>
      </c>
    </row>
    <row r="2455">
      <c r="A2455" t="inlineStr">
        <is>
          <t>Toluene</t>
        </is>
      </c>
      <c r="B2455">
        <v>9.72817404061121e-11</v>
      </c>
      <c r="D2455" t="inlineStr">
        <is>
          <t>kilogram</t>
        </is>
      </c>
      <c r="E2455" t="inlineStr">
        <is>
          <t>air::non-urban air or from high stacks</t>
        </is>
      </c>
      <c r="F2455" t="inlineStr">
        <is>
          <t>biosphere</t>
        </is>
      </c>
      <c r="I2455">
        <v>0</v>
      </c>
    </row>
    <row r="2456">
      <c r="A2456" t="inlineStr">
        <is>
          <t>NMVOC, non-methane volatile organic compounds</t>
        </is>
      </c>
      <c r="B2456">
        <v>7.909005533746073e-07</v>
      </c>
      <c r="D2456" t="inlineStr">
        <is>
          <t>kilogram</t>
        </is>
      </c>
      <c r="E2456" t="inlineStr">
        <is>
          <t>air::non-urban air or from high stacks</t>
        </is>
      </c>
      <c r="F2456" t="inlineStr">
        <is>
          <t>biosphere</t>
        </is>
      </c>
      <c r="I2456">
        <v>0</v>
      </c>
    </row>
    <row r="2457">
      <c r="A2457" t="inlineStr">
        <is>
          <t>Dinitrogen monoxide</t>
        </is>
      </c>
      <c r="B2457">
        <v>1.9725120204580215e-05</v>
      </c>
      <c r="D2457" t="inlineStr">
        <is>
          <t>kilogram</t>
        </is>
      </c>
      <c r="E2457" t="inlineStr">
        <is>
          <t>air::non-urban air or from high stacks</t>
        </is>
      </c>
      <c r="F2457" t="inlineStr">
        <is>
          <t>biosphere</t>
        </is>
      </c>
      <c r="I2457">
        <v>0</v>
      </c>
    </row>
    <row r="2458">
      <c r="A2458" t="inlineStr">
        <is>
          <t>Ethane</t>
        </is>
      </c>
      <c r="B2458">
        <v>1.0891786400309831e-10</v>
      </c>
      <c r="D2458" t="inlineStr">
        <is>
          <t>kilogram</t>
        </is>
      </c>
      <c r="E2458" t="inlineStr">
        <is>
          <t>air::urban air close to ground</t>
        </is>
      </c>
      <c r="F2458" t="inlineStr">
        <is>
          <t>biosphere</t>
        </is>
      </c>
      <c r="I2458">
        <v>0</v>
      </c>
    </row>
    <row r="2459">
      <c r="A2459" t="inlineStr">
        <is>
          <t>Pentane</t>
        </is>
      </c>
      <c r="B2459">
        <v>2.178357280061967e-10</v>
      </c>
      <c r="D2459" t="inlineStr">
        <is>
          <t>kilogram</t>
        </is>
      </c>
      <c r="E2459" t="inlineStr">
        <is>
          <t>air::urban air close to ground</t>
        </is>
      </c>
      <c r="F2459" t="inlineStr">
        <is>
          <t>biosphere</t>
        </is>
      </c>
      <c r="I2459">
        <v>0</v>
      </c>
    </row>
    <row r="2460">
      <c r="A2460" t="inlineStr">
        <is>
          <t>Selenium IV</t>
        </is>
      </c>
      <c r="B2460">
        <v>1.6967614759358543e-12</v>
      </c>
      <c r="D2460" t="inlineStr">
        <is>
          <t>kilogram</t>
        </is>
      </c>
      <c r="E2460" t="inlineStr">
        <is>
          <t>air::non-urban air or from high stacks</t>
        </is>
      </c>
      <c r="F2460" t="inlineStr">
        <is>
          <t>biosphere</t>
        </is>
      </c>
      <c r="I2460">
        <v>0</v>
      </c>
    </row>
    <row r="2461">
      <c r="A2461" t="inlineStr">
        <is>
          <t>Arsenic ion</t>
        </is>
      </c>
      <c r="B2461">
        <v>1.6967614759358543e-12</v>
      </c>
      <c r="D2461" t="inlineStr">
        <is>
          <t>kilogram</t>
        </is>
      </c>
      <c r="E2461" t="inlineStr">
        <is>
          <t>air::non-urban air or from high stacks</t>
        </is>
      </c>
      <c r="F2461" t="inlineStr">
        <is>
          <t>biosphere</t>
        </is>
      </c>
      <c r="I2461">
        <v>0</v>
      </c>
    </row>
    <row r="2462">
      <c r="A2462" t="inlineStr">
        <is>
          <t>Arsenic ion</t>
        </is>
      </c>
      <c r="B2462">
        <v>6.332385327245513e-13</v>
      </c>
      <c r="D2462" t="inlineStr">
        <is>
          <t>kilogram</t>
        </is>
      </c>
      <c r="E2462" t="inlineStr">
        <is>
          <t>air::urban air close to ground</t>
        </is>
      </c>
      <c r="F2462" t="inlineStr">
        <is>
          <t>biosphere</t>
        </is>
      </c>
      <c r="I2462">
        <v>0</v>
      </c>
    </row>
    <row r="2463">
      <c r="A2463" t="inlineStr">
        <is>
          <t>Particulate Matter, &lt; 2.5 um</t>
        </is>
      </c>
      <c r="B2463">
        <v>1.7825282603055566e-07</v>
      </c>
      <c r="D2463" t="inlineStr">
        <is>
          <t>kilogram</t>
        </is>
      </c>
      <c r="E2463" t="inlineStr">
        <is>
          <t>air::urban air close to ground</t>
        </is>
      </c>
      <c r="F2463" t="inlineStr">
        <is>
          <t>biosphere</t>
        </is>
      </c>
      <c r="I2463">
        <v>0</v>
      </c>
    </row>
    <row r="2464">
      <c r="A2464" t="inlineStr">
        <is>
          <t>Nickel II</t>
        </is>
      </c>
      <c r="B2464">
        <v>3.3862406923329497e-12</v>
      </c>
      <c r="D2464" t="inlineStr">
        <is>
          <t>kilogram</t>
        </is>
      </c>
      <c r="E2464" t="inlineStr">
        <is>
          <t>air::non-urban air or from high stacks</t>
        </is>
      </c>
      <c r="F2464" t="inlineStr">
        <is>
          <t>biosphere</t>
        </is>
      </c>
      <c r="I2464">
        <v>0</v>
      </c>
    </row>
    <row r="2465">
      <c r="A2465" t="inlineStr">
        <is>
          <t>Methane, fossil</t>
        </is>
      </c>
      <c r="B2465">
        <v>2.3921714073582906e-08</v>
      </c>
      <c r="D2465" t="inlineStr">
        <is>
          <t>kilogram</t>
        </is>
      </c>
      <c r="E2465" t="inlineStr">
        <is>
          <t>air::non-urban air or from high stacks</t>
        </is>
      </c>
      <c r="F2465" t="inlineStr">
        <is>
          <t>biosphere</t>
        </is>
      </c>
      <c r="I2465">
        <v>0</v>
      </c>
    </row>
    <row r="2466">
      <c r="A2466" t="inlineStr">
        <is>
          <t>Mercury II</t>
        </is>
      </c>
      <c r="B2466">
        <v>8.957152806237827e-11</v>
      </c>
      <c r="D2466" t="inlineStr">
        <is>
          <t>kilogram</t>
        </is>
      </c>
      <c r="E2466" t="inlineStr">
        <is>
          <t>air::non-urban air or from high stacks</t>
        </is>
      </c>
      <c r="F2466" t="inlineStr">
        <is>
          <t>biosphere</t>
        </is>
      </c>
      <c r="I2466">
        <v>0</v>
      </c>
    </row>
    <row r="2467">
      <c r="A2467" t="inlineStr">
        <is>
          <t>Ammonia</t>
        </is>
      </c>
      <c r="B2467">
        <v>6.894575078264757e-06</v>
      </c>
      <c r="D2467" t="inlineStr">
        <is>
          <t>kilogram</t>
        </is>
      </c>
      <c r="E2467" t="inlineStr">
        <is>
          <t>air::non-urban air or from high stacks</t>
        </is>
      </c>
      <c r="F2467" t="inlineStr">
        <is>
          <t>biosphere</t>
        </is>
      </c>
      <c r="I2467">
        <v>0</v>
      </c>
    </row>
    <row r="2468">
      <c r="A2468" t="inlineStr">
        <is>
          <t>Ethane</t>
        </is>
      </c>
      <c r="B2468">
        <v>2.918452212183362e-10</v>
      </c>
      <c r="D2468" t="inlineStr">
        <is>
          <t>kilogram</t>
        </is>
      </c>
      <c r="E2468" t="inlineStr">
        <is>
          <t>air::non-urban air or from high stacks</t>
        </is>
      </c>
      <c r="F2468" t="inlineStr">
        <is>
          <t>biosphere</t>
        </is>
      </c>
      <c r="I2468">
        <v>0</v>
      </c>
    </row>
    <row r="2469">
      <c r="A2469" t="inlineStr">
        <is>
          <t>Nickel II</t>
        </is>
      </c>
      <c r="B2469">
        <v>1.263759195389486e-12</v>
      </c>
      <c r="D2469" t="inlineStr">
        <is>
          <t>kilogram</t>
        </is>
      </c>
      <c r="E2469" t="inlineStr">
        <is>
          <t>air::urban air close to ground</t>
        </is>
      </c>
      <c r="F2469" t="inlineStr">
        <is>
          <t>biosphere</t>
        </is>
      </c>
      <c r="I2469">
        <v>0</v>
      </c>
    </row>
    <row r="2470">
      <c r="A2470" t="inlineStr">
        <is>
          <t>Cadmium II</t>
        </is>
      </c>
      <c r="B2470">
        <v>8.447396081985474e-13</v>
      </c>
      <c r="D2470" t="inlineStr">
        <is>
          <t>kilogram</t>
        </is>
      </c>
      <c r="E2470" t="inlineStr">
        <is>
          <t>air::non-urban air or from high stacks</t>
        </is>
      </c>
      <c r="F2470" t="inlineStr">
        <is>
          <t>biosphere</t>
        </is>
      </c>
      <c r="I2470">
        <v>0</v>
      </c>
    </row>
    <row r="2471">
      <c r="A2471" t="inlineStr">
        <is>
          <t>Ammonia</t>
        </is>
      </c>
      <c r="B2471">
        <v>2.573084583766733e-06</v>
      </c>
      <c r="D2471" t="inlineStr">
        <is>
          <t>kilogram</t>
        </is>
      </c>
      <c r="E2471" t="inlineStr">
        <is>
          <t>air::urban air close to ground</t>
        </is>
      </c>
      <c r="F2471" t="inlineStr">
        <is>
          <t>biosphere</t>
        </is>
      </c>
      <c r="I2471">
        <v>0</v>
      </c>
    </row>
    <row r="2472">
      <c r="A2472" t="inlineStr">
        <is>
          <t>Butane</t>
        </is>
      </c>
      <c r="B2472">
        <v>1.4592261593886937e-09</v>
      </c>
      <c r="D2472" t="inlineStr">
        <is>
          <t>kilogram</t>
        </is>
      </c>
      <c r="E2472" t="inlineStr">
        <is>
          <t>air::non-urban air or from high stacks</t>
        </is>
      </c>
      <c r="F2472" t="inlineStr">
        <is>
          <t>biosphere</t>
        </is>
      </c>
      <c r="I2472">
        <v>0</v>
      </c>
    </row>
    <row r="2473">
      <c r="A2473" t="inlineStr">
        <is>
          <t>PAH, polycyclic aromatic hydrocarbons</t>
        </is>
      </c>
      <c r="B2473">
        <v>4.946326620454795e-10</v>
      </c>
      <c r="D2473" t="inlineStr">
        <is>
          <t>kilogram</t>
        </is>
      </c>
      <c r="E2473" t="inlineStr">
        <is>
          <t>air::urban air close to ground</t>
        </is>
      </c>
      <c r="F2473" t="inlineStr">
        <is>
          <t>biosphere</t>
        </is>
      </c>
      <c r="I2473">
        <v>0</v>
      </c>
    </row>
    <row r="2474">
      <c r="A2474" t="inlineStr">
        <is>
          <t>Copper ion</t>
        </is>
      </c>
      <c r="B2474">
        <v>9.685376539404841e-11</v>
      </c>
      <c r="D2474" t="inlineStr">
        <is>
          <t>kilogram</t>
        </is>
      </c>
      <c r="E2474" t="inlineStr">
        <is>
          <t>air::non-urban air or from high stacks</t>
        </is>
      </c>
      <c r="F2474" t="inlineStr">
        <is>
          <t>biosphere</t>
        </is>
      </c>
      <c r="I2474">
        <v>0</v>
      </c>
    </row>
    <row r="2475">
      <c r="A2475" t="inlineStr">
        <is>
          <t>Nitrogen oxides</t>
        </is>
      </c>
      <c r="B2475">
        <v>0.00018753997183161043</v>
      </c>
      <c r="D2475" t="inlineStr">
        <is>
          <t>kilogram</t>
        </is>
      </c>
      <c r="E2475" t="inlineStr">
        <is>
          <t>air::non-urban air or from high stacks</t>
        </is>
      </c>
      <c r="F2475" t="inlineStr">
        <is>
          <t>biosphere</t>
        </is>
      </c>
      <c r="I2475">
        <v>0</v>
      </c>
    </row>
    <row r="2476">
      <c r="A2476" t="inlineStr">
        <is>
          <t>Butane</t>
        </is>
      </c>
      <c r="B2476">
        <v>5.445893377811625e-10</v>
      </c>
      <c r="D2476" t="inlineStr">
        <is>
          <t>kilogram</t>
        </is>
      </c>
      <c r="E2476" t="inlineStr">
        <is>
          <t>air::urban air close to ground</t>
        </is>
      </c>
      <c r="F2476" t="inlineStr">
        <is>
          <t>biosphere</t>
        </is>
      </c>
      <c r="I2476">
        <v>0</v>
      </c>
    </row>
    <row r="2477">
      <c r="A2477" t="inlineStr">
        <is>
          <t>Copper ion</t>
        </is>
      </c>
      <c r="B2477">
        <v>3.6146231663205874e-11</v>
      </c>
      <c r="D2477" t="inlineStr">
        <is>
          <t>kilogram</t>
        </is>
      </c>
      <c r="E2477" t="inlineStr">
        <is>
          <t>air::urban air close to ground</t>
        </is>
      </c>
      <c r="F2477" t="inlineStr">
        <is>
          <t>biosphere</t>
        </is>
      </c>
      <c r="I2477">
        <v>0</v>
      </c>
    </row>
    <row r="2478">
      <c r="A2478" t="inlineStr">
        <is>
          <t>Chromium III</t>
        </is>
      </c>
      <c r="B2478">
        <v>5.3811684196359975e-11</v>
      </c>
      <c r="D2478" t="inlineStr">
        <is>
          <t>kilogram</t>
        </is>
      </c>
      <c r="E2478" t="inlineStr">
        <is>
          <t>air::urban air close to ground</t>
        </is>
      </c>
      <c r="F2478" t="inlineStr">
        <is>
          <t>biosphere</t>
        </is>
      </c>
      <c r="I2478">
        <v>0</v>
      </c>
    </row>
    <row r="2479">
      <c r="A2479" t="inlineStr">
        <is>
          <t>Propane</t>
        </is>
      </c>
      <c r="B2479">
        <v>3.6305953483321385e-10</v>
      </c>
      <c r="D2479" t="inlineStr">
        <is>
          <t>kilogram</t>
        </is>
      </c>
      <c r="E2479" t="inlineStr">
        <is>
          <t>air::urban air close to ground</t>
        </is>
      </c>
      <c r="F2479" t="inlineStr">
        <is>
          <t>biosphere</t>
        </is>
      </c>
      <c r="I2479">
        <v>0</v>
      </c>
    </row>
    <row r="2480">
      <c r="A2480" t="inlineStr">
        <is>
          <t>Toluene</t>
        </is>
      </c>
      <c r="B2480">
        <v>3.6305953927463155e-11</v>
      </c>
      <c r="D2480" t="inlineStr">
        <is>
          <t>kilogram</t>
        </is>
      </c>
      <c r="E2480" t="inlineStr">
        <is>
          <t>air::urban air close to ground</t>
        </is>
      </c>
      <c r="F2480" t="inlineStr">
        <is>
          <t>biosphere</t>
        </is>
      </c>
      <c r="I2480">
        <v>0</v>
      </c>
    </row>
    <row r="2481">
      <c r="A2481" t="inlineStr">
        <is>
          <t>Dinitrogen monoxide</t>
        </is>
      </c>
      <c r="B2481">
        <v>7.361498269225741e-06</v>
      </c>
      <c r="D2481" t="inlineStr">
        <is>
          <t>kilogram</t>
        </is>
      </c>
      <c r="E2481" t="inlineStr">
        <is>
          <t>air::urban air close to ground</t>
        </is>
      </c>
      <c r="F2481" t="inlineStr">
        <is>
          <t>biosphere</t>
        </is>
      </c>
      <c r="I2481">
        <v>0</v>
      </c>
    </row>
    <row r="2482">
      <c r="A2482" t="inlineStr">
        <is>
          <t>Zinc II</t>
        </is>
      </c>
      <c r="B2482">
        <v>1.1387421970009149e-10</v>
      </c>
      <c r="D2482" t="inlineStr">
        <is>
          <t>kilogram</t>
        </is>
      </c>
      <c r="E2482" t="inlineStr">
        <is>
          <t>air::urban air close to ground</t>
        </is>
      </c>
      <c r="F2482" t="inlineStr">
        <is>
          <t>biosphere</t>
        </is>
      </c>
      <c r="I2482">
        <v>0</v>
      </c>
    </row>
    <row r="2483">
      <c r="A2483" t="inlineStr">
        <is>
          <t>Chromium VI</t>
        </is>
      </c>
      <c r="B2483">
        <v>2.876484190151482e-13</v>
      </c>
      <c r="D2483" t="inlineStr">
        <is>
          <t>kilogram</t>
        </is>
      </c>
      <c r="E2483" t="inlineStr">
        <is>
          <t>air::non-urban air or from high stacks</t>
        </is>
      </c>
      <c r="F2483" t="inlineStr">
        <is>
          <t>biosphere</t>
        </is>
      </c>
      <c r="I2483">
        <v>0</v>
      </c>
    </row>
    <row r="2484">
      <c r="A2484" t="inlineStr">
        <is>
          <t>Benzene</t>
        </is>
      </c>
      <c r="B2484">
        <v>1.6645520623154097e-08</v>
      </c>
      <c r="D2484" t="inlineStr">
        <is>
          <t>kilogram</t>
        </is>
      </c>
      <c r="E2484" t="inlineStr">
        <is>
          <t>air::non-urban air or from high stacks</t>
        </is>
      </c>
      <c r="F2484" t="inlineStr">
        <is>
          <t>biosphere</t>
        </is>
      </c>
      <c r="I2484">
        <v>0</v>
      </c>
    </row>
    <row r="2485">
      <c r="A2485" t="inlineStr">
        <is>
          <t>Carbon monoxide, fossil</t>
        </is>
      </c>
      <c r="B2485">
        <v>9.188384379664334e-06</v>
      </c>
      <c r="D2485" t="inlineStr">
        <is>
          <t>kilogram</t>
        </is>
      </c>
      <c r="E2485" t="inlineStr">
        <is>
          <t>air::non-urban air or from high stacks</t>
        </is>
      </c>
      <c r="F2485" t="inlineStr">
        <is>
          <t>biosphere</t>
        </is>
      </c>
      <c r="I2485">
        <v>0</v>
      </c>
    </row>
    <row r="2486">
      <c r="A2486" t="inlineStr">
        <is>
          <t>Chromium VI</t>
        </is>
      </c>
      <c r="B2486">
        <v>1.0735159075537383e-13</v>
      </c>
      <c r="D2486" t="inlineStr">
        <is>
          <t>kilogram</t>
        </is>
      </c>
      <c r="E2486" t="inlineStr">
        <is>
          <t>air::urban air close to ground</t>
        </is>
      </c>
      <c r="F2486" t="inlineStr">
        <is>
          <t>biosphere</t>
        </is>
      </c>
      <c r="I2486">
        <v>0</v>
      </c>
    </row>
    <row r="2487">
      <c r="A2487" t="inlineStr">
        <is>
          <t>Methane, fossil</t>
        </is>
      </c>
      <c r="B2487">
        <v>8.927684532596896e-09</v>
      </c>
      <c r="D2487" t="inlineStr">
        <is>
          <t>kilogram</t>
        </is>
      </c>
      <c r="E2487" t="inlineStr">
        <is>
          <t>air::urban air close to ground</t>
        </is>
      </c>
      <c r="F2487" t="inlineStr">
        <is>
          <t>biosphere</t>
        </is>
      </c>
      <c r="I2487">
        <v>0</v>
      </c>
    </row>
    <row r="2488">
      <c r="A2488" t="inlineStr">
        <is>
          <t>Sulfur dioxide</t>
        </is>
      </c>
      <c r="B2488">
        <v>4.6773094495270746e-07</v>
      </c>
      <c r="D2488" t="inlineStr">
        <is>
          <t>kilogram</t>
        </is>
      </c>
      <c r="E2488" t="inlineStr">
        <is>
          <t>air</t>
        </is>
      </c>
      <c r="F2488" t="inlineStr">
        <is>
          <t>biosphere</t>
        </is>
      </c>
      <c r="I2488">
        <v>0</v>
      </c>
    </row>
    <row r="2489">
      <c r="A2489" t="inlineStr">
        <is>
          <t>NMVOC, non-methane volatile organic compounds</t>
        </is>
      </c>
      <c r="B2489">
        <v>2.9516741802169465e-07</v>
      </c>
      <c r="D2489" t="inlineStr">
        <is>
          <t>kilogram</t>
        </is>
      </c>
      <c r="E2489" t="inlineStr">
        <is>
          <t>air::urban air close to ground</t>
        </is>
      </c>
      <c r="F2489" t="inlineStr">
        <is>
          <t>biosphere</t>
        </is>
      </c>
      <c r="I2489">
        <v>0</v>
      </c>
    </row>
    <row r="2490">
      <c r="A2490" t="inlineStr">
        <is>
          <t>Formaldehyde</t>
        </is>
      </c>
      <c r="B2490">
        <v>3.04970020629929e-08</v>
      </c>
      <c r="D2490" t="inlineStr">
        <is>
          <t>kilogram</t>
        </is>
      </c>
      <c r="E2490" t="inlineStr">
        <is>
          <t>air::urban air close to ground</t>
        </is>
      </c>
      <c r="F2490" t="inlineStr">
        <is>
          <t>biosphere</t>
        </is>
      </c>
      <c r="I2490">
        <v>0</v>
      </c>
    </row>
    <row r="2491">
      <c r="A2491" t="inlineStr">
        <is>
          <t>Nitrogen oxides</t>
        </is>
      </c>
      <c r="B2491">
        <v>6.99907066197852e-05</v>
      </c>
      <c r="D2491" t="inlineStr">
        <is>
          <t>kilogram</t>
        </is>
      </c>
      <c r="E2491" t="inlineStr">
        <is>
          <t>air::urban air close to ground</t>
        </is>
      </c>
      <c r="F2491" t="inlineStr">
        <is>
          <t>biosphere</t>
        </is>
      </c>
      <c r="I2491">
        <v>0</v>
      </c>
    </row>
    <row r="2492">
      <c r="A2492" t="inlineStr">
        <is>
          <t>Formaldehyde</t>
        </is>
      </c>
      <c r="B2492">
        <v>8.171666492576685e-08</v>
      </c>
      <c r="D2492" t="inlineStr">
        <is>
          <t>kilogram</t>
        </is>
      </c>
      <c r="E2492" t="inlineStr">
        <is>
          <t>air::non-urban air or from high stacks</t>
        </is>
      </c>
      <c r="F2492" t="inlineStr">
        <is>
          <t>biosphere</t>
        </is>
      </c>
      <c r="I2492">
        <v>0</v>
      </c>
    </row>
    <row r="2493">
      <c r="A2493" t="inlineStr">
        <is>
          <t>Zinc II</t>
        </is>
      </c>
      <c r="B2493">
        <v>3.051257530798148e-10</v>
      </c>
      <c r="D2493" t="inlineStr">
        <is>
          <t>kilogram</t>
        </is>
      </c>
      <c r="E2493" t="inlineStr">
        <is>
          <t>air::non-urban air or from high stacks</t>
        </is>
      </c>
      <c r="F2493" t="inlineStr">
        <is>
          <t>biosphere</t>
        </is>
      </c>
      <c r="I2493">
        <v>0</v>
      </c>
    </row>
    <row r="2494">
      <c r="A2494" t="inlineStr">
        <is>
          <t>Carbon monoxide, fossil</t>
        </is>
      </c>
      <c r="B2494">
        <v>3.4291435191313595e-06</v>
      </c>
      <c r="D2494" t="inlineStr">
        <is>
          <t>kilogram</t>
        </is>
      </c>
      <c r="E2494" t="inlineStr">
        <is>
          <t>air::urban air close to ground</t>
        </is>
      </c>
      <c r="F2494" t="inlineStr">
        <is>
          <t>biosphere</t>
        </is>
      </c>
      <c r="I2494">
        <v>0</v>
      </c>
    </row>
    <row r="2495">
      <c r="A2495" t="inlineStr">
        <is>
          <t>m-Xylene</t>
        </is>
      </c>
      <c r="B2495">
        <v>3.5579834982156424e-09</v>
      </c>
      <c r="D2495" t="inlineStr">
        <is>
          <t>kilogram</t>
        </is>
      </c>
      <c r="E2495" t="inlineStr">
        <is>
          <t>air::urban air close to ground</t>
        </is>
      </c>
      <c r="F2495" t="inlineStr">
        <is>
          <t>biosphere</t>
        </is>
      </c>
      <c r="I2495">
        <v>0</v>
      </c>
    </row>
    <row r="2496">
      <c r="A2496" t="inlineStr">
        <is>
          <t>PAH, polycyclic aromatic hydrocarbons</t>
        </is>
      </c>
      <c r="B2496">
        <v>1.3253673720206761e-09</v>
      </c>
      <c r="D2496" t="inlineStr">
        <is>
          <t>kilogram</t>
        </is>
      </c>
      <c r="E2496" t="inlineStr">
        <is>
          <t>air::non-urban air or from high stacks</t>
        </is>
      </c>
      <c r="F2496" t="inlineStr">
        <is>
          <t>biosphere</t>
        </is>
      </c>
      <c r="I2496">
        <v>0</v>
      </c>
    </row>
    <row r="2497">
      <c r="A2497" t="inlineStr">
        <is>
          <t>Particulate Matter, &lt; 2.5 um</t>
        </is>
      </c>
      <c r="B2497">
        <v>4.776281554847676e-07</v>
      </c>
      <c r="D2497" t="inlineStr">
        <is>
          <t>kilogram</t>
        </is>
      </c>
      <c r="E2497" t="inlineStr">
        <is>
          <t>air::non-urban air or from high stacks</t>
        </is>
      </c>
      <c r="F2497" t="inlineStr">
        <is>
          <t>biosphere</t>
        </is>
      </c>
      <c r="I2497">
        <v>0</v>
      </c>
    </row>
    <row r="2498">
      <c r="A2498" t="inlineStr">
        <is>
          <t>Pentane</t>
        </is>
      </c>
      <c r="B2498">
        <v>5.836904424366724e-10</v>
      </c>
      <c r="D2498" t="inlineStr">
        <is>
          <t>kilogram</t>
        </is>
      </c>
      <c r="E2498" t="inlineStr">
        <is>
          <t>air::non-urban air or from high stacks</t>
        </is>
      </c>
      <c r="F2498" t="inlineStr">
        <is>
          <t>biosphere</t>
        </is>
      </c>
      <c r="I2498">
        <v>0</v>
      </c>
    </row>
    <row r="2499">
      <c r="A2499" t="inlineStr">
        <is>
          <t>1,1,1,2-Tetrafluoroethane</t>
        </is>
      </c>
      <c r="B2499">
        <v>1.0592803277176511e-07</v>
      </c>
      <c r="D2499" t="inlineStr">
        <is>
          <t>kilogram</t>
        </is>
      </c>
      <c r="E2499" t="inlineStr">
        <is>
          <t>air</t>
        </is>
      </c>
      <c r="F2499" t="inlineStr">
        <is>
          <t>biosphere</t>
        </is>
      </c>
      <c r="I2499">
        <v>0</v>
      </c>
    </row>
    <row r="2500">
      <c r="A2500" t="inlineStr">
        <is>
          <t>Acetaldehyde</t>
        </is>
      </c>
      <c r="B2500">
        <v>1.6591821111403828e-08</v>
      </c>
      <c r="D2500" t="inlineStr">
        <is>
          <t>kilogram</t>
        </is>
      </c>
      <c r="E2500" t="inlineStr">
        <is>
          <t>air::urban air close to ground</t>
        </is>
      </c>
      <c r="F2500" t="inlineStr">
        <is>
          <t>biosphere</t>
        </is>
      </c>
      <c r="I2500">
        <v>0</v>
      </c>
    </row>
    <row r="2501">
      <c r="A2501" t="inlineStr">
        <is>
          <t>Benzene</t>
        </is>
      </c>
      <c r="B2501">
        <v>6.21217814219678e-09</v>
      </c>
      <c r="D2501" t="inlineStr">
        <is>
          <t>kilogram</t>
        </is>
      </c>
      <c r="E2501" t="inlineStr">
        <is>
          <t>air::urban air close to ground</t>
        </is>
      </c>
      <c r="F2501" t="inlineStr">
        <is>
          <t>biosphere</t>
        </is>
      </c>
      <c r="I2501">
        <v>0</v>
      </c>
    </row>
    <row r="2502">
      <c r="A2502" t="inlineStr">
        <is>
          <t>Mercury II</t>
        </is>
      </c>
      <c r="B2502">
        <v>3.342847041832335e-11</v>
      </c>
      <c r="D2502" t="inlineStr">
        <is>
          <t>kilogram</t>
        </is>
      </c>
      <c r="E2502" t="inlineStr">
        <is>
          <t>air::urban air close to ground</t>
        </is>
      </c>
      <c r="F2502" t="inlineStr">
        <is>
          <t>biosphere</t>
        </is>
      </c>
      <c r="I2502">
        <v>0</v>
      </c>
    </row>
    <row r="2503">
      <c r="A2503" t="inlineStr">
        <is>
          <t>Cadmium II</t>
        </is>
      </c>
      <c r="B2503">
        <v>3.152603660310432e-13</v>
      </c>
      <c r="D2503" t="inlineStr">
        <is>
          <t>kilogram</t>
        </is>
      </c>
      <c r="E2503" t="inlineStr">
        <is>
          <t>air::urban air close to ground</t>
        </is>
      </c>
      <c r="F2503" t="inlineStr">
        <is>
          <t>biosphere</t>
        </is>
      </c>
      <c r="I2503">
        <v>0</v>
      </c>
    </row>
    <row r="2504">
      <c r="A2504" t="inlineStr">
        <is>
          <t>Propane</t>
        </is>
      </c>
      <c r="B2504">
        <v>9.728174395924623e-10</v>
      </c>
      <c r="D2504" t="inlineStr">
        <is>
          <t>kilogram</t>
        </is>
      </c>
      <c r="E2504" t="inlineStr">
        <is>
          <t>air::non-urban air or from high stacks</t>
        </is>
      </c>
      <c r="F2504" t="inlineStr">
        <is>
          <t>biosphere</t>
        </is>
      </c>
      <c r="I2504">
        <v>0</v>
      </c>
    </row>
    <row r="2505">
      <c r="A2505" t="inlineStr">
        <is>
          <t>Chromium III</t>
        </is>
      </c>
      <c r="B2505">
        <v>1.4418831693273988e-10</v>
      </c>
      <c r="D2505" t="inlineStr">
        <is>
          <t>kilogram</t>
        </is>
      </c>
      <c r="E2505" t="inlineStr">
        <is>
          <t>air::non-urban air or from high stacks</t>
        </is>
      </c>
      <c r="F2505" t="inlineStr">
        <is>
          <t>biosphere</t>
        </is>
      </c>
      <c r="I2505">
        <v>0</v>
      </c>
    </row>
    <row r="2506">
      <c r="A2506" t="inlineStr">
        <is>
          <t>Acrolein</t>
        </is>
      </c>
      <c r="B2506">
        <v>6.42615413607384e-09</v>
      </c>
      <c r="D2506" t="inlineStr">
        <is>
          <t>kilogram</t>
        </is>
      </c>
      <c r="E2506" t="inlineStr">
        <is>
          <t>air::urban air close to ground</t>
        </is>
      </c>
      <c r="F2506" t="inlineStr">
        <is>
          <t>biosphere</t>
        </is>
      </c>
      <c r="I2506">
        <v>0</v>
      </c>
    </row>
    <row r="2507">
      <c r="A2507" t="inlineStr">
        <is>
          <t>Benzaldehyde</t>
        </is>
      </c>
      <c r="B2507">
        <v>4.9739159967409846e-09</v>
      </c>
      <c r="D2507" t="inlineStr">
        <is>
          <t>kilogram</t>
        </is>
      </c>
      <c r="E2507" t="inlineStr">
        <is>
          <t>air::urban air close to ground</t>
        </is>
      </c>
      <c r="F2507" t="inlineStr">
        <is>
          <t>biosphere</t>
        </is>
      </c>
      <c r="I2507">
        <v>0</v>
      </c>
    </row>
    <row r="2508">
      <c r="A2508" t="inlineStr">
        <is>
          <t>Heptane</t>
        </is>
      </c>
      <c r="B2508">
        <v>1.0891786755623254e-09</v>
      </c>
      <c r="D2508" t="inlineStr">
        <is>
          <t>kilogram</t>
        </is>
      </c>
      <c r="E2508" t="inlineStr">
        <is>
          <t>air::urban air close to ground</t>
        </is>
      </c>
      <c r="F2508" t="inlineStr">
        <is>
          <t>biosphere</t>
        </is>
      </c>
      <c r="I2508">
        <v>0</v>
      </c>
    </row>
    <row r="2509">
      <c r="A2509" t="inlineStr">
        <is>
          <t>o-Xylene</t>
        </is>
      </c>
      <c r="B2509">
        <v>1.452238139332855e-09</v>
      </c>
      <c r="D2509" t="inlineStr">
        <is>
          <t>kilogram</t>
        </is>
      </c>
      <c r="E2509" t="inlineStr">
        <is>
          <t>air::urban air close to ground</t>
        </is>
      </c>
      <c r="F2509" t="inlineStr">
        <is>
          <t>biosphere</t>
        </is>
      </c>
      <c r="I2509">
        <v>0</v>
      </c>
    </row>
    <row r="2510">
      <c r="A2510" t="inlineStr">
        <is>
          <t>Selenium IV</t>
        </is>
      </c>
      <c r="B2510">
        <v>6.332385327245513e-13</v>
      </c>
      <c r="D2510" t="inlineStr">
        <is>
          <t>kilogram</t>
        </is>
      </c>
      <c r="E2510" t="inlineStr">
        <is>
          <t>air::urban air close to ground</t>
        </is>
      </c>
      <c r="F2510" t="inlineStr">
        <is>
          <t>biosphere</t>
        </is>
      </c>
      <c r="I2510">
        <v>0</v>
      </c>
    </row>
    <row r="2511">
      <c r="A2511" t="inlineStr">
        <is>
          <t>Styrene</t>
        </is>
      </c>
      <c r="B2511">
        <v>2.033133508766291e-09</v>
      </c>
      <c r="D2511" t="inlineStr">
        <is>
          <t>kilogram</t>
        </is>
      </c>
      <c r="E2511" t="inlineStr">
        <is>
          <t>air::urban air close to ground</t>
        </is>
      </c>
      <c r="F2511" t="inlineStr">
        <is>
          <t>biosphere</t>
        </is>
      </c>
      <c r="I2511">
        <v>0</v>
      </c>
    </row>
    <row r="2512">
      <c r="A2512" t="inlineStr">
        <is>
          <t>Acetaldehyde</t>
        </is>
      </c>
      <c r="B2512">
        <v>4.4457756307173774e-08</v>
      </c>
      <c r="D2512" t="inlineStr">
        <is>
          <t>kilogram</t>
        </is>
      </c>
      <c r="E2512" t="inlineStr">
        <is>
          <t>air::non-urban air or from high stacks</t>
        </is>
      </c>
      <c r="F2512" t="inlineStr">
        <is>
          <t>biosphere</t>
        </is>
      </c>
      <c r="I2512">
        <v>0</v>
      </c>
    </row>
    <row r="2513">
      <c r="A2513" t="inlineStr">
        <is>
          <t>Acrolein</t>
        </is>
      </c>
      <c r="B2513">
        <v>1.7218867998584824e-08</v>
      </c>
      <c r="D2513" t="inlineStr">
        <is>
          <t>kilogram</t>
        </is>
      </c>
      <c r="E2513" t="inlineStr">
        <is>
          <t>air::non-urban air or from high stacks</t>
        </is>
      </c>
      <c r="F2513" t="inlineStr">
        <is>
          <t>biosphere</t>
        </is>
      </c>
      <c r="I2513">
        <v>0</v>
      </c>
    </row>
    <row r="2514">
      <c r="A2514" t="inlineStr">
        <is>
          <t>Benzaldehyde</t>
        </is>
      </c>
      <c r="B2514">
        <v>1.3327598240214973e-08</v>
      </c>
      <c r="D2514" t="inlineStr">
        <is>
          <t>kilogram</t>
        </is>
      </c>
      <c r="E2514" t="inlineStr">
        <is>
          <t>air::non-urban air or from high stacks</t>
        </is>
      </c>
      <c r="F2514" t="inlineStr">
        <is>
          <t>biosphere</t>
        </is>
      </c>
      <c r="I2514">
        <v>0</v>
      </c>
    </row>
    <row r="2515">
      <c r="A2515" t="inlineStr">
        <is>
          <t>Heptane</t>
        </is>
      </c>
      <c r="B2515">
        <v>2.9184523187773873e-09</v>
      </c>
      <c r="D2515" t="inlineStr">
        <is>
          <t>kilogram</t>
        </is>
      </c>
      <c r="E2515" t="inlineStr">
        <is>
          <t>air::non-urban air or from high stacks</t>
        </is>
      </c>
      <c r="F2515" t="inlineStr">
        <is>
          <t>biosphere</t>
        </is>
      </c>
      <c r="I2515">
        <v>0</v>
      </c>
    </row>
    <row r="2516">
      <c r="A2516" t="inlineStr">
        <is>
          <t>m-Xylene</t>
        </is>
      </c>
      <c r="B2516">
        <v>9.533610453204961e-09</v>
      </c>
      <c r="D2516" t="inlineStr">
        <is>
          <t>kilogram</t>
        </is>
      </c>
      <c r="E2516" t="inlineStr">
        <is>
          <t>air::non-urban air or from high stacks</t>
        </is>
      </c>
      <c r="F2516" t="inlineStr">
        <is>
          <t>biosphere</t>
        </is>
      </c>
      <c r="I2516">
        <v>0</v>
      </c>
    </row>
    <row r="2517">
      <c r="A2517" t="inlineStr">
        <is>
          <t>o-Xylene</t>
        </is>
      </c>
      <c r="B2517">
        <v>3.891269758369849e-09</v>
      </c>
      <c r="D2517" t="inlineStr">
        <is>
          <t>kilogram</t>
        </is>
      </c>
      <c r="E2517" t="inlineStr">
        <is>
          <t>air::non-urban air or from high stacks</t>
        </is>
      </c>
      <c r="F2517" t="inlineStr">
        <is>
          <t>biosphere</t>
        </is>
      </c>
      <c r="I2517">
        <v>0</v>
      </c>
    </row>
    <row r="2518">
      <c r="A2518" t="inlineStr">
        <is>
          <t>Styrene</t>
        </is>
      </c>
      <c r="B2518">
        <v>5.447777889118377e-09</v>
      </c>
      <c r="D2518" t="inlineStr">
        <is>
          <t>kilogram</t>
        </is>
      </c>
      <c r="E2518" t="inlineStr">
        <is>
          <t>air::non-urban air or from high stacks</t>
        </is>
      </c>
      <c r="F2518" t="inlineStr">
        <is>
          <t>biosphere</t>
        </is>
      </c>
      <c r="I2518">
        <v>0</v>
      </c>
    </row>
    <row r="2519">
      <c r="A2519" t="inlineStr">
        <is>
          <t>exhaust system, for lorry, carculator regional truck 2020</t>
        </is>
      </c>
      <c r="B2519">
        <v>2.4791665583947556e-05</v>
      </c>
      <c r="C2519" t="inlineStr">
        <is>
          <t>RER</t>
        </is>
      </c>
      <c r="D2519" t="inlineStr">
        <is>
          <t>kilogram</t>
        </is>
      </c>
      <c r="F2519" t="inlineStr">
        <is>
          <t>technosphere</t>
        </is>
      </c>
      <c r="G2519" t="inlineStr">
        <is>
          <t>exhaust system, for lorry</t>
        </is>
      </c>
      <c r="H2519" t="inlineStr">
        <is>
          <t> Energy-use allocation: 220 * 1.367427797431765e-07 / 1.2134485858415922 MJ per ton kilometer.</t>
        </is>
      </c>
      <c r="I2519">
        <v>0</v>
      </c>
    </row>
    <row r="2520">
      <c r="A2520" t="inlineStr">
        <is>
          <t>fuel tank, for diesel vehicle, carculator regional truck 2020</t>
        </is>
      </c>
      <c r="B2520">
        <v>6.181935329374144e-06</v>
      </c>
      <c r="C2520" t="inlineStr">
        <is>
          <t>RER</t>
        </is>
      </c>
      <c r="D2520" t="inlineStr">
        <is>
          <t>kilogram</t>
        </is>
      </c>
      <c r="F2520" t="inlineStr">
        <is>
          <t>technosphere</t>
        </is>
      </c>
      <c r="G2520" t="inlineStr">
        <is>
          <t>fuel tank</t>
        </is>
      </c>
      <c r="H2520" t="inlineStr">
        <is>
          <t> Energy-use allocation: 54.85818481445312 * 1.367427797431765e-07 / 1.2134485858415922 MJ per ton kilometer.</t>
        </is>
      </c>
      <c r="I2520">
        <v>0</v>
      </c>
    </row>
    <row r="2521">
      <c r="A2521" t="inlineStr">
        <is>
          <t>gearbox, for lorry, carculator regional truck 2020</t>
        </is>
      </c>
      <c r="B2521">
        <v>2.271818151381884e-05</v>
      </c>
      <c r="C2521" t="inlineStr">
        <is>
          <t>RER</t>
        </is>
      </c>
      <c r="D2521" t="inlineStr">
        <is>
          <t>kilogram</t>
        </is>
      </c>
      <c r="F2521" t="inlineStr">
        <is>
          <t>technosphere</t>
        </is>
      </c>
      <c r="G2521" t="inlineStr">
        <is>
          <t>gearbox, for lorry</t>
        </is>
      </c>
      <c r="H2521" t="inlineStr">
        <is>
          <t> Energy-use allocation: 201.6000061035156 * 1.367427797431765e-07 / 1.2134485858415922 MJ per ton kilometer.</t>
        </is>
      </c>
      <c r="I2521">
        <v>0</v>
      </c>
    </row>
    <row r="2522">
      <c r="A2522" t="inlineStr">
        <is>
          <t>internal combustion engine, for lorry, carculator regional truck 2020</t>
        </is>
      </c>
      <c r="B2522">
        <v>0.000121895652649343</v>
      </c>
      <c r="C2522" t="inlineStr">
        <is>
          <t>RER</t>
        </is>
      </c>
      <c r="D2522" t="inlineStr">
        <is>
          <t>kilogram</t>
        </is>
      </c>
      <c r="F2522" t="inlineStr">
        <is>
          <t>technosphere</t>
        </is>
      </c>
      <c r="G2522" t="inlineStr">
        <is>
          <t>internal combustion engine, for lorry</t>
        </is>
      </c>
      <c r="H2522" t="inlineStr">
        <is>
          <t> Energy-use allocation: 1081.695922851562 * 1.367427797431765e-07 / 1.2134485858415922 MJ per ton kilometer.</t>
        </is>
      </c>
      <c r="I2522">
        <v>0</v>
      </c>
    </row>
    <row r="2523">
      <c r="A2523" t="inlineStr">
        <is>
          <t>lead acid battery, for lorry, carculator regional truck 2020</t>
        </is>
      </c>
      <c r="B2523">
        <v>3.7651515024380753e-06</v>
      </c>
      <c r="C2523" t="inlineStr">
        <is>
          <t>RER</t>
        </is>
      </c>
      <c r="D2523" t="inlineStr">
        <is>
          <t>kilogram</t>
        </is>
      </c>
      <c r="F2523" t="inlineStr">
        <is>
          <t>technosphere</t>
        </is>
      </c>
      <c r="G2523" t="inlineStr">
        <is>
          <t>lead acid battery, for lorry</t>
        </is>
      </c>
      <c r="H2523" t="inlineStr">
        <is>
          <t> Energy-use allocation: 33.41176605224609 * 1.367427797431765e-07 / 1.2134485858415922 MJ per ton kilometer.</t>
        </is>
      </c>
      <c r="I2523">
        <v>0</v>
      </c>
    </row>
    <row r="2524">
      <c r="A2524" t="inlineStr">
        <is>
          <t>power electronics, for lorry, carculator regional truck 2020</t>
        </is>
      </c>
      <c r="B2524">
        <v>2.986268808975501e-05</v>
      </c>
      <c r="C2524" t="inlineStr">
        <is>
          <t>RER</t>
        </is>
      </c>
      <c r="D2524" t="inlineStr">
        <is>
          <t>kilogram</t>
        </is>
      </c>
      <c r="F2524" t="inlineStr">
        <is>
          <t>technosphere</t>
        </is>
      </c>
      <c r="G2524" t="inlineStr">
        <is>
          <t>power electronics, for lorry</t>
        </is>
      </c>
      <c r="H2524" t="inlineStr">
        <is>
          <t> Energy-use allocation: 265 * 1.367427797431765e-07 / 1.2134485858415922 MJ per ton kilometer.</t>
        </is>
      </c>
      <c r="I2524">
        <v>0</v>
      </c>
    </row>
    <row r="2525">
      <c r="A2525" t="inlineStr">
        <is>
          <t>retarder, for lorry, carculator regional truck 2020</t>
        </is>
      </c>
      <c r="B2525">
        <v>7.572726598105075e-06</v>
      </c>
      <c r="C2525" t="inlineStr">
        <is>
          <t>RER</t>
        </is>
      </c>
      <c r="D2525" t="inlineStr">
        <is>
          <t>kilogram</t>
        </is>
      </c>
      <c r="F2525" t="inlineStr">
        <is>
          <t>technosphere</t>
        </is>
      </c>
      <c r="G2525" t="inlineStr">
        <is>
          <t>retarder, for lorry</t>
        </is>
      </c>
      <c r="H2525" t="inlineStr">
        <is>
          <t> Energy-use allocation: 67.19999694824219 * 1.367427797431765e-07 / 1.2134485858415922 MJ per ton kilometer.</t>
        </is>
      </c>
      <c r="I2525">
        <v>0</v>
      </c>
    </row>
    <row r="2526">
      <c r="A2526" t="inlineStr">
        <is>
          <t>transmission, for lorry, carculator regional truck 2020</t>
        </is>
      </c>
      <c r="B2526">
        <v>3.281514801862079e-05</v>
      </c>
      <c r="C2526" t="inlineStr">
        <is>
          <t>RER</t>
        </is>
      </c>
      <c r="D2526" t="inlineStr">
        <is>
          <t>kilogram</t>
        </is>
      </c>
      <c r="F2526" t="inlineStr">
        <is>
          <t>technosphere</t>
        </is>
      </c>
      <c r="G2526" t="inlineStr">
        <is>
          <t>transmission, for lorry</t>
        </is>
      </c>
      <c r="H2526" t="inlineStr">
        <is>
          <t> Energy-use allocation: 291.1999816894531 * 1.367427797431765e-07 / 1.2134485858415922 MJ per ton kilometer.</t>
        </is>
      </c>
      <c r="I2526">
        <v>0</v>
      </c>
    </row>
    <row r="2527">
      <c r="A2527" t="inlineStr">
        <is>
          <t>Carbon dioxide, fossil</t>
        </is>
      </c>
      <c r="B2527">
        <v>0.0732</v>
      </c>
      <c r="D2527" t="inlineStr">
        <is>
          <t>kilogram</t>
        </is>
      </c>
      <c r="E2527" t="inlineStr">
        <is>
          <t>air</t>
        </is>
      </c>
      <c r="F2527" t="inlineStr">
        <is>
          <t>biosphere</t>
        </is>
      </c>
      <c r="H2527" t="inlineStr">
        <is>
          <t>Reference-fuel full-oxidation CO2; Premise reclassifies fossil/biogenic carbon with regional blends. Pollutants are separate model estimates, not an elemental closure.</t>
        </is>
      </c>
      <c r="I2527">
        <v>0</v>
      </c>
    </row>
    <row r="2528"/>
    <row r="2529">
      <c r="A2529" t="inlineStr">
        <is>
          <t>Activity</t>
        </is>
      </c>
      <c r="B2529" t="inlineStr">
        <is>
          <t>electricity, used in heavy duty vehicle</t>
        </is>
      </c>
    </row>
    <row r="2530">
      <c r="A2530" t="inlineStr">
        <is>
          <t>location</t>
        </is>
      </c>
      <c r="B2530" t="inlineStr">
        <is>
          <t>CH</t>
        </is>
      </c>
    </row>
    <row r="2531">
      <c r="A2531" t="inlineStr">
        <is>
          <t>production amount</t>
        </is>
      </c>
      <c r="B2531">
        <v>1</v>
      </c>
    </row>
    <row r="2532">
      <c r="A2532" t="inlineStr">
        <is>
          <t>reference product</t>
        </is>
      </c>
      <c r="B2532" t="inlineStr">
        <is>
          <t>electricity, low voltage</t>
        </is>
      </c>
    </row>
    <row r="2533">
      <c r="A2533" t="inlineStr">
        <is>
          <t>type</t>
        </is>
      </c>
      <c r="B2533" t="inlineStr">
        <is>
          <t>process</t>
        </is>
      </c>
    </row>
    <row r="2534">
      <c r="A2534" t="inlineStr">
        <is>
          <t>unit</t>
        </is>
      </c>
      <c r="B2534" t="inlineStr">
        <is>
          <t>megajoule</t>
        </is>
      </c>
    </row>
    <row r="2535">
      <c r="A2535" t="inlineStr">
        <is>
          <t>source</t>
        </is>
      </c>
      <c r="B2535" t="inlineStr">
        <is>
          <t>Sacchi, R., Bauer, C., and Cox, B. Does size matter? The influence of size, load factor, range autonomy and application type on the Life Cycle Assessment of current and future trucks. 2021. Environmental Science and Technology.</t>
        </is>
      </c>
    </row>
    <row r="2536">
      <c r="A2536" t="inlineStr">
        <is>
          <t>description</t>
        </is>
      </c>
      <c r="B253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37">
      <c r="A2537" t="inlineStr">
        <is>
          <t>comment</t>
        </is>
      </c>
      <c r="B2537" t="inlineStr">
        <is>
          <t>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538">
      <c r="A2538" t="inlineStr">
        <is>
          <t>energy use source</t>
        </is>
      </c>
      <c r="B2538"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carculator regional truck 2020", "EV charger, level 3, plugin, 200 kW", "RER", "unit"], "amount per vehicle": 0.1218137145042419, "vehicle per source service": 1.367427797431765e-07, "replacement correction factor": 1.0, "amount per MJ": 3.8343213519496126e-08}, {"supplier": ["gearbox, for lorry, carculator regional truck 2020", "gearbox, for lorry", "RER", "kilogram"], "amount per vehicle": 201.6000061035156, "vehicle per source service": 1.367427797431765e-07, "replacement correction factor": 1.0, "amount per MJ": 6.34574859737131e-05}, {"supplier": ["power electronics, for lorry, carculator regional truck 2020", "power electronics, for lorry", "RER", "kilogram"], "amount per vehicle": 265, "vehicle per source service": 1.367427797431765e-07, "replacement correction factor": 1.0, "amount per MJ": 8.341385552537798e-05}, {"supplier": ["retarder, for lorry, carculator regional truck 2020", "retarder, for lorry", "RER", "kilogram"], "amount per vehicle": 67.19999694824219, "vehicle per source service": 1.367427797431765e-07, "replacement correction factor": 1.0, "amount per MJ": 2.1152493723571755e-05}, {"supplier": ["transmission, for lorry, carculator regional truck 2020", "transmission, for lorry", "RER", "kilogram"], "amount per vehicle": 291.1999816894531, "vehicle per source service": 1.367427797431765e-07, "replacement correction factor": 1.0, "amount per MJ": 9.166080453447832e-05}, {"supplier": ["market for converter, for electric passenger car", "converter, for electric passenger car", "GLO", "kilogram"], "amount per vehicle": 25, "vehicle per source service": 1.367427797431765e-07, "replacement correction factor": 1.0, "amount per MJ": 7.869231653337545e-06}, {"supplier": ["market for electric motor, electric passenger car", "electric motor, electric passenger car", "GLO", "kilogram"], "amount per vehicle": 600,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carculator regional truck 2020", "assembly operation, for lorry", "RER", "kilogram"], "amount per vehicle": 17140.91796875, "vehicle per source service": 1.367427797431765e-07}, {"supplier": ["frame, blanks and saddle, for lorry, carculator regional truck 2020", "frame, blanks and saddle, for lorry", "RER", "kilogram"], "amount per vehicle": 5539, "vehicle per source service": 1.367427797431765e-07}, {"supplier": ["glider lightweighting, carculator regional truck 2020", "glider lightweighting", "GLO", "kilogram"], "amount per vehicle": 110.7799987792969, "vehicle per source service": 1.367427797431765e-07}, {"supplier": ["other components, for electric lorry, carculator regional truck 2020", "other components, for electric lorry", "RER", "kilogram"], "amount per vehicle": 1059, "vehicle per source service": 1.367427797431765e-07}, {"supplier": ["suspension, for lorry, carculator regional truck 2020", "suspension, for lorry", "RER", "kilogram"], "amount per vehicle": 3440, "vehicle per source service": 1.367427797431765e-07}, {"supplier": ["tires and wheels, for lorry, carculator regional truck 2020", "tires and wheels, for lorry", "RER", "kilogram"], "amount per vehicle": 1422, "vehicle per source service": 1.367427797431765e-07}, {"supplier": ["maintenance, lorry 40 metric ton", "maintenance, lorry 40 metric ton", "CH", "unit"], "amount per vehicle": 1, "vehicle per source service": 1.367427797431765e-07}, {"supplier": ["treatment of used lorry, 40 metric ton", "used lorry, 40 metric ton", "CH", "unit"], "amount per vehicle": -1, "vehicle per source service": 1.367427797431765e-07}], "alternative fuel recipe retained": false}</t>
        </is>
      </c>
    </row>
    <row r="2539">
      <c r="A2539" t="inlineStr">
        <is>
          <t>Exchanges</t>
        </is>
      </c>
    </row>
    <row r="2540">
      <c r="A2540" t="inlineStr">
        <is>
          <t>name</t>
        </is>
      </c>
      <c r="B2540" t="inlineStr">
        <is>
          <t>amount</t>
        </is>
      </c>
      <c r="C2540" t="inlineStr">
        <is>
          <t>location</t>
        </is>
      </c>
      <c r="D2540" t="inlineStr">
        <is>
          <t>unit</t>
        </is>
      </c>
      <c r="E2540" t="inlineStr">
        <is>
          <t>categories</t>
        </is>
      </c>
      <c r="F2540" t="inlineStr">
        <is>
          <t>type</t>
        </is>
      </c>
      <c r="G2540" t="inlineStr">
        <is>
          <t>reference product</t>
        </is>
      </c>
      <c r="H2540" t="inlineStr">
        <is>
          <t>comment</t>
        </is>
      </c>
      <c r="I2540" t="inlineStr">
        <is>
          <t>uncertainty type</t>
        </is>
      </c>
    </row>
    <row r="2541">
      <c r="A2541" t="inlineStr">
        <is>
          <t>electricity, used in heavy duty vehicle</t>
        </is>
      </c>
      <c r="B2541">
        <v>1.0</v>
      </c>
      <c r="C2541" t="inlineStr">
        <is>
          <t>CH</t>
        </is>
      </c>
      <c r="D2541" t="inlineStr">
        <is>
          <t>megajoule</t>
        </is>
      </c>
      <c r="E2541" t="inlineStr">
        <is>
          <t/>
        </is>
      </c>
      <c r="F2541" t="inlineStr">
        <is>
          <t>production</t>
        </is>
      </c>
      <c r="G2541" t="inlineStr">
        <is>
          <t>electricity, low voltage</t>
        </is>
      </c>
      <c r="I2541">
        <v>0</v>
      </c>
    </row>
    <row r="2542">
      <c r="A2542" t="inlineStr">
        <is>
          <t>market group for electricity, low voltage</t>
        </is>
      </c>
      <c r="B2542">
        <v>0.27777777777777773</v>
      </c>
      <c r="C2542" t="inlineStr">
        <is>
          <t>RER</t>
        </is>
      </c>
      <c r="D2542" t="inlineStr">
        <is>
          <t>kilowatt hour</t>
        </is>
      </c>
      <c r="F2542" t="inlineStr">
        <is>
          <t>technosphere</t>
        </is>
      </c>
      <c r="G2542" t="inlineStr">
        <is>
          <t>electricity, low voltage</t>
        </is>
      </c>
      <c r="H2542" t="inlineStr">
        <is>
          <t>Grid purchase including model charging losses; Premise regional electricity.</t>
        </is>
      </c>
      <c r="I2542">
        <v>0</v>
      </c>
    </row>
    <row r="2543">
      <c r="A2543" t="inlineStr">
        <is>
          <t>market for tetrafluoroethane, R134a</t>
        </is>
      </c>
      <c r="B2543">
        <v>6.421292897004757e-07</v>
      </c>
      <c r="C2543" t="inlineStr">
        <is>
          <t>GLO</t>
        </is>
      </c>
      <c r="D2543" t="inlineStr">
        <is>
          <t>kilogram</t>
        </is>
      </c>
      <c r="F2543" t="inlineStr">
        <is>
          <t>technosphere</t>
        </is>
      </c>
      <c r="G2543" t="inlineStr">
        <is>
          <t>tetrafluoroethane, R134a</t>
        </is>
      </c>
      <c r="I2543">
        <v>0</v>
      </c>
    </row>
    <row r="2544">
      <c r="A2544" t="inlineStr">
        <is>
          <t>treatment of brake wear emissions, lorry</t>
        </is>
      </c>
      <c r="B2544">
        <v>-1.6923273973174422e-05</v>
      </c>
      <c r="C2544" t="inlineStr">
        <is>
          <t>RER</t>
        </is>
      </c>
      <c r="D2544" t="inlineStr">
        <is>
          <t>kilogram</t>
        </is>
      </c>
      <c r="F2544" t="inlineStr">
        <is>
          <t>technosphere</t>
        </is>
      </c>
      <c r="G2544" t="inlineStr">
        <is>
          <t>brake wear emissions, lorry</t>
        </is>
      </c>
      <c r="I2544">
        <v>0</v>
      </c>
    </row>
    <row r="2545">
      <c r="A2545" t="inlineStr">
        <is>
          <t>treatment of road wear emissions, lorry</t>
        </is>
      </c>
      <c r="B2545">
        <v>-3.154446984763782e-05</v>
      </c>
      <c r="C2545" t="inlineStr">
        <is>
          <t>RER</t>
        </is>
      </c>
      <c r="D2545" t="inlineStr">
        <is>
          <t>kilogram</t>
        </is>
      </c>
      <c r="F2545" t="inlineStr">
        <is>
          <t>technosphere</t>
        </is>
      </c>
      <c r="G2545" t="inlineStr">
        <is>
          <t>road wear emissions, lorry</t>
        </is>
      </c>
      <c r="I2545">
        <v>0</v>
      </c>
    </row>
    <row r="2546">
      <c r="A2546" t="inlineStr">
        <is>
          <t>treatment of tyre wear emissions, lorry</t>
        </is>
      </c>
      <c r="B2546">
        <v>-2.5484250382903828e-05</v>
      </c>
      <c r="C2546" t="inlineStr">
        <is>
          <t>RER</t>
        </is>
      </c>
      <c r="D2546" t="inlineStr">
        <is>
          <t>kilogram</t>
        </is>
      </c>
      <c r="F2546" t="inlineStr">
        <is>
          <t>technosphere</t>
        </is>
      </c>
      <c r="G2546" t="inlineStr">
        <is>
          <t>tyre wear emissions, lorry</t>
        </is>
      </c>
      <c r="I2546">
        <v>0</v>
      </c>
    </row>
    <row r="2547">
      <c r="A2547" t="inlineStr">
        <is>
          <t>1,1,1,2-Tetrafluoroethane</t>
        </is>
      </c>
      <c r="B2547">
        <v>2.9588312998329307e-07</v>
      </c>
      <c r="D2547" t="inlineStr">
        <is>
          <t>kilogram</t>
        </is>
      </c>
      <c r="E2547" t="inlineStr">
        <is>
          <t>air</t>
        </is>
      </c>
      <c r="F2547" t="inlineStr">
        <is>
          <t>biosphere</t>
        </is>
      </c>
      <c r="I2547">
        <v>0</v>
      </c>
    </row>
    <row r="2548">
      <c r="A2548" t="inlineStr">
        <is>
          <t>EV charger, level 3, plugin, 200 kW, carculator regional truck 2020</t>
        </is>
      </c>
      <c r="B2548">
        <v>3.8343213519496126e-08</v>
      </c>
      <c r="C2548" t="inlineStr">
        <is>
          <t>RER</t>
        </is>
      </c>
      <c r="D2548" t="inlineStr">
        <is>
          <t>unit</t>
        </is>
      </c>
      <c r="F2548" t="inlineStr">
        <is>
          <t>technosphere</t>
        </is>
      </c>
      <c r="G2548" t="inlineStr">
        <is>
          <t>EV charger, level 3, plugin, 200 kW</t>
        </is>
      </c>
      <c r="H2548" t="inlineStr">
        <is>
          <t> Energy-use allocation: 0.1218137145042419 * 1.367427797431765e-07 / 0.4344222719799472 MJ per ton kilometer.</t>
        </is>
      </c>
      <c r="I2548">
        <v>0</v>
      </c>
    </row>
    <row r="2549">
      <c r="A2549" t="inlineStr">
        <is>
          <t>gearbox, for lorry, carculator regional truck 2020</t>
        </is>
      </c>
      <c r="B2549">
        <v>6.34574859737131e-05</v>
      </c>
      <c r="C2549" t="inlineStr">
        <is>
          <t>RER</t>
        </is>
      </c>
      <c r="D2549" t="inlineStr">
        <is>
          <t>kilogram</t>
        </is>
      </c>
      <c r="F2549" t="inlineStr">
        <is>
          <t>technosphere</t>
        </is>
      </c>
      <c r="G2549" t="inlineStr">
        <is>
          <t>gearbox, for lorry</t>
        </is>
      </c>
      <c r="H2549" t="inlineStr">
        <is>
          <t> Energy-use allocation: 201.6000061035156 * 1.367427797431765e-07 / 0.4344222719799472 MJ per ton kilometer.</t>
        </is>
      </c>
      <c r="I2549">
        <v>0</v>
      </c>
    </row>
    <row r="2550">
      <c r="A2550" t="inlineStr">
        <is>
          <t>power electronics, for lorry, carculator regional truck 2020</t>
        </is>
      </c>
      <c r="B2550">
        <v>8.341385552537798e-05</v>
      </c>
      <c r="C2550" t="inlineStr">
        <is>
          <t>RER</t>
        </is>
      </c>
      <c r="D2550" t="inlineStr">
        <is>
          <t>kilogram</t>
        </is>
      </c>
      <c r="F2550" t="inlineStr">
        <is>
          <t>technosphere</t>
        </is>
      </c>
      <c r="G2550" t="inlineStr">
        <is>
          <t>power electronics, for lorry</t>
        </is>
      </c>
      <c r="H2550" t="inlineStr">
        <is>
          <t> Energy-use allocation: 265 * 1.367427797431765e-07 / 0.4344222719799472 MJ per ton kilometer.</t>
        </is>
      </c>
      <c r="I2550">
        <v>0</v>
      </c>
    </row>
    <row r="2551">
      <c r="A2551" t="inlineStr">
        <is>
          <t>retarder, for lorry, carculator regional truck 2020</t>
        </is>
      </c>
      <c r="B2551">
        <v>2.1152493723571755e-05</v>
      </c>
      <c r="C2551" t="inlineStr">
        <is>
          <t>RER</t>
        </is>
      </c>
      <c r="D2551" t="inlineStr">
        <is>
          <t>kilogram</t>
        </is>
      </c>
      <c r="F2551" t="inlineStr">
        <is>
          <t>technosphere</t>
        </is>
      </c>
      <c r="G2551" t="inlineStr">
        <is>
          <t>retarder, for lorry</t>
        </is>
      </c>
      <c r="H2551" t="inlineStr">
        <is>
          <t> Energy-use allocation: 67.19999694824219 * 1.367427797431765e-07 / 0.4344222719799472 MJ per ton kilometer.</t>
        </is>
      </c>
      <c r="I2551">
        <v>0</v>
      </c>
    </row>
    <row r="2552">
      <c r="A2552" t="inlineStr">
        <is>
          <t>transmission, for lorry, carculator regional truck 2020</t>
        </is>
      </c>
      <c r="B2552">
        <v>9.166080453447832e-05</v>
      </c>
      <c r="C2552" t="inlineStr">
        <is>
          <t>RER</t>
        </is>
      </c>
      <c r="D2552" t="inlineStr">
        <is>
          <t>kilogram</t>
        </is>
      </c>
      <c r="F2552" t="inlineStr">
        <is>
          <t>technosphere</t>
        </is>
      </c>
      <c r="G2552" t="inlineStr">
        <is>
          <t>transmission, for lorry</t>
        </is>
      </c>
      <c r="H2552" t="inlineStr">
        <is>
          <t> Energy-use allocation: 291.1999816894531 * 1.367427797431765e-07 / 0.4344222719799472 MJ per ton kilometer.</t>
        </is>
      </c>
      <c r="I2552">
        <v>0</v>
      </c>
    </row>
    <row r="2553">
      <c r="A2553" t="inlineStr">
        <is>
          <t>market for converter, for electric passenger car</t>
        </is>
      </c>
      <c r="B2553">
        <v>7.869231653337545e-06</v>
      </c>
      <c r="C2553" t="inlineStr">
        <is>
          <t>GLO</t>
        </is>
      </c>
      <c r="D2553" t="inlineStr">
        <is>
          <t>kilogram</t>
        </is>
      </c>
      <c r="F2553" t="inlineStr">
        <is>
          <t>technosphere</t>
        </is>
      </c>
      <c r="G2553" t="inlineStr">
        <is>
          <t>converter, for electric passenger car</t>
        </is>
      </c>
      <c r="H2553" t="inlineStr">
        <is>
          <t> Energy-use allocation: 25 * 1.367427797431765e-07 / 0.4344222719799472 MJ per ton kilometer.</t>
        </is>
      </c>
      <c r="I2553">
        <v>0</v>
      </c>
    </row>
    <row r="2554">
      <c r="A2554" t="inlineStr">
        <is>
          <t>market for electric motor, electric passenger car</t>
        </is>
      </c>
      <c r="B2554">
        <v>0.00018886155968010109</v>
      </c>
      <c r="C2554" t="inlineStr">
        <is>
          <t>GLO</t>
        </is>
      </c>
      <c r="D2554" t="inlineStr">
        <is>
          <t>kilogram</t>
        </is>
      </c>
      <c r="F2554" t="inlineStr">
        <is>
          <t>technosphere</t>
        </is>
      </c>
      <c r="G2554" t="inlineStr">
        <is>
          <t>electric motor, electric passenger car</t>
        </is>
      </c>
      <c r="H2554" t="inlineStr">
        <is>
          <t> Energy-use allocation: 600 * 1.367427797431765e-07 / 0.4344222719799472 MJ per ton kilometer.</t>
        </is>
      </c>
      <c r="I2554">
        <v>0</v>
      </c>
    </row>
    <row r="2555">
      <c r="A2555" t="inlineStr">
        <is>
          <t>market for inverter, for electric passenger car</t>
        </is>
      </c>
      <c r="B2555">
        <v>8.725462677809252e-06</v>
      </c>
      <c r="C2555" t="inlineStr">
        <is>
          <t>GLO</t>
        </is>
      </c>
      <c r="D2555" t="inlineStr">
        <is>
          <t>kilogram</t>
        </is>
      </c>
      <c r="F2555" t="inlineStr">
        <is>
          <t>technosphere</t>
        </is>
      </c>
      <c r="G2555" t="inlineStr">
        <is>
          <t>inverter, for electric passenger car</t>
        </is>
      </c>
      <c r="H2555" t="inlineStr">
        <is>
          <t> Energy-use allocation: 27.72018623352051 * 1.367427797431765e-07 / 0.4344222719799472 MJ per ton kilometer.</t>
        </is>
      </c>
      <c r="I2555">
        <v>0</v>
      </c>
    </row>
    <row r="2556">
      <c r="A2556" t="inlineStr">
        <is>
          <t>market for power distribution unit, for electric passenger car</t>
        </is>
      </c>
      <c r="B2556">
        <v>1.2590770645340072e-06</v>
      </c>
      <c r="C2556" t="inlineStr">
        <is>
          <t>GLO</t>
        </is>
      </c>
      <c r="D2556" t="inlineStr">
        <is>
          <t>kilogram</t>
        </is>
      </c>
      <c r="F2556" t="inlineStr">
        <is>
          <t>technosphere</t>
        </is>
      </c>
      <c r="G2556" t="inlineStr">
        <is>
          <t>power distribution unit, for electric passenger car</t>
        </is>
      </c>
      <c r="H2556" t="inlineStr">
        <is>
          <t> Energy-use allocation: 4 * 1.367427797431765e-07 / 0.4344222719799472 MJ per ton kilometer.</t>
        </is>
      </c>
      <c r="I2556">
        <v>0</v>
      </c>
    </row>
    <row r="2557">
      <c r="A2557" t="inlineStr">
        <is>
          <t>market for battery capacity (MIX scenario)</t>
        </is>
      </c>
      <c r="B2557">
        <v>0.00017339536871471286</v>
      </c>
      <c r="C2557" t="inlineStr">
        <is>
          <t>GLO</t>
        </is>
      </c>
      <c r="D2557" t="inlineStr">
        <is>
          <t>kilowatt hour</t>
        </is>
      </c>
      <c r="F2557" t="inlineStr">
        <is>
          <t>technosphere</t>
        </is>
      </c>
      <c r="G2557" t="inlineStr">
        <is>
          <t>electricity storage capacity</t>
        </is>
      </c>
      <c r="H2557" t="inlineStr">
        <is>
          <t>550.864990234 kWh nominal * (1 + 0 replacements); capacity market includes manufacture and end of life, replacing kg pack and disposal exchanges. Energy-use allocation: 550.864990234375 * 1.367427797431765e-07 / 0.4344222719799472 MJ per ton kilometer.</t>
        </is>
      </c>
      <c r="I2557">
        <v>0</v>
      </c>
    </row>
    <row r="2558"/>
    <row r="2559">
      <c r="A2559" t="inlineStr">
        <is>
          <t>Activity</t>
        </is>
      </c>
      <c r="B2559" t="inlineStr">
        <is>
          <t>hydrogen, used in heavy duty vehicle</t>
        </is>
      </c>
    </row>
    <row r="2560">
      <c r="A2560" t="inlineStr">
        <is>
          <t>location</t>
        </is>
      </c>
      <c r="B2560" t="inlineStr">
        <is>
          <t>CH</t>
        </is>
      </c>
    </row>
    <row r="2561">
      <c r="A2561" t="inlineStr">
        <is>
          <t>production amount</t>
        </is>
      </c>
      <c r="B2561">
        <v>1</v>
      </c>
    </row>
    <row r="2562">
      <c r="A2562" t="inlineStr">
        <is>
          <t>reference product</t>
        </is>
      </c>
      <c r="B2562" t="inlineStr">
        <is>
          <t>heat</t>
        </is>
      </c>
    </row>
    <row r="2563">
      <c r="A2563" t="inlineStr">
        <is>
          <t>type</t>
        </is>
      </c>
      <c r="B2563" t="inlineStr">
        <is>
          <t>process</t>
        </is>
      </c>
    </row>
    <row r="2564">
      <c r="A2564" t="inlineStr">
        <is>
          <t>unit</t>
        </is>
      </c>
      <c r="B2564" t="inlineStr">
        <is>
          <t>megajoule</t>
        </is>
      </c>
    </row>
    <row r="2565">
      <c r="A2565" t="inlineStr">
        <is>
          <t>source</t>
        </is>
      </c>
      <c r="B2565" t="inlineStr">
        <is>
          <t>Sacchi, R., Bauer, C., and Cox, B. Does size matter? The influence of size, load factor, range autonomy and application type on the Life Cycle Assessment of current and future trucks. 2021. Environmental Science and Technology.</t>
        </is>
      </c>
    </row>
    <row r="2566">
      <c r="A2566" t="inlineStr">
        <is>
          <t>description</t>
        </is>
      </c>
      <c r="B25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67">
      <c r="A2567" t="inlineStr">
        <is>
          <t>comment</t>
        </is>
      </c>
      <c r="B2567" t="inlineStr">
        <is>
          <t>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568">
      <c r="A2568" t="inlineStr">
        <is>
          <t>energy use source</t>
        </is>
      </c>
      <c r="B2568"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production, 1 kWe, proton exchange membrane (PEM), carculator regional truck 2020", "fuel cell Balance of Plant, 1 kWe, proton exchange membrane (PEM)", "GLO", "unit"], "amount per vehicle": 61.48481369018555, "vehicle per source service": 1.367427797431765e-07, "replacement correction factor": 1.0, "amount per MJ": 1.0629661701777987e-05}, {"supplier": ["fuel cell stack production, 1 kWe, proton exchange membrane (PEM), carculator regional truck 2020", "fuel cell stack, 1 kWe, proton exchange membrane (PEM)", "GLO", "unit"], "amount per vehicle": 289.8569641113281, "vehicle per source service": 1.367427797431765e-07, "replacement correction factor": 1.0, "amount per MJ": 5.011125976461462e-05}, {"supplier": ["fuel tank, compressed hydrogen gas, 700bar, with HDPE liner, carculator regional truck 2020", "hydrogen tank", "RER", "kilogram"], "amount per vehicle": 362.2264404296875, "vehicle per source service": 1.367427797431765e-07, "replacement correction factor": 1.0, "amount per MJ": 6.26226915252314e-05}, {"supplier": ["gearbox, for lorry, carculator regional truck 2020", "gearbox, for lorry", "RER", "kilogram"], "amount per vehicle": 201.6000061035156, "vehicle per source service": 1.367427797431765e-07, "replacement correction factor": 1.0, "amount per MJ": 3.485315698856566e-05}, {"supplier": ["power electronics, for lorry, carculator regional truck 2020", "power electronics, for lorry", "RER", "kilogram"], "amount per vehicle": 265, "vehicle per source service": 1.367427797431765e-07, "replacement correction factor": 1.0, "amount per MJ": 4.581392024972185e-05}, {"supplier": ["retarder, for lorry, carculator regional truck 2020", "retarder, for lorry", "RER", "kilogram"], "amount per vehicle": 67.19999694824219, "vehicle per source service": 1.367427797431765e-07, "replacement correction factor": 1.0, "amount per MJ": 1.1617718116861581e-05}, {"supplier": ["transmission, for lorry, carculator regional truck 2020", "transmission, for lorry", "RER", "kilogram"], "amount per vehicle": 291.1999816894531, "vehicle per source service": 1.367427797431765e-07, "replacement correction factor": 1.0, "amount per MJ": 5.0343444293739876e-05}, {"supplier": ["market for converter, for electric passenger car", "converter, for electric passenger car", "GLO", "kilogram"], "amount per vehicle": 25, "vehicle per source service": 1.367427797431765e-07, "replacement correction factor": 1.0, "amount per MJ": 4.3220679480869664e-06}, {"supplier": ["market for electric motor, electric passenger car", "electric motor, electric passenger car",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 "vehicle per source service": 1.367427797431765e-07, "replacement correction factor": 1.0, "amount per MJ": 6.915308716939146e-07}, {"supplier": ["market for battery capacity (MIX scenario)", "electricity storage capacity", "GLO", "kilowatt hour"], "amount per vehicle": 74.3123779296875, "vehicle per source service": 1.367427797431765e-07, "coefficient limitation": "Native nominal-kWh MIX market is a manufacturing proxy; it does not reproduce the heavier high-power physical battery pack mass.", "replacement correction factor": 1.0, "amount per MJ": 1.2847325871841106e-05}], "excluded": [{"supplier": "market for road", "amount per source service": 0.001316456714662177}, {"supplier": "market for road maintenance", "amount per source service": 0.0001252427161273638}, {"supplier": ["assembly operation, for lorry, carculator regional truck 2020", "assembly operation, for lorry", "RER", "kilogram"], "amount per vehicle": 14875.4716796875, "vehicle per source service": 1.367427797431765e-07}, {"supplier": ["frame, blanks and saddle, for lorry, carculator regional truck 2020", "frame, blanks and saddle, for lorry", "RER", "kilogram"], "amount per vehicle": 5539, "vehicle per source service": 1.367427797431765e-07}, {"supplier": ["glider lightweighting, carculator regional truck 2020", "glider lightweighting", "GLO", "kilogram"], "amount per vehicle": 110.7799987792969, "vehicle per source service": 1.367427797431765e-07}, {"supplier": ["other components, for electric lorry, carculator regional truck 2020", "other components, for electric lorry", "RER", "kilogram"], "amount per vehicle": 1059, "vehicle per source service": 1.367427797431765e-07}, {"supplier": ["suspension, for lorry, carculator regional truck 2020", "suspension, for lorry", "RER", "kilogram"], "amount per vehicle": 3440, "vehicle per source service": 1.367427797431765e-07}, {"supplier": ["tires and wheels, for lorry, carculator regional truck 2020", "tires and wheels, for lorry", "RER", "kilogram"], "amount per vehicle": 1422, "vehicle per source service": 1.367427797431765e-07}, {"supplier": ["maintenance, lorry 40 metric ton", "maintenance, lorry 40 metric ton", "CH", "unit"], "amount per vehicle": 1, "vehicle per source service": 1.367427797431765e-07}, {"supplier": ["treatment of used lorry, 40 metric ton", "used lorry, 40 metric ton", "CH", "unit"], "amount per vehicle": -1, "vehicle per source service": 1.367427797431765e-07}], "alternative fuel recipe retained": false}</t>
        </is>
      </c>
    </row>
    <row r="2569">
      <c r="A2569" t="inlineStr">
        <is>
          <t>Exchanges</t>
        </is>
      </c>
    </row>
    <row r="2570">
      <c r="A2570" t="inlineStr">
        <is>
          <t>name</t>
        </is>
      </c>
      <c r="B2570" t="inlineStr">
        <is>
          <t>amount</t>
        </is>
      </c>
      <c r="C2570" t="inlineStr">
        <is>
          <t>location</t>
        </is>
      </c>
      <c r="D2570" t="inlineStr">
        <is>
          <t>unit</t>
        </is>
      </c>
      <c r="E2570" t="inlineStr">
        <is>
          <t>categories</t>
        </is>
      </c>
      <c r="F2570" t="inlineStr">
        <is>
          <t>type</t>
        </is>
      </c>
      <c r="G2570" t="inlineStr">
        <is>
          <t>reference product</t>
        </is>
      </c>
      <c r="H2570" t="inlineStr">
        <is>
          <t>comment</t>
        </is>
      </c>
      <c r="I2570" t="inlineStr">
        <is>
          <t>uncertainty type</t>
        </is>
      </c>
    </row>
    <row r="2571">
      <c r="A2571" t="inlineStr">
        <is>
          <t>hydrogen, used in heavy duty vehicle</t>
        </is>
      </c>
      <c r="B2571">
        <v>1.0</v>
      </c>
      <c r="C2571" t="inlineStr">
        <is>
          <t>CH</t>
        </is>
      </c>
      <c r="D2571" t="inlineStr">
        <is>
          <t>megajoule</t>
        </is>
      </c>
      <c r="E2571" t="inlineStr">
        <is>
          <t/>
        </is>
      </c>
      <c r="F2571" t="inlineStr">
        <is>
          <t>production</t>
        </is>
      </c>
      <c r="G2571" t="inlineStr">
        <is>
          <t>heat</t>
        </is>
      </c>
      <c r="I2571">
        <v>0</v>
      </c>
    </row>
    <row r="2572">
      <c r="A2572" t="inlineStr">
        <is>
          <t>market for hydrogen, gaseous, low pressure</t>
        </is>
      </c>
      <c r="B2572">
        <v>0.008333333333333333</v>
      </c>
      <c r="C2572" t="inlineStr">
        <is>
          <t>RER</t>
        </is>
      </c>
      <c r="D2572" t="inlineStr">
        <is>
          <t>kilogram</t>
        </is>
      </c>
      <c r="F2572" t="inlineStr">
        <is>
          <t>technosphere</t>
        </is>
      </c>
      <c r="G2572" t="inlineStr">
        <is>
          <t>hydrogen, gaseous, low pressure</t>
        </is>
      </c>
      <c r="H2572" t="inlineStr">
        <is>
          <t>Model fuel energy retained: 0.790956906425 MJ/tkm; reference LHV 120.0 MJ/kg. Premise determines regional blends.</t>
        </is>
      </c>
      <c r="I2572">
        <v>0</v>
      </c>
    </row>
    <row r="2573">
      <c r="A2573" t="inlineStr">
        <is>
          <t>market for tetrafluoroethane, R134a</t>
        </is>
      </c>
      <c r="B2573">
        <v>3.5268073730745854e-07</v>
      </c>
      <c r="C2573" t="inlineStr">
        <is>
          <t>GLO</t>
        </is>
      </c>
      <c r="D2573" t="inlineStr">
        <is>
          <t>kilogram</t>
        </is>
      </c>
      <c r="F2573" t="inlineStr">
        <is>
          <t>technosphere</t>
        </is>
      </c>
      <c r="G2573" t="inlineStr">
        <is>
          <t>tetrafluoroethane, R134a</t>
        </is>
      </c>
      <c r="I2573">
        <v>0</v>
      </c>
    </row>
    <row r="2574">
      <c r="A2574" t="inlineStr">
        <is>
          <t>treatment of brake wear emissions, lorry</t>
        </is>
      </c>
      <c r="B2574">
        <v>-9.34177721874287e-06</v>
      </c>
      <c r="C2574" t="inlineStr">
        <is>
          <t>RER</t>
        </is>
      </c>
      <c r="D2574" t="inlineStr">
        <is>
          <t>kilogram</t>
        </is>
      </c>
      <c r="F2574" t="inlineStr">
        <is>
          <t>technosphere</t>
        </is>
      </c>
      <c r="G2574" t="inlineStr">
        <is>
          <t>brake wear emissions, lorry</t>
        </is>
      </c>
      <c r="I2574">
        <v>0</v>
      </c>
    </row>
    <row r="2575">
      <c r="A2575" t="inlineStr">
        <is>
          <t>treatment of road wear emissions, lorry</t>
        </is>
      </c>
      <c r="B2575">
        <v>-1.6195647463338396e-05</v>
      </c>
      <c r="C2575" t="inlineStr">
        <is>
          <t>RER</t>
        </is>
      </c>
      <c r="D2575" t="inlineStr">
        <is>
          <t>kilogram</t>
        </is>
      </c>
      <c r="F2575" t="inlineStr">
        <is>
          <t>technosphere</t>
        </is>
      </c>
      <c r="G2575" t="inlineStr">
        <is>
          <t>road wear emissions, lorry</t>
        </is>
      </c>
      <c r="I2575">
        <v>0</v>
      </c>
    </row>
    <row r="2576">
      <c r="A2576" t="inlineStr">
        <is>
          <t>treatment of tyre wear emissions, lorry</t>
        </is>
      </c>
      <c r="B2576">
        <v>-1.3157154143296742e-05</v>
      </c>
      <c r="C2576" t="inlineStr">
        <is>
          <t>RER</t>
        </is>
      </c>
      <c r="D2576" t="inlineStr">
        <is>
          <t>kilogram</t>
        </is>
      </c>
      <c r="F2576" t="inlineStr">
        <is>
          <t>technosphere</t>
        </is>
      </c>
      <c r="G2576" t="inlineStr">
        <is>
          <t>tyre wear emissions, lorry</t>
        </is>
      </c>
      <c r="I2576">
        <v>0</v>
      </c>
    </row>
    <row r="2577">
      <c r="A2577" t="inlineStr">
        <is>
          <t>1,1,1,2-Tetrafluoroethane</t>
        </is>
      </c>
      <c r="B2577">
        <v>1.6250976573272652e-07</v>
      </c>
      <c r="D2577" t="inlineStr">
        <is>
          <t>kilogram</t>
        </is>
      </c>
      <c r="E2577" t="inlineStr">
        <is>
          <t>air</t>
        </is>
      </c>
      <c r="F2577" t="inlineStr">
        <is>
          <t>biosphere</t>
        </is>
      </c>
      <c r="I2577">
        <v>0</v>
      </c>
    </row>
    <row r="2578">
      <c r="A2578" t="inlineStr">
        <is>
          <t>fuel cell Balance of Plant production, 1 kWe, proton exchange membrane (PEM), carculator regional truck 2020</t>
        </is>
      </c>
      <c r="B2578">
        <v>1.0629661701777987e-05</v>
      </c>
      <c r="C2578" t="inlineStr">
        <is>
          <t>GLO</t>
        </is>
      </c>
      <c r="D2578" t="inlineStr">
        <is>
          <t>unit</t>
        </is>
      </c>
      <c r="F2578" t="inlineStr">
        <is>
          <t>technosphere</t>
        </is>
      </c>
      <c r="G2578" t="inlineStr">
        <is>
          <t>fuel cell Balance of Plant, 1 kWe, proton exchange membrane (PEM)</t>
        </is>
      </c>
      <c r="H2578" t="inlineStr">
        <is>
          <t> Energy-use allocation: 61.48481369018555 * 1.367427797431765e-07 / 0.7909569064254391 MJ per ton kilometer.</t>
        </is>
      </c>
      <c r="I2578">
        <v>0</v>
      </c>
    </row>
    <row r="2579">
      <c r="A2579" t="inlineStr">
        <is>
          <t>fuel cell stack production, 1 kWe, proton exchange membrane (PEM), carculator regional truck 2020</t>
        </is>
      </c>
      <c r="B2579">
        <v>5.011125976461462e-05</v>
      </c>
      <c r="C2579" t="inlineStr">
        <is>
          <t>GLO</t>
        </is>
      </c>
      <c r="D2579" t="inlineStr">
        <is>
          <t>unit</t>
        </is>
      </c>
      <c r="F2579" t="inlineStr">
        <is>
          <t>technosphere</t>
        </is>
      </c>
      <c r="G2579" t="inlineStr">
        <is>
          <t>fuel cell stack, 1 kWe, proton exchange membrane (PEM)</t>
        </is>
      </c>
      <c r="H2579" t="inlineStr">
        <is>
          <t> Energy-use allocation: 289.8569641113281 * 1.367427797431765e-07 / 0.7909569064254391 MJ per ton kilometer.</t>
        </is>
      </c>
      <c r="I2579">
        <v>0</v>
      </c>
    </row>
    <row r="2580">
      <c r="A2580" t="inlineStr">
        <is>
          <t>fuel tank, compressed hydrogen gas, 700bar, with HDPE liner, carculator regional truck 2020</t>
        </is>
      </c>
      <c r="B2580">
        <v>6.26226915252314e-05</v>
      </c>
      <c r="C2580" t="inlineStr">
        <is>
          <t>RER</t>
        </is>
      </c>
      <c r="D2580" t="inlineStr">
        <is>
          <t>kilogram</t>
        </is>
      </c>
      <c r="F2580" t="inlineStr">
        <is>
          <t>technosphere</t>
        </is>
      </c>
      <c r="G2580" t="inlineStr">
        <is>
          <t>hydrogen tank</t>
        </is>
      </c>
      <c r="H2580" t="inlineStr">
        <is>
          <t> Energy-use allocation: 362.2264404296875 * 1.367427797431765e-07 / 0.7909569064254391 MJ per ton kilometer.</t>
        </is>
      </c>
      <c r="I2580">
        <v>0</v>
      </c>
    </row>
    <row r="2581">
      <c r="A2581" t="inlineStr">
        <is>
          <t>gearbox, for lorry, carculator regional truck 2020</t>
        </is>
      </c>
      <c r="B2581">
        <v>3.485315698856566e-05</v>
      </c>
      <c r="C2581" t="inlineStr">
        <is>
          <t>RER</t>
        </is>
      </c>
      <c r="D2581" t="inlineStr">
        <is>
          <t>kilogram</t>
        </is>
      </c>
      <c r="F2581" t="inlineStr">
        <is>
          <t>technosphere</t>
        </is>
      </c>
      <c r="G2581" t="inlineStr">
        <is>
          <t>gearbox, for lorry</t>
        </is>
      </c>
      <c r="H2581" t="inlineStr">
        <is>
          <t> Energy-use allocation: 201.6000061035156 * 1.367427797431765e-07 / 0.7909569064254391 MJ per ton kilometer.</t>
        </is>
      </c>
      <c r="I2581">
        <v>0</v>
      </c>
    </row>
    <row r="2582">
      <c r="A2582" t="inlineStr">
        <is>
          <t>power electronics, for lorry, carculator regional truck 2020</t>
        </is>
      </c>
      <c r="B2582">
        <v>4.581392024972185e-05</v>
      </c>
      <c r="C2582" t="inlineStr">
        <is>
          <t>RER</t>
        </is>
      </c>
      <c r="D2582" t="inlineStr">
        <is>
          <t>kilogram</t>
        </is>
      </c>
      <c r="F2582" t="inlineStr">
        <is>
          <t>technosphere</t>
        </is>
      </c>
      <c r="G2582" t="inlineStr">
        <is>
          <t>power electronics, for lorry</t>
        </is>
      </c>
      <c r="H2582" t="inlineStr">
        <is>
          <t> Energy-use allocation: 265 * 1.367427797431765e-07 / 0.7909569064254391 MJ per ton kilometer.</t>
        </is>
      </c>
      <c r="I2582">
        <v>0</v>
      </c>
    </row>
    <row r="2583">
      <c r="A2583" t="inlineStr">
        <is>
          <t>retarder, for lorry, carculator regional truck 2020</t>
        </is>
      </c>
      <c r="B2583">
        <v>1.1617718116861581e-05</v>
      </c>
      <c r="C2583" t="inlineStr">
        <is>
          <t>RER</t>
        </is>
      </c>
      <c r="D2583" t="inlineStr">
        <is>
          <t>kilogram</t>
        </is>
      </c>
      <c r="F2583" t="inlineStr">
        <is>
          <t>technosphere</t>
        </is>
      </c>
      <c r="G2583" t="inlineStr">
        <is>
          <t>retarder, for lorry</t>
        </is>
      </c>
      <c r="H2583" t="inlineStr">
        <is>
          <t> Energy-use allocation: 67.19999694824219 * 1.367427797431765e-07 / 0.7909569064254391 MJ per ton kilometer.</t>
        </is>
      </c>
      <c r="I2583">
        <v>0</v>
      </c>
    </row>
    <row r="2584">
      <c r="A2584" t="inlineStr">
        <is>
          <t>transmission, for lorry, carculator regional truck 2020</t>
        </is>
      </c>
      <c r="B2584">
        <v>5.0343444293739876e-05</v>
      </c>
      <c r="C2584" t="inlineStr">
        <is>
          <t>RER</t>
        </is>
      </c>
      <c r="D2584" t="inlineStr">
        <is>
          <t>kilogram</t>
        </is>
      </c>
      <c r="F2584" t="inlineStr">
        <is>
          <t>technosphere</t>
        </is>
      </c>
      <c r="G2584" t="inlineStr">
        <is>
          <t>transmission, for lorry</t>
        </is>
      </c>
      <c r="H2584" t="inlineStr">
        <is>
          <t> Energy-use allocation: 291.1999816894531 * 1.367427797431765e-07 / 0.7909569064254391 MJ per ton kilometer.</t>
        </is>
      </c>
      <c r="I2584">
        <v>0</v>
      </c>
    </row>
    <row r="2585">
      <c r="A2585" t="inlineStr">
        <is>
          <t>market for converter, for electric passenger car</t>
        </is>
      </c>
      <c r="B2585">
        <v>4.3220679480869664e-06</v>
      </c>
      <c r="C2585" t="inlineStr">
        <is>
          <t>GLO</t>
        </is>
      </c>
      <c r="D2585" t="inlineStr">
        <is>
          <t>kilogram</t>
        </is>
      </c>
      <c r="F2585" t="inlineStr">
        <is>
          <t>technosphere</t>
        </is>
      </c>
      <c r="G2585" t="inlineStr">
        <is>
          <t>converter, for electric passenger car</t>
        </is>
      </c>
      <c r="H2585" t="inlineStr">
        <is>
          <t> Energy-use allocation: 25 * 1.367427797431765e-07 / 0.7909569064254391 MJ per ton kilometer.</t>
        </is>
      </c>
      <c r="I2585">
        <v>0</v>
      </c>
    </row>
    <row r="2586">
      <c r="A2586" t="inlineStr">
        <is>
          <t>market for electric motor, electric passenger car</t>
        </is>
      </c>
      <c r="B2586">
        <v>4.3230698532424135e-05</v>
      </c>
      <c r="C2586" t="inlineStr">
        <is>
          <t>GLO</t>
        </is>
      </c>
      <c r="D2586" t="inlineStr">
        <is>
          <t>kilogram</t>
        </is>
      </c>
      <c r="F2586" t="inlineStr">
        <is>
          <t>technosphere</t>
        </is>
      </c>
      <c r="G2586" t="inlineStr">
        <is>
          <t>electric motor, electric passenger car</t>
        </is>
      </c>
      <c r="H2586" t="inlineStr">
        <is>
          <t> Energy-use allocation: 250.0579528808594 * 1.367427797431765e-07 / 0.7909569064254391 MJ per ton kilometer.</t>
        </is>
      </c>
      <c r="I2586">
        <v>0</v>
      </c>
    </row>
    <row r="2587">
      <c r="A2587" t="inlineStr">
        <is>
          <t>market for inverter, for electric passenger car</t>
        </is>
      </c>
      <c r="B2587">
        <v>3.4348338449796365e-06</v>
      </c>
      <c r="C2587" t="inlineStr">
        <is>
          <t>GLO</t>
        </is>
      </c>
      <c r="D2587" t="inlineStr">
        <is>
          <t>kilogram</t>
        </is>
      </c>
      <c r="F2587" t="inlineStr">
        <is>
          <t>technosphere</t>
        </is>
      </c>
      <c r="G2587" t="inlineStr">
        <is>
          <t>inverter, for electric passenger car</t>
        </is>
      </c>
      <c r="H2587" t="inlineStr">
        <is>
          <t> Energy-use allocation: 19.86800003051758 * 1.367427797431765e-07 / 0.7909569064254391 MJ per ton kilometer.</t>
        </is>
      </c>
      <c r="I2587">
        <v>0</v>
      </c>
    </row>
    <row r="2588">
      <c r="A2588" t="inlineStr">
        <is>
          <t>market for power distribution unit, for electric passenger car</t>
        </is>
      </c>
      <c r="B2588">
        <v>6.915308716939146e-07</v>
      </c>
      <c r="C2588" t="inlineStr">
        <is>
          <t>GLO</t>
        </is>
      </c>
      <c r="D2588" t="inlineStr">
        <is>
          <t>kilogram</t>
        </is>
      </c>
      <c r="F2588" t="inlineStr">
        <is>
          <t>technosphere</t>
        </is>
      </c>
      <c r="G2588" t="inlineStr">
        <is>
          <t>power distribution unit, for electric passenger car</t>
        </is>
      </c>
      <c r="H2588" t="inlineStr">
        <is>
          <t> Energy-use allocation: 4 * 1.367427797431765e-07 / 0.7909569064254391 MJ per ton kilometer.</t>
        </is>
      </c>
      <c r="I2588">
        <v>0</v>
      </c>
    </row>
    <row r="2589">
      <c r="A2589" t="inlineStr">
        <is>
          <t>market for battery capacity (MIX scenario)</t>
        </is>
      </c>
      <c r="B2589">
        <v>1.2847325871841106e-05</v>
      </c>
      <c r="C2589" t="inlineStr">
        <is>
          <t>GLO</t>
        </is>
      </c>
      <c r="D2589" t="inlineStr">
        <is>
          <t>kilowatt hour</t>
        </is>
      </c>
      <c r="F2589" t="inlineStr">
        <is>
          <t>technosphere</t>
        </is>
      </c>
      <c r="G2589" t="inlineStr">
        <is>
          <t>electricity storage capacity</t>
        </is>
      </c>
      <c r="H2589" t="inlineStr">
        <is>
          <t>74.3123779297 kWh nominal * (1 + 0 replacements); capacity market includes manufacture and end of life, replacing kg pack and disposal exchanges. Energy-use allocation: 74.3123779296875 * 1.367427797431765e-07 / 0.7909569064254391 MJ per ton kilometer.</t>
        </is>
      </c>
      <c r="I2589">
        <v>0</v>
      </c>
    </row>
    <row r="2590">
      <c r="A2590" t="inlineStr">
        <is>
          <t>market group for electricity, low voltage</t>
        </is>
      </c>
      <c r="B2590">
        <v>0.020421827056420448</v>
      </c>
      <c r="C2590" t="inlineStr">
        <is>
          <t>RER</t>
        </is>
      </c>
      <c r="D2590" t="inlineStr">
        <is>
          <t>kilowatt hour</t>
        </is>
      </c>
      <c r="F2590" t="inlineStr">
        <is>
          <t>technosphere</t>
        </is>
      </c>
      <c r="G2590" t="inlineStr">
        <is>
          <t>electricity, low voltage</t>
        </is>
      </c>
      <c r="H2590" t="inlineStr">
        <is>
          <t>Hydrogen tank compression, 30 to 700 bar: 2.45061924677 kWh/kg H2; model compressor assumptions and Premise delivery pressure.</t>
        </is>
      </c>
      <c r="I2590">
        <v>0</v>
      </c>
    </row>
    <row r="2591"/>
    <row r="2592">
      <c r="A2592" t="inlineStr">
        <is>
          <t>Activity</t>
        </is>
      </c>
      <c r="B2592" t="inlineStr">
        <is>
          <t>compressed gas, burned in heavy duty vehicle</t>
        </is>
      </c>
    </row>
    <row r="2593">
      <c r="A2593" t="inlineStr">
        <is>
          <t>comment</t>
        </is>
      </c>
      <c r="B2593"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594">
      <c r="A2594" t="inlineStr">
        <is>
          <t>description</t>
        </is>
      </c>
      <c r="B259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595">
      <c r="A2595" t="inlineStr">
        <is>
          <t>location</t>
        </is>
      </c>
      <c r="B2595" t="inlineStr">
        <is>
          <t>CH</t>
        </is>
      </c>
    </row>
    <row r="2596">
      <c r="A2596" t="inlineStr">
        <is>
          <t>production amount</t>
        </is>
      </c>
      <c r="B2596">
        <v>1</v>
      </c>
    </row>
    <row r="2597">
      <c r="A2597" t="inlineStr">
        <is>
          <t>reference product</t>
        </is>
      </c>
      <c r="B2597" t="inlineStr">
        <is>
          <t>heat</t>
        </is>
      </c>
    </row>
    <row r="2598">
      <c r="A2598" t="inlineStr">
        <is>
          <t>source</t>
        </is>
      </c>
      <c r="B2598" t="inlineStr">
        <is>
          <t>Sacchi, R., Bauer, C., and Cox, B. Does size matter? The influence of size, load factor, range autonomy and application type on the Life Cycle Assessment of current and future trucks. 2021. Environmental Science and Technology.</t>
        </is>
      </c>
    </row>
    <row r="2599">
      <c r="A2599" t="inlineStr">
        <is>
          <t>type</t>
        </is>
      </c>
      <c r="B2599" t="inlineStr">
        <is>
          <t>process</t>
        </is>
      </c>
    </row>
    <row r="2600">
      <c r="A2600" t="inlineStr">
        <is>
          <t>unit</t>
        </is>
      </c>
      <c r="B2600" t="inlineStr">
        <is>
          <t>megajoule</t>
        </is>
      </c>
    </row>
    <row r="2601">
      <c r="A2601" t="inlineStr">
        <is>
          <t>energy use source</t>
        </is>
      </c>
      <c r="B2601"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carculator regional truck 2020", "exhaust system, for lorry", "RER", "kilogram"], "amount per vehicle": 220, "vehicle per source service": 1.367427797431765e-07, "replacement correction factor": 1.0, "amount per MJ": 2.202763490831916e-05}, {"supplier": ["fuel tank assembly, compressed natural gas, 200 bar, carculator regional truck 2020", "fuel tank, compressed natural gas, 200 bar", "RER", "kilogram"], "amount per vehicle": 231.9939575195312, "vehicle per source service": 1.367427797431765e-07, "replacement correction factor": 1.0, "amount per MJ": 2.3228537259892443e-05}, {"supplier": ["gearbox, for lorry, carculator regional truck 2020", "gearbox, for lorry", "RER", "kilogram"], "amount per vehicle": 201.6000061035156, "vehicle per source service": 1.367427797431765e-07, "replacement correction factor": 1.0, "amount per MJ": 2.0185324236196164e-05}, {"supplier": ["internal combustion engine, for lorry, carculator regional truck 2020", "internal combustion engine, for lorry", "RER", "kilogram"], "amount per vehicle": 1250.9306640625, "vehicle per source service": 1.367427797431765e-07, "replacement correction factor": 1.0, "amount per MJ": 0.00012525019983449998}, {"supplier": ["lead acid battery, for lorry, carculator regional truck 2020", "lead acid battery, for lorry", "RER", "kilogram"], "amount per vehicle": 33.41176605224609, "vehicle per source service": 1.367427797431765e-07, "replacement correction factor": 1.0, "amount per MJ": 3.345373564732041e-06}, {"supplier": ["power electronics, for lorry, carculator regional truck 2020", "power electronics, for lorry", "RER", "kilogram"], "amount per vehicle": 265, "vehicle per source service": 1.367427797431765e-07, "replacement correction factor": 1.0, "amount per MJ": 2.6533287503202626e-05}, {"supplier": ["retarder, for lorry, carculator regional truck 2020", "retarder, for lorry", "RER", "kilogram"], "amount per vehicle": 67.19999694824219, "vehicle per source service": 1.367427797431765e-07, "replacement correction factor": 1.0, "amount per MJ": 6.728440902800185e-06}, {"supplier": ["transmission, for lorry, carculator regional truck 2020",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carculator regional truck 2020", "assembly operation, for lorry", "RER", "kilogram"], "amount per vehicle": 15088.69921875, "vehicle per source service": 1.367427797431765e-07}, {"supplier": ["frame, blanks and saddle, for lorry, carculator regional truck 2020", "frame, blanks and saddle, for lorry", "RER", "kilogram"], "amount per vehicle": 5539,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carculator regional truck 2020", "other components, for hybrid electric lorry", "RER", "kilogram"], "amount per vehicle": 1059, "vehicle per source service": 1.367427797431765e-07}, {"supplier": ["suspension, for lorry, carculator regional truck 2020", "suspension, for lorry", "RER", "kilogram"], "amount per vehicle": 3440, "vehicle per source service": 1.367427797431765e-07}, {"supplier": ["tires and wheels, for lorry, carculator regional truck 2020", "tires and wheels, for lorry", "RER", "kilogram"], "amount per vehicle": 1422, "vehicle per source service": 1.367427797431765e-07}, {"supplier": ["maintenance, lorry 40 metric ton", "maintenance, lorry 40 metric ton", "CH", "unit"], "amount per vehicle": 1, "vehicle per source service": 1.367427797431765e-07}, {"supplier": ["treatment of used lorry, 40 metric ton", "used lorry, 40 metric ton", "CH", "unit"], "amount per vehicle": -1, "vehicle per source service": 1.367427797431765e-07}], "alternative fuel recipe retained": false}</t>
        </is>
      </c>
    </row>
    <row r="2602">
      <c r="A2602" t="inlineStr">
        <is>
          <t>Exchanges</t>
        </is>
      </c>
    </row>
    <row r="2603">
      <c r="A2603" t="inlineStr">
        <is>
          <t>name</t>
        </is>
      </c>
      <c r="B2603" t="inlineStr">
        <is>
          <t>amount</t>
        </is>
      </c>
      <c r="C2603" t="inlineStr">
        <is>
          <t>location</t>
        </is>
      </c>
      <c r="D2603" t="inlineStr">
        <is>
          <t>unit</t>
        </is>
      </c>
      <c r="E2603" t="inlineStr">
        <is>
          <t>categories</t>
        </is>
      </c>
      <c r="F2603" t="inlineStr">
        <is>
          <t>type</t>
        </is>
      </c>
      <c r="G2603" t="inlineStr">
        <is>
          <t>reference product</t>
        </is>
      </c>
      <c r="H2603" t="inlineStr">
        <is>
          <t>comment</t>
        </is>
      </c>
      <c r="I2603" t="inlineStr">
        <is>
          <t>uncertainty type</t>
        </is>
      </c>
    </row>
    <row r="2604">
      <c r="A2604" t="inlineStr">
        <is>
          <t>compressed gas, burned in heavy duty vehicle</t>
        </is>
      </c>
      <c r="B2604">
        <v>1.0</v>
      </c>
      <c r="C2604" t="inlineStr">
        <is>
          <t>CH</t>
        </is>
      </c>
      <c r="D2604" t="inlineStr">
        <is>
          <t>megajoule</t>
        </is>
      </c>
      <c r="F2604" t="inlineStr">
        <is>
          <t>production</t>
        </is>
      </c>
      <c r="G2604" t="inlineStr">
        <is>
          <t>heat</t>
        </is>
      </c>
      <c r="I2604">
        <v>0</v>
      </c>
    </row>
    <row r="2605">
      <c r="A2605" t="inlineStr">
        <is>
          <t>market for natural gas, medium pressure, vehicle grade</t>
        </is>
      </c>
      <c r="B2605">
        <v>0.021505376344086023</v>
      </c>
      <c r="C2605" t="inlineStr">
        <is>
          <t>GLO</t>
        </is>
      </c>
      <c r="D2605" t="inlineStr">
        <is>
          <t>kilogram</t>
        </is>
      </c>
      <c r="F2605" t="inlineStr">
        <is>
          <t>technosphere</t>
        </is>
      </c>
      <c r="G2605" t="inlineStr">
        <is>
          <t>natural gas, medium pressure, vehicle grade</t>
        </is>
      </c>
      <c r="H2605" t="inlineStr">
        <is>
          <t>Model fuel energy retained: 1.36571228226 MJ/tkm; reference LHV 46.5 MJ/kg. Premise determines regional blends.</t>
        </is>
      </c>
      <c r="I2605">
        <v>0</v>
      </c>
    </row>
    <row r="2606">
      <c r="A2606" t="inlineStr">
        <is>
          <t>market for tetrafluoroethane, R134a</t>
        </is>
      </c>
      <c r="B2606">
        <v>2.0425624676545975e-07</v>
      </c>
      <c r="C2606" t="inlineStr">
        <is>
          <t>GLO</t>
        </is>
      </c>
      <c r="D2606" t="inlineStr">
        <is>
          <t>kilogram</t>
        </is>
      </c>
      <c r="F2606" t="inlineStr">
        <is>
          <t>technosphere</t>
        </is>
      </c>
      <c r="G2606" t="inlineStr">
        <is>
          <t>tetrafluoroethane, R134a</t>
        </is>
      </c>
      <c r="I2606">
        <v>0</v>
      </c>
    </row>
    <row r="2607">
      <c r="A2607" t="inlineStr">
        <is>
          <t>treatment of brake wear emissions, lorry</t>
        </is>
      </c>
      <c r="B2607">
        <v>-7.486271918383526e-06</v>
      </c>
      <c r="C2607" t="inlineStr">
        <is>
          <t>RER</t>
        </is>
      </c>
      <c r="D2607" t="inlineStr">
        <is>
          <t>kilogram</t>
        </is>
      </c>
      <c r="F2607" t="inlineStr">
        <is>
          <t>technosphere</t>
        </is>
      </c>
      <c r="G2607" t="inlineStr">
        <is>
          <t>brake wear emissions, lorry</t>
        </is>
      </c>
      <c r="I2607">
        <v>0</v>
      </c>
    </row>
    <row r="2608">
      <c r="A2608" t="inlineStr">
        <is>
          <t>treatment of road wear emissions, lorry</t>
        </is>
      </c>
      <c r="B2608">
        <v>-9.441824985264776e-06</v>
      </c>
      <c r="C2608" t="inlineStr">
        <is>
          <t>RER</t>
        </is>
      </c>
      <c r="D2608" t="inlineStr">
        <is>
          <t>kilogram</t>
        </is>
      </c>
      <c r="F2608" t="inlineStr">
        <is>
          <t>technosphere</t>
        </is>
      </c>
      <c r="G2608" t="inlineStr">
        <is>
          <t>road wear emissions, lorry</t>
        </is>
      </c>
      <c r="I2608">
        <v>0</v>
      </c>
    </row>
    <row r="2609">
      <c r="A2609" t="inlineStr">
        <is>
          <t>treatment of tyre wear emissions, lorry</t>
        </is>
      </c>
      <c r="B2609">
        <v>-7.66615520878379e-06</v>
      </c>
      <c r="C2609" t="inlineStr">
        <is>
          <t>RER</t>
        </is>
      </c>
      <c r="D2609" t="inlineStr">
        <is>
          <t>kilogram</t>
        </is>
      </c>
      <c r="F2609" t="inlineStr">
        <is>
          <t>technosphere</t>
        </is>
      </c>
      <c r="G2609" t="inlineStr">
        <is>
          <t>tyre wear emissions, lorry</t>
        </is>
      </c>
      <c r="I2609">
        <v>0</v>
      </c>
    </row>
    <row r="2610">
      <c r="A2610" t="inlineStr">
        <is>
          <t>NMVOC, non-methane volatile organic compounds</t>
        </is>
      </c>
      <c r="B2610">
        <v>7.002805122814972e-07</v>
      </c>
      <c r="D2610" t="inlineStr">
        <is>
          <t>kilogram</t>
        </is>
      </c>
      <c r="E2610" t="inlineStr">
        <is>
          <t>air::non-urban air or from high stacks</t>
        </is>
      </c>
      <c r="F2610" t="inlineStr">
        <is>
          <t>biosphere</t>
        </is>
      </c>
      <c r="I2610">
        <v>0</v>
      </c>
    </row>
    <row r="2611">
      <c r="A2611" t="inlineStr">
        <is>
          <t>Particulate Matter, &lt; 2.5 um</t>
        </is>
      </c>
      <c r="B2611">
        <v>1.107539405371624e-07</v>
      </c>
      <c r="D2611" t="inlineStr">
        <is>
          <t>kilogram</t>
        </is>
      </c>
      <c r="E2611" t="inlineStr">
        <is>
          <t>air::urban air close to ground</t>
        </is>
      </c>
      <c r="F2611" t="inlineStr">
        <is>
          <t>biosphere</t>
        </is>
      </c>
      <c r="I2611">
        <v>0</v>
      </c>
    </row>
    <row r="2612">
      <c r="A2612" t="inlineStr">
        <is>
          <t>Methane, fossil</t>
        </is>
      </c>
      <c r="B2612">
        <v>8.05322854210204e-06</v>
      </c>
      <c r="D2612" t="inlineStr">
        <is>
          <t>kilogram</t>
        </is>
      </c>
      <c r="E2612" t="inlineStr">
        <is>
          <t>air::non-urban air or from high stacks</t>
        </is>
      </c>
      <c r="F2612" t="inlineStr">
        <is>
          <t>biosphere</t>
        </is>
      </c>
      <c r="I2612">
        <v>0</v>
      </c>
    </row>
    <row r="2613">
      <c r="A2613" t="inlineStr">
        <is>
          <t>Nitrogen oxides</t>
        </is>
      </c>
      <c r="B2613">
        <v>2.1930022791785066e-05</v>
      </c>
      <c r="D2613" t="inlineStr">
        <is>
          <t>kilogram</t>
        </is>
      </c>
      <c r="E2613" t="inlineStr">
        <is>
          <t>air::non-urban air or from high stacks</t>
        </is>
      </c>
      <c r="F2613" t="inlineStr">
        <is>
          <t>biosphere</t>
        </is>
      </c>
      <c r="I2613">
        <v>0</v>
      </c>
    </row>
    <row r="2614">
      <c r="A2614" t="inlineStr">
        <is>
          <t>Carbon monoxide, fossil</t>
        </is>
      </c>
      <c r="B2614">
        <v>3.3035310195534865e-05</v>
      </c>
      <c r="D2614" t="inlineStr">
        <is>
          <t>kilogram</t>
        </is>
      </c>
      <c r="E2614" t="inlineStr">
        <is>
          <t>air::non-urban air or from high stacks</t>
        </is>
      </c>
      <c r="F2614" t="inlineStr">
        <is>
          <t>biosphere</t>
        </is>
      </c>
      <c r="I2614">
        <v>0</v>
      </c>
    </row>
    <row r="2615">
      <c r="A2615" t="inlineStr">
        <is>
          <t>Methane, fossil</t>
        </is>
      </c>
      <c r="B2615">
        <v>3.0166182213661613e-06</v>
      </c>
      <c r="D2615" t="inlineStr">
        <is>
          <t>kilogram</t>
        </is>
      </c>
      <c r="E2615" t="inlineStr">
        <is>
          <t>air::urban air close to ground</t>
        </is>
      </c>
      <c r="F2615" t="inlineStr">
        <is>
          <t>biosphere</t>
        </is>
      </c>
      <c r="I2615">
        <v>0</v>
      </c>
    </row>
    <row r="2616">
      <c r="A2616" t="inlineStr">
        <is>
          <t>NMVOC, non-methane volatile organic compounds</t>
        </is>
      </c>
      <c r="B2616">
        <v>2.623145506397058e-07</v>
      </c>
      <c r="D2616" t="inlineStr">
        <is>
          <t>kilogram</t>
        </is>
      </c>
      <c r="E2616" t="inlineStr">
        <is>
          <t>air::urban air close to ground</t>
        </is>
      </c>
      <c r="F2616" t="inlineStr">
        <is>
          <t>biosphere</t>
        </is>
      </c>
      <c r="I2616">
        <v>0</v>
      </c>
    </row>
    <row r="2617">
      <c r="A2617" t="inlineStr">
        <is>
          <t>Nitrogen oxides</t>
        </is>
      </c>
      <c r="B2617">
        <v>8.21465715815002e-06</v>
      </c>
      <c r="D2617" t="inlineStr">
        <is>
          <t>kilogram</t>
        </is>
      </c>
      <c r="E2617" t="inlineStr">
        <is>
          <t>air::urban air close to ground</t>
        </is>
      </c>
      <c r="F2617" t="inlineStr">
        <is>
          <t>biosphere</t>
        </is>
      </c>
      <c r="I2617">
        <v>0</v>
      </c>
    </row>
    <row r="2618">
      <c r="A2618" t="inlineStr">
        <is>
          <t>Carbon monoxide, fossil</t>
        </is>
      </c>
      <c r="B2618">
        <v>1.2374529757351063e-05</v>
      </c>
      <c r="D2618" t="inlineStr">
        <is>
          <t>kilogram</t>
        </is>
      </c>
      <c r="E2618" t="inlineStr">
        <is>
          <t>air::urban air close to ground</t>
        </is>
      </c>
      <c r="F2618" t="inlineStr">
        <is>
          <t>biosphere</t>
        </is>
      </c>
      <c r="I2618">
        <v>0</v>
      </c>
    </row>
    <row r="2619">
      <c r="A2619" t="inlineStr">
        <is>
          <t>Particulate Matter, &lt; 2.5 um</t>
        </is>
      </c>
      <c r="B2619">
        <v>2.9567109392771765e-07</v>
      </c>
      <c r="D2619" t="inlineStr">
        <is>
          <t>kilogram</t>
        </is>
      </c>
      <c r="E2619" t="inlineStr">
        <is>
          <t>air::non-urban air or from high stacks</t>
        </is>
      </c>
      <c r="F2619" t="inlineStr">
        <is>
          <t>biosphere</t>
        </is>
      </c>
      <c r="I2619">
        <v>0</v>
      </c>
    </row>
    <row r="2620">
      <c r="A2620" t="inlineStr">
        <is>
          <t>1,1,1,2-Tetrafluoroethane</t>
        </is>
      </c>
      <c r="B2620">
        <v>9.411808273034042e-08</v>
      </c>
      <c r="D2620" t="inlineStr">
        <is>
          <t>kilogram</t>
        </is>
      </c>
      <c r="E2620" t="inlineStr">
        <is>
          <t>air</t>
        </is>
      </c>
      <c r="F2620" t="inlineStr">
        <is>
          <t>biosphere</t>
        </is>
      </c>
      <c r="I2620">
        <v>0</v>
      </c>
    </row>
    <row r="2621">
      <c r="A2621" t="inlineStr">
        <is>
          <t>exhaust system, for lorry, carculator regional truck 2020</t>
        </is>
      </c>
      <c r="B2621">
        <v>2.202763490831916e-05</v>
      </c>
      <c r="C2621" t="inlineStr">
        <is>
          <t>RER</t>
        </is>
      </c>
      <c r="D2621" t="inlineStr">
        <is>
          <t>kilogram</t>
        </is>
      </c>
      <c r="F2621" t="inlineStr">
        <is>
          <t>technosphere</t>
        </is>
      </c>
      <c r="G2621" t="inlineStr">
        <is>
          <t>exhaust system, for lorry</t>
        </is>
      </c>
      <c r="H2621" t="inlineStr">
        <is>
          <t> Energy-use allocation: 220 * 1.367427797431765e-07 / 1.3657122822630972 MJ per ton kilometer.</t>
        </is>
      </c>
      <c r="I2621">
        <v>0</v>
      </c>
    </row>
    <row r="2622">
      <c r="A2622" t="inlineStr">
        <is>
          <t>fuel tank assembly, compressed natural gas, 200 bar, carculator regional truck 2020</t>
        </is>
      </c>
      <c r="B2622">
        <v>2.3228537259892443e-05</v>
      </c>
      <c r="C2622" t="inlineStr">
        <is>
          <t>RER</t>
        </is>
      </c>
      <c r="D2622" t="inlineStr">
        <is>
          <t>kilogram</t>
        </is>
      </c>
      <c r="F2622" t="inlineStr">
        <is>
          <t>technosphere</t>
        </is>
      </c>
      <c r="G2622" t="inlineStr">
        <is>
          <t>fuel tank, compressed natural gas, 200 bar</t>
        </is>
      </c>
      <c r="H2622" t="inlineStr">
        <is>
          <t> Energy-use allocation: 231.9939575195312 * 1.367427797431765e-07 / 1.3657122822630972 MJ per ton kilometer.</t>
        </is>
      </c>
      <c r="I2622">
        <v>0</v>
      </c>
    </row>
    <row r="2623">
      <c r="A2623" t="inlineStr">
        <is>
          <t>gearbox, for lorry, carculator regional truck 2020</t>
        </is>
      </c>
      <c r="B2623">
        <v>2.0185324236196164e-05</v>
      </c>
      <c r="C2623" t="inlineStr">
        <is>
          <t>RER</t>
        </is>
      </c>
      <c r="D2623" t="inlineStr">
        <is>
          <t>kilogram</t>
        </is>
      </c>
      <c r="F2623" t="inlineStr">
        <is>
          <t>technosphere</t>
        </is>
      </c>
      <c r="G2623" t="inlineStr">
        <is>
          <t>gearbox, for lorry</t>
        </is>
      </c>
      <c r="H2623" t="inlineStr">
        <is>
          <t> Energy-use allocation: 201.6000061035156 * 1.367427797431765e-07 / 1.3657122822630972 MJ per ton kilometer.</t>
        </is>
      </c>
      <c r="I2623">
        <v>0</v>
      </c>
    </row>
    <row r="2624">
      <c r="A2624" t="inlineStr">
        <is>
          <t>internal combustion engine, for lorry, carculator regional truck 2020</t>
        </is>
      </c>
      <c r="B2624">
        <v>0.00012525019983449998</v>
      </c>
      <c r="C2624" t="inlineStr">
        <is>
          <t>RER</t>
        </is>
      </c>
      <c r="D2624" t="inlineStr">
        <is>
          <t>kilogram</t>
        </is>
      </c>
      <c r="F2624" t="inlineStr">
        <is>
          <t>technosphere</t>
        </is>
      </c>
      <c r="G2624" t="inlineStr">
        <is>
          <t>internal combustion engine, for lorry</t>
        </is>
      </c>
      <c r="H2624" t="inlineStr">
        <is>
          <t> Energy-use allocation: 1250.9306640625 * 1.367427797431765e-07 / 1.3657122822630972 MJ per ton kilometer.</t>
        </is>
      </c>
      <c r="I2624">
        <v>0</v>
      </c>
    </row>
    <row r="2625">
      <c r="A2625" t="inlineStr">
        <is>
          <t>lead acid battery, for lorry, carculator regional truck 2020</t>
        </is>
      </c>
      <c r="B2625">
        <v>3.345373564732041e-06</v>
      </c>
      <c r="C2625" t="inlineStr">
        <is>
          <t>RER</t>
        </is>
      </c>
      <c r="D2625" t="inlineStr">
        <is>
          <t>kilogram</t>
        </is>
      </c>
      <c r="F2625" t="inlineStr">
        <is>
          <t>technosphere</t>
        </is>
      </c>
      <c r="G2625" t="inlineStr">
        <is>
          <t>lead acid battery, for lorry</t>
        </is>
      </c>
      <c r="H2625" t="inlineStr">
        <is>
          <t> Energy-use allocation: 33.41176605224609 * 1.367427797431765e-07 / 1.3657122822630972 MJ per ton kilometer.</t>
        </is>
      </c>
      <c r="I2625">
        <v>0</v>
      </c>
    </row>
    <row r="2626">
      <c r="A2626" t="inlineStr">
        <is>
          <t>power electronics, for lorry, carculator regional truck 2020</t>
        </is>
      </c>
      <c r="B2626">
        <v>2.6533287503202626e-05</v>
      </c>
      <c r="C2626" t="inlineStr">
        <is>
          <t>RER</t>
        </is>
      </c>
      <c r="D2626" t="inlineStr">
        <is>
          <t>kilogram</t>
        </is>
      </c>
      <c r="F2626" t="inlineStr">
        <is>
          <t>technosphere</t>
        </is>
      </c>
      <c r="G2626" t="inlineStr">
        <is>
          <t>power electronics, for lorry</t>
        </is>
      </c>
      <c r="H2626" t="inlineStr">
        <is>
          <t> Energy-use allocation: 265 * 1.367427797431765e-07 / 1.3657122822630972 MJ per ton kilometer.</t>
        </is>
      </c>
      <c r="I2626">
        <v>0</v>
      </c>
    </row>
    <row r="2627">
      <c r="A2627" t="inlineStr">
        <is>
          <t>retarder, for lorry, carculator regional truck 2020</t>
        </is>
      </c>
      <c r="B2627">
        <v>6.728440902800185e-06</v>
      </c>
      <c r="C2627" t="inlineStr">
        <is>
          <t>RER</t>
        </is>
      </c>
      <c r="D2627" t="inlineStr">
        <is>
          <t>kilogram</t>
        </is>
      </c>
      <c r="F2627" t="inlineStr">
        <is>
          <t>technosphere</t>
        </is>
      </c>
      <c r="G2627" t="inlineStr">
        <is>
          <t>retarder, for lorry</t>
        </is>
      </c>
      <c r="H2627" t="inlineStr">
        <is>
          <t> Energy-use allocation: 67.19999694824219 * 1.367427797431765e-07 / 1.3657122822630972 MJ per ton kilometer.</t>
        </is>
      </c>
      <c r="I2627">
        <v>0</v>
      </c>
    </row>
    <row r="2628">
      <c r="A2628" t="inlineStr">
        <is>
          <t>transmission, for lorry, carculator regional truck 2020</t>
        </is>
      </c>
      <c r="B2628">
        <v>2.9156576736202266e-05</v>
      </c>
      <c r="C2628" t="inlineStr">
        <is>
          <t>RER</t>
        </is>
      </c>
      <c r="D2628" t="inlineStr">
        <is>
          <t>kilogram</t>
        </is>
      </c>
      <c r="F2628" t="inlineStr">
        <is>
          <t>technosphere</t>
        </is>
      </c>
      <c r="G2628" t="inlineStr">
        <is>
          <t>transmission, for lorry</t>
        </is>
      </c>
      <c r="H2628" t="inlineStr">
        <is>
          <t> Energy-use allocation: 291.1999816894531 * 1.367427797431765e-07 / 1.3657122822630972 MJ per ton kilometer.</t>
        </is>
      </c>
      <c r="I2628">
        <v>0</v>
      </c>
    </row>
    <row r="2629">
      <c r="A2629" t="inlineStr">
        <is>
          <t>Carbon dioxide, fossil</t>
        </is>
      </c>
      <c r="B2629">
        <v>0.06</v>
      </c>
      <c r="D2629" t="inlineStr">
        <is>
          <t>kilogram</t>
        </is>
      </c>
      <c r="E2629" t="inlineStr">
        <is>
          <t>air</t>
        </is>
      </c>
      <c r="F2629" t="inlineStr">
        <is>
          <t>biosphere</t>
        </is>
      </c>
      <c r="H2629" t="inlineStr">
        <is>
          <t>Reference-fuel full-oxidation CO2; Premise reclassifies fossil/biogenic carbon with regional blends. Pollutants are separate model estimates, not an elemental closure.</t>
        </is>
      </c>
      <c r="I2629">
        <v>0</v>
      </c>
    </row>
    <row r="2630"/>
    <row r="2631" spans="1:11" ht="16" ns3:dyDescent="0.2">
      <c r="A2631" s="1" t="s">
        <v>0</v>
      </c>
      <c r="B2631" s="1" t="s">
        <v>508</v>
      </c>
    </row>
    <row r="2632" spans="1:11" ns3:dyDescent="0.2">
      <c r="A2632" t="s">
        <v>9</v>
      </c>
      <c r="B2632" t="inlineStr">
        <is>
          <t>Photovoltaic electricity production. Adapted 2026-09-28: legacy compatibility wrapper now supplies 1 kWh from the Swiss residential electricity mix in premise lci-PV-2026-electricity.xlsx (IEA PVPS Task 12, Report T12-33:2026, https://doi.org/10.69766/WJTE1771). No amount or voltage conversion. STEM sector-specific PV mappings use the new inventories directly in config.yaml.</t>
        </is>
      </c>
    </row>
    <row r="2633" spans="1:11" ns3:dyDescent="0.2">
      <c r="A2633" t="s">
        <v>1</v>
      </c>
      <c r="B2633" t="s">
        <v>104</v>
      </c>
    </row>
    <row r="2634" spans="1:11" ns3:dyDescent="0.2">
      <c r="A2634" t="s">
        <v>2</v>
      </c>
      <c r="B2634">
        <v>1</v>
      </c>
    </row>
    <row r="2635" spans="1:11" ns3:dyDescent="0.2">
      <c r="A2635" t="s">
        <v>3</v>
      </c>
      <c r="B2635" t="s">
        <v>287</v>
      </c>
    </row>
    <row r="2636" spans="1:11" ns3:dyDescent="0.2">
      <c r="A2636" t="s">
        <v>4</v>
      </c>
      <c r="B2636" t="s">
        <v>5</v>
      </c>
    </row>
    <row r="2637" spans="1:11" ns3:dyDescent="0.2">
      <c r="A2637" t="s">
        <v>6</v>
      </c>
      <c r="B2637" t="s">
        <v>126</v>
      </c>
    </row>
    <row r="2638" spans="1:11" ht="16" ns3:dyDescent="0.2">
      <c r="A2638" s="1" t="s">
        <v>10</v>
      </c>
      <c r="B2638"/>
    </row>
    <row r="2639" spans="1:11" ns3:dyDescent="0.2">
      <c r="A2639" t="s">
        <v>11</v>
      </c>
      <c r="B2639" t="s">
        <v>12</v>
      </c>
      <c r="C2639" t="s">
        <v>1</v>
      </c>
      <c r="D2639" t="s">
        <v>13</v>
      </c>
      <c r="E2639" t="s">
        <v>6</v>
      </c>
      <c r="F2639" t="s">
        <v>4</v>
      </c>
      <c r="G2639" t="s">
        <v>3</v>
      </c>
      <c r="H2639" t="s">
        <v>479</v>
      </c>
      <c r="I2639" t="s">
        <v>497</v>
      </c>
      <c r="J2639" t="s">
        <v>480</v>
      </c>
      <c r="K2639" t="s">
        <v>481</v>
      </c>
    </row>
    <row r="2640" spans="1:11" ht="16" ns3:dyDescent="0.2">
      <c r="A2640" s="64" t="str">
        <f>B2631</f>
        <v>electricity production, from photovoltaic panels</v>
      </c>
      <c r="B2640">
        <v>1</v>
      </c>
      <c r="C2640" t="s">
        <v>104</v>
      </c>
      <c r="E2640" t="str">
        <f>B2637</f>
        <v>kilowatt hour</v>
      </c>
      <c r="F2640" t="s">
        <v>15</v>
      </c>
      <c r="G2640" t="str">
        <f>B2635</f>
        <v>electricity, low voltage</v>
      </c>
      <c r="H2640">
        <v>0</v>
      </c>
    </row>
    <row r="2641" spans="1:11" ns3:dyDescent="0.2">
      <c r="A2641" t="inlineStr">
        <is>
          <t>electricity production, photovoltaic, residential</t>
        </is>
      </c>
      <c r="B2641" s="3">
        <v>1</v>
      </c>
      <c r="C2641" t="s">
        <v>104</v>
      </c>
      <c r="E2641" t="s">
        <v>126</v>
      </c>
      <c r="F2641" t="s">
        <v>18</v>
      </c>
      <c r="G2641" t="s">
        <v>287</v>
      </c>
      <c r="H2641">
        <v>0</v>
      </c>
    </row>
    <row r="2643" spans="1:11" ht="16" ns3:dyDescent="0.2">
      <c r="A2643" s="1" t="s">
        <v>0</v>
      </c>
      <c r="B2643" s="1" t="s">
        <v>501</v>
      </c>
    </row>
    <row r="2644" spans="1:11" ns3:dyDescent="0.2">
      <c r="A2644" t="s">
        <v>9</v>
      </c>
      <c r="B2644" t="s">
        <v>504</v>
      </c>
    </row>
    <row r="2645" spans="1:11" ns3:dyDescent="0.2">
      <c r="A2645" t="s">
        <v>1</v>
      </c>
      <c r="B2645" t="s">
        <v>104</v>
      </c>
    </row>
    <row r="2646" spans="1:11" ns3:dyDescent="0.2">
      <c r="A2646" t="s">
        <v>2</v>
      </c>
      <c r="B2646">
        <v>1</v>
      </c>
    </row>
    <row r="2647" spans="1:11" ns3:dyDescent="0.2">
      <c r="A2647" t="s">
        <v>3</v>
      </c>
      <c r="B2647" t="s">
        <v>146</v>
      </c>
    </row>
    <row r="2648" spans="1:11" ns3:dyDescent="0.2">
      <c r="A2648" t="s">
        <v>4</v>
      </c>
      <c r="B2648" t="s">
        <v>5</v>
      </c>
    </row>
    <row r="2649" spans="1:11" ns3:dyDescent="0.2">
      <c r="A2649" t="s">
        <v>6</v>
      </c>
      <c r="B2649" t="s">
        <v>126</v>
      </c>
    </row>
    <row r="2650" spans="1:11" ht="16" ns3:dyDescent="0.2">
      <c r="A2650" s="1" t="s">
        <v>10</v>
      </c>
      <c r="B2650"/>
    </row>
    <row r="2651" spans="1:11" ns3:dyDescent="0.2">
      <c r="A2651" t="s">
        <v>11</v>
      </c>
      <c r="B2651" t="s">
        <v>12</v>
      </c>
      <c r="C2651" t="s">
        <v>1</v>
      </c>
      <c r="D2651" t="s">
        <v>13</v>
      </c>
      <c r="E2651" t="s">
        <v>6</v>
      </c>
      <c r="F2651" t="s">
        <v>4</v>
      </c>
      <c r="G2651" t="s">
        <v>3</v>
      </c>
      <c r="H2651" t="s">
        <v>479</v>
      </c>
      <c r="I2651" t="s">
        <v>497</v>
      </c>
      <c r="J2651" t="s">
        <v>480</v>
      </c>
      <c r="K2651" t="s">
        <v>481</v>
      </c>
    </row>
    <row r="2652" spans="1:11" ht="16" ns3:dyDescent="0.2">
      <c r="A2652" s="64" t="str">
        <f>B2643</f>
        <v>electricity production, wind</v>
      </c>
      <c r="B2652">
        <v>1</v>
      </c>
      <c r="C2652" t="s">
        <v>104</v>
      </c>
      <c r="E2652" t="str">
        <f>B2649</f>
        <v>kilowatt hour</v>
      </c>
      <c r="F2652" t="s">
        <v>15</v>
      </c>
      <c r="G2652" t="str">
        <f>B2647</f>
        <v>electricity, high voltage</v>
      </c>
      <c r="H2652">
        <v>0</v>
      </c>
    </row>
    <row r="2653" spans="1:11" ns3:dyDescent="0.2">
      <c r="A2653" t="s">
        <v>502</v>
      </c>
      <c r="B2653" s="3">
        <v>1</v>
      </c>
      <c r="C2653" t="s">
        <v>104</v>
      </c>
      <c r="E2653" t="s">
        <v>126</v>
      </c>
      <c r="F2653" t="s">
        <v>18</v>
      </c>
      <c r="G2653" t="s">
        <v>146</v>
      </c>
      <c r="H2653">
        <v>0</v>
      </c>
    </row>
    <row r="2655" spans="1:11" ht="16" ns3:dyDescent="0.2">
      <c r="A2655" s="1" t="s">
        <v>0</v>
      </c>
      <c r="B2655" s="1" t="s">
        <v>503</v>
      </c>
    </row>
    <row r="2656" spans="1:11" ns3:dyDescent="0.2">
      <c r="A2656" t="s">
        <v>9</v>
      </c>
      <c r="B2656" t="s">
        <v>505</v>
      </c>
    </row>
    <row r="2657" spans="1:11" ns3:dyDescent="0.2">
      <c r="A2657" t="s">
        <v>1</v>
      </c>
      <c r="B2657" t="s">
        <v>104</v>
      </c>
    </row>
    <row r="2658" spans="1:11" ns3:dyDescent="0.2">
      <c r="A2658" t="s">
        <v>2</v>
      </c>
      <c r="B2658">
        <v>1</v>
      </c>
    </row>
    <row r="2659" spans="1:11" ns3:dyDescent="0.2">
      <c r="A2659" t="s">
        <v>3</v>
      </c>
      <c r="B2659" t="s">
        <v>287</v>
      </c>
    </row>
    <row r="2660" spans="1:11" ns3:dyDescent="0.2">
      <c r="A2660" t="s">
        <v>4</v>
      </c>
      <c r="B2660" t="s">
        <v>5</v>
      </c>
    </row>
    <row r="2661" spans="1:11" ns3:dyDescent="0.2">
      <c r="A2661" t="s">
        <v>6</v>
      </c>
      <c r="B2661" t="s">
        <v>126</v>
      </c>
    </row>
    <row r="2662" spans="1:11" ht="16" ns3:dyDescent="0.2">
      <c r="A2662" s="1" t="s">
        <v>10</v>
      </c>
      <c r="B2662"/>
    </row>
    <row r="2663" spans="1:11" ns3:dyDescent="0.2">
      <c r="A2663" t="s">
        <v>11</v>
      </c>
      <c r="B2663" t="s">
        <v>12</v>
      </c>
      <c r="C2663" t="s">
        <v>1</v>
      </c>
      <c r="D2663" t="s">
        <v>13</v>
      </c>
      <c r="E2663" t="s">
        <v>6</v>
      </c>
      <c r="F2663" t="s">
        <v>4</v>
      </c>
      <c r="G2663" t="s">
        <v>3</v>
      </c>
      <c r="H2663" t="s">
        <v>479</v>
      </c>
      <c r="I2663" t="s">
        <v>497</v>
      </c>
      <c r="J2663" t="s">
        <v>480</v>
      </c>
      <c r="K2663" t="s">
        <v>481</v>
      </c>
    </row>
    <row r="2664" spans="1:11" ht="16" ns3:dyDescent="0.2">
      <c r="A2664" s="64" t="str">
        <f>B2655</f>
        <v>electricity production, from hydrogen fuel cell</v>
      </c>
      <c r="B2664">
        <v>1</v>
      </c>
      <c r="C2664" t="s">
        <v>104</v>
      </c>
      <c r="E2664" t="str">
        <f>B2661</f>
        <v>kilowatt hour</v>
      </c>
      <c r="F2664" t="s">
        <v>15</v>
      </c>
      <c r="G2664" t="str">
        <f>B2659</f>
        <v>electricity, low voltage</v>
      </c>
      <c r="H2664">
        <v>0</v>
      </c>
    </row>
    <row r="2665" spans="1:11" ns3:dyDescent="0.2">
      <c r="A2665" t="s">
        <v>506</v>
      </c>
      <c r="B2665" s="3">
        <v>1</v>
      </c>
      <c r="C2665" t="s">
        <v>104</v>
      </c>
      <c r="E2665" t="s">
        <v>126</v>
      </c>
      <c r="F2665" t="s">
        <v>18</v>
      </c>
      <c r="G2665" t="s">
        <v>507</v>
      </c>
      <c r="H2665">
        <v>0</v>
      </c>
    </row>
    <row r="2667">
      <c r="A2667" t="inlineStr">
        <is>
          <t>Activity</t>
        </is>
      </c>
      <c r="B2667" t="inlineStr">
        <is>
          <t>electricity production, from incineration of plastic waste mixture, electricity only</t>
        </is>
      </c>
    </row>
    <row r="2668">
      <c r="A2668" t="inlineStr">
        <is>
          <t>location</t>
        </is>
      </c>
      <c r="B2668" t="inlineStr">
        <is>
          <t>CH</t>
        </is>
      </c>
    </row>
    <row r="2669">
      <c r="A2669" t="inlineStr">
        <is>
          <t>production amount</t>
        </is>
      </c>
      <c r="B2669">
        <v>1</v>
      </c>
    </row>
    <row r="2670">
      <c r="A2670" t="inlineStr">
        <is>
          <t>reference product</t>
        </is>
      </c>
      <c r="B2670" t="inlineStr">
        <is>
          <t>electricity, from incineration of plastic waste mixture, electricity only</t>
        </is>
      </c>
    </row>
    <row r="2671">
      <c r="A2671" t="inlineStr">
        <is>
          <t>type</t>
        </is>
      </c>
      <c r="B2671" t="inlineStr">
        <is>
          <t>process</t>
        </is>
      </c>
    </row>
    <row r="2672">
      <c r="A2672" t="inlineStr">
        <is>
          <t>unit</t>
        </is>
      </c>
      <c r="B2672" t="inlineStr">
        <is>
          <t>kilowatt hour</t>
        </is>
      </c>
    </row>
    <row r="2673">
      <c r="A2673" t="inlineStr">
        <is>
          <t>current efficiency</t>
        </is>
      </c>
      <c r="B2673">
        <v>0.1221</v>
      </c>
    </row>
    <row r="2674">
      <c r="A2674" t="inlineStr">
        <is>
          <t>source</t>
        </is>
      </c>
      <c r="B2674" t="inlineStr">
        <is>
          <t>ecoinvent 3.9.1 cutoff</t>
        </is>
      </c>
    </row>
    <row r="2675">
      <c r="A2675" t="inlineStr">
        <is>
          <t>comment</t>
        </is>
      </c>
      <c r="B2675" t="inlineStr">
        <is>
          <t>Electricity-only proxy derived from 'electricity production, from incineration of plastic waste mixture, energy allocation'. All energy-production burdens assigned to electricity: divide non-production exchanges by the source electricity allocation factor 0.33. No useful heat coproduct. Retain the source's declared physical electrical efficiency before applying the matching absolute STEM efficiency. CCS capture and storage, residual emissions and biomass uptake retain their source ratios. Source documentation: 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3.93MJ/kg electric energy and 7.66MJ/kg thermal energy. Allocation to electricity production: 3.93 / (7.66 + 3.93) = 33%. Hence, to deliver 1 kWh of heat: 3.6/3.93 * 33%.</t>
        </is>
      </c>
    </row>
    <row r="2676">
      <c r="A2676" t="inlineStr">
        <is>
          <t>Exchanges</t>
        </is>
      </c>
    </row>
    <row r="2677">
      <c r="A2677" t="inlineStr">
        <is>
          <t>name</t>
        </is>
      </c>
      <c r="B2677" t="inlineStr">
        <is>
          <t>amount</t>
        </is>
      </c>
      <c r="C2677" t="inlineStr">
        <is>
          <t>location</t>
        </is>
      </c>
      <c r="D2677" t="inlineStr">
        <is>
          <t>unit</t>
        </is>
      </c>
      <c r="E2677" t="inlineStr">
        <is>
          <t>categories</t>
        </is>
      </c>
      <c r="F2677" t="inlineStr">
        <is>
          <t>type</t>
        </is>
      </c>
      <c r="G2677" t="inlineStr">
        <is>
          <t>comment</t>
        </is>
      </c>
      <c r="H2677" t="inlineStr">
        <is>
          <t>reference product</t>
        </is>
      </c>
    </row>
    <row r="2678">
      <c r="A2678" t="inlineStr">
        <is>
          <t>electricity production, from incineration of plastic waste mixture, electricity only</t>
        </is>
      </c>
      <c r="B2678">
        <v>1</v>
      </c>
      <c r="C2678" t="inlineStr">
        <is>
          <t>CH</t>
        </is>
      </c>
      <c r="D2678" t="inlineStr">
        <is>
          <t>kilowatt hour</t>
        </is>
      </c>
      <c r="F2678" t="inlineStr">
        <is>
          <t>production</t>
        </is>
      </c>
      <c r="G2678" t="inlineStr">
        <is>
          <t/>
        </is>
      </c>
      <c r="H2678" t="inlineStr">
        <is>
          <t>electricity, from incineration of plastic waste mixture, electricity only</t>
        </is>
      </c>
    </row>
    <row r="2679">
      <c r="A2679" t="inlineStr">
        <is>
          <t>market for ammonia, anhydrous, liquid</t>
        </is>
      </c>
      <c r="B2679">
        <v>0.0013854263079457212</v>
      </c>
      <c r="C2679" t="inlineStr">
        <is>
          <t>RER</t>
        </is>
      </c>
      <c r="D2679" t="inlineStr">
        <is>
          <t>kilogram</t>
        </is>
      </c>
      <c r="F2679" t="inlineStr">
        <is>
          <t>technosphere</t>
        </is>
      </c>
      <c r="G2679" t="inlineStr">
        <is>
          <t>Electricity-only proxy: source amount / 0.33; 100% burden to electricity, before STEM efficiency adjustment.</t>
        </is>
      </c>
      <c r="H2679" t="inlineStr">
        <is>
          <t>ammonia, anhydrous, liquid</t>
        </is>
      </c>
    </row>
    <row r="2680">
      <c r="A2680" t="inlineStr">
        <is>
          <t>market for cationic resin</t>
        </is>
      </c>
      <c r="B2680">
        <v>3.779778806180877e-06</v>
      </c>
      <c r="C2680" t="inlineStr">
        <is>
          <t>RER</t>
        </is>
      </c>
      <c r="D2680" t="inlineStr">
        <is>
          <t>kilogram</t>
        </is>
      </c>
      <c r="F2680" t="inlineStr">
        <is>
          <t>technosphere</t>
        </is>
      </c>
      <c r="G2680" t="inlineStr">
        <is>
          <t>Electricity-only proxy: source amount / 0.33; 100% burden to electricity, before STEM efficiency adjustment.</t>
        </is>
      </c>
      <c r="H2680" t="inlineStr">
        <is>
          <t>cationic resin</t>
        </is>
      </c>
    </row>
    <row r="2681">
      <c r="A2681" t="inlineStr">
        <is>
          <t>market for cement, unspecified</t>
        </is>
      </c>
      <c r="B2681">
        <v>0.0031613773629304257</v>
      </c>
      <c r="C2681" t="inlineStr">
        <is>
          <t>CH</t>
        </is>
      </c>
      <c r="D2681" t="inlineStr">
        <is>
          <t>kilogram</t>
        </is>
      </c>
      <c r="F2681" t="inlineStr">
        <is>
          <t>technosphere</t>
        </is>
      </c>
      <c r="G2681" t="inlineStr">
        <is>
          <t>Electricity-only proxy: source amount / 0.33; 100% burden to electricity, before STEM efficiency adjustment.</t>
        </is>
      </c>
      <c r="H2681" t="inlineStr">
        <is>
          <t>cement, unspecified</t>
        </is>
      </c>
    </row>
    <row r="2682">
      <c r="A2682" t="inlineStr">
        <is>
          <t>market for chemical, inorganic</t>
        </is>
      </c>
      <c r="B2682">
        <v>0.0002918723037100949</v>
      </c>
      <c r="C2682" t="inlineStr">
        <is>
          <t>GLO</t>
        </is>
      </c>
      <c r="D2682" t="inlineStr">
        <is>
          <t>kilogram</t>
        </is>
      </c>
      <c r="F2682" t="inlineStr">
        <is>
          <t>technosphere</t>
        </is>
      </c>
      <c r="G2682" t="inlineStr">
        <is>
          <t>Electricity-only proxy: source amount / 0.33; 100% burden to electricity, before STEM efficiency adjustment.</t>
        </is>
      </c>
      <c r="H2682" t="inlineStr">
        <is>
          <t>chemical, inorganic</t>
        </is>
      </c>
    </row>
    <row r="2683">
      <c r="A2683" t="inlineStr">
        <is>
          <t>market for chemical, organic</t>
        </is>
      </c>
      <c r="B2683">
        <v>1.6738253980704365e-05</v>
      </c>
      <c r="C2683" t="inlineStr">
        <is>
          <t>GLO</t>
        </is>
      </c>
      <c r="D2683" t="inlineStr">
        <is>
          <t>kilogram</t>
        </is>
      </c>
      <c r="F2683" t="inlineStr">
        <is>
          <t>technosphere</t>
        </is>
      </c>
      <c r="G2683" t="inlineStr">
        <is>
          <t>Electricity-only proxy: source amount / 0.33; 100% burden to electricity, before STEM efficiency adjustment.</t>
        </is>
      </c>
      <c r="H2683" t="inlineStr">
        <is>
          <t>chemical, organic</t>
        </is>
      </c>
    </row>
    <row r="2684">
      <c r="A2684" t="inlineStr">
        <is>
          <t>market for chromium trioxide, flakes</t>
        </is>
      </c>
      <c r="B2684">
        <v>1.7713389285434151e-06</v>
      </c>
      <c r="C2684" t="inlineStr">
        <is>
          <t>GLO</t>
        </is>
      </c>
      <c r="D2684" t="inlineStr">
        <is>
          <t>kilogram</t>
        </is>
      </c>
      <c r="F2684" t="inlineStr">
        <is>
          <t>technosphere</t>
        </is>
      </c>
      <c r="G2684" t="inlineStr">
        <is>
          <t>Electricity-only proxy: source amount / 0.33; 100% burden to electricity, before STEM efficiency adjustment.</t>
        </is>
      </c>
      <c r="H2684" t="inlineStr">
        <is>
          <t>chromium trioxide, flakes</t>
        </is>
      </c>
    </row>
    <row r="2685">
      <c r="A2685" t="inlineStr">
        <is>
          <t>market for heat, district or industrial, natural gas</t>
        </is>
      </c>
      <c r="B2685">
        <v>0.25906973095929087</v>
      </c>
      <c r="C2685" t="inlineStr">
        <is>
          <t>CH</t>
        </is>
      </c>
      <c r="D2685" t="inlineStr">
        <is>
          <t>megajoule</t>
        </is>
      </c>
      <c r="F2685" t="inlineStr">
        <is>
          <t>technosphere</t>
        </is>
      </c>
      <c r="G2685" t="inlineStr">
        <is>
          <t>Electricity-only proxy: source amount / 0.33; 100% burden to electricity, before STEM efficiency adjustment.</t>
        </is>
      </c>
      <c r="H2685" t="inlineStr">
        <is>
          <t>heat, district or industrial, natural gas</t>
        </is>
      </c>
    </row>
    <row r="2686">
      <c r="A2686" t="inlineStr">
        <is>
          <t>market for hydrochloric acid, without water, in 30% solution state</t>
        </is>
      </c>
      <c r="B2686">
        <v>0.00028396580123931286</v>
      </c>
      <c r="C2686" t="inlineStr">
        <is>
          <t>RER</t>
        </is>
      </c>
      <c r="D2686" t="inlineStr">
        <is>
          <t>kilogram</t>
        </is>
      </c>
      <c r="F2686" t="inlineStr">
        <is>
          <t>technosphere</t>
        </is>
      </c>
      <c r="G2686" t="inlineStr">
        <is>
          <t>Electricity-only proxy: source amount / 0.33; 100% burden to electricity, before STEM efficiency adjustment.</t>
        </is>
      </c>
      <c r="H2686" t="inlineStr">
        <is>
          <t>hydrochloric acid, without water, in 30% solution state</t>
        </is>
      </c>
    </row>
    <row r="2687">
      <c r="A2687" t="inlineStr">
        <is>
          <t>market for hydrogen peroxide, without water, in 50% solution state</t>
        </is>
      </c>
      <c r="B2687">
        <v>0.0005274954898423405</v>
      </c>
      <c r="C2687" t="inlineStr">
        <is>
          <t>RER</t>
        </is>
      </c>
      <c r="D2687" t="inlineStr">
        <is>
          <t>kilogram</t>
        </is>
      </c>
      <c r="F2687" t="inlineStr">
        <is>
          <t>technosphere</t>
        </is>
      </c>
      <c r="G2687" t="inlineStr">
        <is>
          <t>Electricity-only proxy: source amount / 0.33; 100% burden to electricity, before STEM efficiency adjustment.</t>
        </is>
      </c>
      <c r="H2687" t="inlineStr">
        <is>
          <t>hydrogen peroxide, without water, in 50% solution state</t>
        </is>
      </c>
    </row>
    <row r="2688">
      <c r="A2688" t="inlineStr">
        <is>
          <t>market for iron(III) chloride, without water, in 40% solution state</t>
        </is>
      </c>
      <c r="B2688">
        <v>4.579276806024001e-05</v>
      </c>
      <c r="C2688" t="inlineStr">
        <is>
          <t>GLO</t>
        </is>
      </c>
      <c r="D2688" t="inlineStr">
        <is>
          <t>kilogram</t>
        </is>
      </c>
      <c r="F2688" t="inlineStr">
        <is>
          <t>technosphere</t>
        </is>
      </c>
      <c r="G2688" t="inlineStr">
        <is>
          <t>Electricity-only proxy: source amount / 0.33; 100% burden to electricity, before STEM efficiency adjustment.</t>
        </is>
      </c>
      <c r="H2688" t="inlineStr">
        <is>
          <t>iron(III) chloride, without water, in 40% solution state</t>
        </is>
      </c>
    </row>
    <row r="2689">
      <c r="A2689" t="inlineStr">
        <is>
          <t>metalliferous hydroxide sludge, Recycled Content cut-off</t>
        </is>
      </c>
      <c r="B2689">
        <v>-0.004234214448192015</v>
      </c>
      <c r="C2689" t="inlineStr">
        <is>
          <t>GLO</t>
        </is>
      </c>
      <c r="D2689" t="inlineStr">
        <is>
          <t>kilogram</t>
        </is>
      </c>
      <c r="F2689" t="inlineStr">
        <is>
          <t>technosphere</t>
        </is>
      </c>
      <c r="G2689" t="inlineStr">
        <is>
          <t>Electricity-only proxy: source amount / 0.33; 100% burden to electricity, before STEM efficiency adjustment.</t>
        </is>
      </c>
      <c r="H2689" t="inlineStr">
        <is>
          <t>metalliferous hydroxide sludge</t>
        </is>
      </c>
    </row>
    <row r="2690">
      <c r="A2690" t="inlineStr">
        <is>
          <t>municipal waste incineration facility construction</t>
        </is>
      </c>
      <c r="B2690">
        <v>2.3531257353517923e-10</v>
      </c>
      <c r="C2690" t="inlineStr">
        <is>
          <t>CH</t>
        </is>
      </c>
      <c r="D2690" t="inlineStr">
        <is>
          <t>unit</t>
        </is>
      </c>
      <c r="F2690" t="inlineStr">
        <is>
          <t>technosphere</t>
        </is>
      </c>
      <c r="G2690" t="inlineStr">
        <is>
          <t>Electricity-only proxy: source amount / 0.33; 100% burden to electricity, before STEM efficiency adjustment.</t>
        </is>
      </c>
      <c r="H2690" t="inlineStr">
        <is>
          <t>municipal waste incineration facility</t>
        </is>
      </c>
    </row>
    <row r="2691">
      <c r="A2691" t="inlineStr">
        <is>
          <t>process-specific burdens, residual material landfill</t>
        </is>
      </c>
      <c r="B2691">
        <v>0.01575747117420974</v>
      </c>
      <c r="C2691" t="inlineStr">
        <is>
          <t>CH</t>
        </is>
      </c>
      <c r="D2691" t="inlineStr">
        <is>
          <t>kilogram</t>
        </is>
      </c>
      <c r="F2691" t="inlineStr">
        <is>
          <t>technosphere</t>
        </is>
      </c>
      <c r="G2691" t="inlineStr">
        <is>
          <t>Electricity-only proxy: source amount / 0.33; 100% burden to electricity, before STEM efficiency adjustment.</t>
        </is>
      </c>
      <c r="H2691" t="inlineStr">
        <is>
          <t>process-specific burdens, residual material landfill</t>
        </is>
      </c>
    </row>
    <row r="2692">
      <c r="A2692" t="inlineStr">
        <is>
          <t>process-specific burdens, slag landfill</t>
        </is>
      </c>
      <c r="B2692">
        <v>0.025009961565612988</v>
      </c>
      <c r="C2692" t="inlineStr">
        <is>
          <t>CH</t>
        </is>
      </c>
      <c r="D2692" t="inlineStr">
        <is>
          <t>kilogram</t>
        </is>
      </c>
      <c r="F2692" t="inlineStr">
        <is>
          <t>technosphere</t>
        </is>
      </c>
      <c r="G2692" t="inlineStr">
        <is>
          <t>Electricity-only proxy: source amount / 0.33; 100% burden to electricity, before STEM efficiency adjustment.</t>
        </is>
      </c>
      <c r="H2692" t="inlineStr">
        <is>
          <t>process-specific burdens, slag landfill</t>
        </is>
      </c>
    </row>
    <row r="2693">
      <c r="A2693" t="inlineStr">
        <is>
          <t>market for quicklime, milled, packed</t>
        </is>
      </c>
      <c r="B2693">
        <v>0.008804925876539336</v>
      </c>
      <c r="C2693" t="inlineStr">
        <is>
          <t>RER</t>
        </is>
      </c>
      <c r="D2693" t="inlineStr">
        <is>
          <t>kilogram</t>
        </is>
      </c>
      <c r="F2693" t="inlineStr">
        <is>
          <t>technosphere</t>
        </is>
      </c>
      <c r="G2693" t="inlineStr">
        <is>
          <t>Electricity-only proxy: source amount / 0.33; 100% burden to electricity, before STEM efficiency adjustment.</t>
        </is>
      </c>
      <c r="H2693" t="inlineStr">
        <is>
          <t>quicklime, milled, packed</t>
        </is>
      </c>
    </row>
    <row r="2694">
      <c r="A2694" t="inlineStr">
        <is>
          <t>residual material landfill construction</t>
        </is>
      </c>
      <c r="B2694">
        <v>3.2827986508745776e-11</v>
      </c>
      <c r="C2694" t="inlineStr">
        <is>
          <t>CH</t>
        </is>
      </c>
      <c r="D2694" t="inlineStr">
        <is>
          <t>unit</t>
        </is>
      </c>
      <c r="F2694" t="inlineStr">
        <is>
          <t>technosphere</t>
        </is>
      </c>
      <c r="G2694" t="inlineStr">
        <is>
          <t>Electricity-only proxy: source amount / 0.33; 100% burden to electricity, before STEM efficiency adjustment.</t>
        </is>
      </c>
      <c r="H2694" t="inlineStr">
        <is>
          <t>residual material landfill</t>
        </is>
      </c>
    </row>
    <row r="2695">
      <c r="A2695" t="inlineStr">
        <is>
          <t>slag landfill construction</t>
        </is>
      </c>
      <c r="B2695">
        <v>4.446184014432505e-11</v>
      </c>
      <c r="C2695" t="inlineStr">
        <is>
          <t>CH</t>
        </is>
      </c>
      <c r="D2695" t="inlineStr">
        <is>
          <t>unit</t>
        </is>
      </c>
      <c r="F2695" t="inlineStr">
        <is>
          <t>technosphere</t>
        </is>
      </c>
      <c r="G2695" t="inlineStr">
        <is>
          <t>Electricity-only proxy: source amount / 0.33; 100% burden to electricity, before STEM efficiency adjustment.</t>
        </is>
      </c>
      <c r="H2695" t="inlineStr">
        <is>
          <t>slag landfill</t>
        </is>
      </c>
    </row>
    <row r="2696">
      <c r="A2696" t="inlineStr">
        <is>
          <t>market for sodium hydroxide, without water, in 50% solution state</t>
        </is>
      </c>
      <c r="B2696">
        <v>0.0023473841085575333</v>
      </c>
      <c r="C2696" t="inlineStr">
        <is>
          <t>RoW</t>
        </is>
      </c>
      <c r="D2696" t="inlineStr">
        <is>
          <t>kilogram</t>
        </is>
      </c>
      <c r="F2696" t="inlineStr">
        <is>
          <t>technosphere</t>
        </is>
      </c>
      <c r="G2696" t="inlineStr">
        <is>
          <t>Electricity-only proxy: source amount / 0.33; 100% burden to electricity, before STEM efficiency adjustment.</t>
        </is>
      </c>
      <c r="H2696" t="inlineStr">
        <is>
          <t>sodium hydroxide, without water, in 50% solution state</t>
        </is>
      </c>
    </row>
    <row r="2697">
      <c r="A2697" t="inlineStr">
        <is>
          <t>market for spent activated carbon with mercury</t>
        </is>
      </c>
      <c r="B2697">
        <v>-3.9787591183622235e-06</v>
      </c>
      <c r="C2697" t="inlineStr">
        <is>
          <t>GLO</t>
        </is>
      </c>
      <c r="D2697" t="inlineStr">
        <is>
          <t>kilogram</t>
        </is>
      </c>
      <c r="F2697" t="inlineStr">
        <is>
          <t>technosphere</t>
        </is>
      </c>
      <c r="G2697" t="inlineStr">
        <is>
          <t>Electricity-only proxy: source amount / 0.33; 100% burden to electricity, before STEM efficiency adjustment.</t>
        </is>
      </c>
      <c r="H2697" t="inlineStr">
        <is>
          <t>spent activated carbon with mercury</t>
        </is>
      </c>
    </row>
    <row r="2698">
      <c r="A2698" t="inlineStr">
        <is>
          <t>market for titanium dioxide</t>
        </is>
      </c>
      <c r="B2698">
        <v>8.67973958741862e-05</v>
      </c>
      <c r="C2698" t="inlineStr">
        <is>
          <t>RER</t>
        </is>
      </c>
      <c r="D2698" t="inlineStr">
        <is>
          <t>kilogram</t>
        </is>
      </c>
      <c r="F2698" t="inlineStr">
        <is>
          <t>technosphere</t>
        </is>
      </c>
      <c r="G2698" t="inlineStr">
        <is>
          <t>Electricity-only proxy: source amount / 0.33; 100% burden to electricity, before STEM efficiency adjustment.</t>
        </is>
      </c>
      <c r="H2698" t="inlineStr">
        <is>
          <t>titanium dioxide</t>
        </is>
      </c>
    </row>
    <row r="2699">
      <c r="A2699" t="inlineStr">
        <is>
          <t>market for transport, freight, lorry, unspecified</t>
        </is>
      </c>
      <c r="B2699">
        <v>0.0014832222135069417</v>
      </c>
      <c r="C2699" t="inlineStr">
        <is>
          <t>RER</t>
        </is>
      </c>
      <c r="D2699" t="inlineStr">
        <is>
          <t>ton kilometer</t>
        </is>
      </c>
      <c r="F2699" t="inlineStr">
        <is>
          <t>technosphere</t>
        </is>
      </c>
      <c r="G2699" t="inlineStr">
        <is>
          <t>Electricity-only proxy: source amount / 0.33; 100% burden to electricity, before STEM efficiency adjustment.</t>
        </is>
      </c>
      <c r="H2699" t="inlineStr">
        <is>
          <t>transport, freight, lorry, unspecified</t>
        </is>
      </c>
    </row>
    <row r="2700">
      <c r="A2700" t="inlineStr">
        <is>
          <t>market for waste cement, hydrated</t>
        </is>
      </c>
      <c r="B2700">
        <v>-0.00790349046984077</v>
      </c>
      <c r="C2700" t="inlineStr">
        <is>
          <t>CH</t>
        </is>
      </c>
      <c r="D2700" t="inlineStr">
        <is>
          <t>kilogram</t>
        </is>
      </c>
      <c r="F2700" t="inlineStr">
        <is>
          <t>technosphere</t>
        </is>
      </c>
      <c r="G2700" t="inlineStr">
        <is>
          <t>Electricity-only proxy: source amount / 0.33; 100% burden to electricity, before STEM efficiency adjustment.</t>
        </is>
      </c>
      <c r="H2700" t="inlineStr">
        <is>
          <t>waste cement, hydrated</t>
        </is>
      </c>
    </row>
    <row r="2701">
      <c r="A2701" t="inlineStr">
        <is>
          <t>market for water, decarbonised</t>
        </is>
      </c>
      <c r="B2701">
        <v>3.460130206290689</v>
      </c>
      <c r="C2701" t="inlineStr">
        <is>
          <t>CH</t>
        </is>
      </c>
      <c r="D2701" t="inlineStr">
        <is>
          <t>kilogram</t>
        </is>
      </c>
      <c r="F2701" t="inlineStr">
        <is>
          <t>technosphere</t>
        </is>
      </c>
      <c r="G2701" t="inlineStr">
        <is>
          <t>Electricity-only proxy: source amount / 0.33; 100% burden to electricity, before STEM efficiency adjustment.</t>
        </is>
      </c>
      <c r="H2701" t="inlineStr">
        <is>
          <t>water, decarbonised</t>
        </is>
      </c>
    </row>
    <row r="2702">
      <c r="A2702" t="inlineStr">
        <is>
          <t>Aluminium III</t>
        </is>
      </c>
      <c r="B2702">
        <v>1.4322064475645146e-10</v>
      </c>
      <c r="D2702" t="inlineStr">
        <is>
          <t>kilogram</t>
        </is>
      </c>
      <c r="E2702" t="inlineStr">
        <is>
          <t>air::urban air close to ground</t>
        </is>
      </c>
      <c r="F2702" t="inlineStr">
        <is>
          <t>biosphere</t>
        </is>
      </c>
      <c r="G2702" t="inlineStr">
        <is>
          <t>Electricity-only proxy: source amount / 0.33; 100% burden to electricity, before STEM efficiency adjustment.</t>
        </is>
      </c>
    </row>
    <row r="2703">
      <c r="A2703" t="inlineStr">
        <is>
          <t>Ammonia</t>
        </is>
      </c>
      <c r="B2703">
        <v>1.6288336340105104e-06</v>
      </c>
      <c r="D2703" t="inlineStr">
        <is>
          <t>kilogram</t>
        </is>
      </c>
      <c r="E2703" t="inlineStr">
        <is>
          <t>air::urban air close to ground</t>
        </is>
      </c>
      <c r="F2703" t="inlineStr">
        <is>
          <t>biosphere</t>
        </is>
      </c>
      <c r="G2703" t="inlineStr">
        <is>
          <t>Electricity-only proxy: source amount / 0.33; 100% burden to electricity, before STEM efficiency adjustment.</t>
        </is>
      </c>
    </row>
    <row r="2704">
      <c r="A2704" t="inlineStr">
        <is>
          <t>Antimony ion</t>
        </is>
      </c>
      <c r="B2704">
        <v>3.02301356969174e-11</v>
      </c>
      <c r="D2704" t="inlineStr">
        <is>
          <t>kilogram</t>
        </is>
      </c>
      <c r="E2704" t="inlineStr">
        <is>
          <t>air::urban air close to ground</t>
        </is>
      </c>
      <c r="F2704" t="inlineStr">
        <is>
          <t>biosphere</t>
        </is>
      </c>
      <c r="G2704" t="inlineStr">
        <is>
          <t>Electricity-only proxy: source amount / 0.33; 100% burden to electricity, before STEM efficiency adjustment.</t>
        </is>
      </c>
    </row>
    <row r="2705">
      <c r="A2705" t="inlineStr">
        <is>
          <t>Arsenic ion</t>
        </is>
      </c>
      <c r="B2705">
        <v>1.3072084085026274e-08</v>
      </c>
      <c r="D2705" t="inlineStr">
        <is>
          <t>kilogram</t>
        </is>
      </c>
      <c r="E2705" t="inlineStr">
        <is>
          <t>air::urban air close to ground</t>
        </is>
      </c>
      <c r="F2705" t="inlineStr">
        <is>
          <t>biosphere</t>
        </is>
      </c>
      <c r="G2705" t="inlineStr">
        <is>
          <t>Electricity-only proxy: source amount / 0.33; 100% burden to electricity, before STEM efficiency adjustment.</t>
        </is>
      </c>
    </row>
    <row r="2706">
      <c r="A2706" t="inlineStr">
        <is>
          <t>Barium II</t>
        </is>
      </c>
      <c r="B2706">
        <v>6.429398384186994e-07</v>
      </c>
      <c r="D2706" t="inlineStr">
        <is>
          <t>kilogram</t>
        </is>
      </c>
      <c r="E2706" t="inlineStr">
        <is>
          <t>air::urban air close to ground</t>
        </is>
      </c>
      <c r="F2706" t="inlineStr">
        <is>
          <t>biosphere</t>
        </is>
      </c>
      <c r="G2706" t="inlineStr">
        <is>
          <t>Electricity-only proxy: source amount / 0.33; 100% burden to electricity, before STEM efficiency adjustment.</t>
        </is>
      </c>
    </row>
    <row r="2707">
      <c r="A2707" t="inlineStr">
        <is>
          <t>Benzene</t>
        </is>
      </c>
      <c r="B2707">
        <v>1.4134755667111145e-08</v>
      </c>
      <c r="D2707" t="inlineStr">
        <is>
          <t>kilogram</t>
        </is>
      </c>
      <c r="E2707" t="inlineStr">
        <is>
          <t>air::urban air close to ground</t>
        </is>
      </c>
      <c r="F2707" t="inlineStr">
        <is>
          <t>biosphere</t>
        </is>
      </c>
      <c r="G2707" t="inlineStr">
        <is>
          <t>Electricity-only proxy: source amount / 0.33; 100% burden to electricity, before STEM efficiency adjustment.</t>
        </is>
      </c>
    </row>
    <row r="2708">
      <c r="A2708" t="inlineStr">
        <is>
          <t>Benzene, hexachloro-</t>
        </is>
      </c>
      <c r="B2708">
        <v>2.955620048631265e-11</v>
      </c>
      <c r="D2708" t="inlineStr">
        <is>
          <t>kilogram</t>
        </is>
      </c>
      <c r="E2708" t="inlineStr">
        <is>
          <t>air::urban air close to ground</t>
        </is>
      </c>
      <c r="F2708" t="inlineStr">
        <is>
          <t>biosphere</t>
        </is>
      </c>
      <c r="G2708" t="inlineStr">
        <is>
          <t>Electricity-only proxy: source amount / 0.33; 100% burden to electricity, before STEM efficiency adjustment.</t>
        </is>
      </c>
    </row>
    <row r="2709">
      <c r="A2709" t="inlineStr">
        <is>
          <t>Pentachlorobenzene</t>
        </is>
      </c>
      <c r="B2709">
        <v>7.468068083771275e-11</v>
      </c>
      <c r="D2709" t="inlineStr">
        <is>
          <t>kilogram</t>
        </is>
      </c>
      <c r="E2709" t="inlineStr">
        <is>
          <t>air::urban air close to ground</t>
        </is>
      </c>
      <c r="F2709" t="inlineStr">
        <is>
          <t>biosphere</t>
        </is>
      </c>
      <c r="G2709" t="inlineStr">
        <is>
          <t>Electricity-only proxy: source amount / 0.33; 100% burden to electricity, before STEM efficiency adjustment.</t>
        </is>
      </c>
    </row>
    <row r="2710">
      <c r="A2710" t="inlineStr">
        <is>
          <t>Benzo(a)pyrene</t>
        </is>
      </c>
      <c r="B2710">
        <v>3.145564357988862e-13</v>
      </c>
      <c r="D2710" t="inlineStr">
        <is>
          <t>kilogram</t>
        </is>
      </c>
      <c r="E2710" t="inlineStr">
        <is>
          <t>air::urban air close to ground</t>
        </is>
      </c>
      <c r="F2710" t="inlineStr">
        <is>
          <t>biosphere</t>
        </is>
      </c>
      <c r="G2710" t="inlineStr">
        <is>
          <t>Electricity-only proxy: source amount / 0.33; 100% burden to electricity, before STEM efficiency adjustment.</t>
        </is>
      </c>
    </row>
    <row r="2711">
      <c r="A2711" t="inlineStr">
        <is>
          <t>Bromine</t>
        </is>
      </c>
      <c r="B2711">
        <v>3.0710173346929165e-08</v>
      </c>
      <c r="D2711" t="inlineStr">
        <is>
          <t>kilogram</t>
        </is>
      </c>
      <c r="E2711" t="inlineStr">
        <is>
          <t>air::urban air close to ground</t>
        </is>
      </c>
      <c r="F2711" t="inlineStr">
        <is>
          <t>biosphere</t>
        </is>
      </c>
      <c r="G2711" t="inlineStr">
        <is>
          <t>Electricity-only proxy: source amount / 0.33; 100% burden to electricity, before STEM efficiency adjustment.</t>
        </is>
      </c>
    </row>
    <row r="2712">
      <c r="A2712" t="inlineStr">
        <is>
          <t>Cadmium II</t>
        </is>
      </c>
      <c r="B2712">
        <v>3.635955761236175e-08</v>
      </c>
      <c r="D2712" t="inlineStr">
        <is>
          <t>kilogram</t>
        </is>
      </c>
      <c r="E2712" t="inlineStr">
        <is>
          <t>air::urban air close to ground</t>
        </is>
      </c>
      <c r="F2712" t="inlineStr">
        <is>
          <t>biosphere</t>
        </is>
      </c>
      <c r="G2712" t="inlineStr">
        <is>
          <t>Electricity-only proxy: source amount / 0.33; 100% burden to electricity, before STEM efficiency adjustment.</t>
        </is>
      </c>
    </row>
    <row r="2713">
      <c r="A2713" t="inlineStr">
        <is>
          <t>Carbon dioxide, fossil</t>
        </is>
      </c>
      <c r="B2713">
        <v>2.1735351792297437</v>
      </c>
      <c r="D2713" t="inlineStr">
        <is>
          <t>kilogram</t>
        </is>
      </c>
      <c r="E2713" t="inlineStr">
        <is>
          <t>air::urban air close to ground</t>
        </is>
      </c>
      <c r="F2713" t="inlineStr">
        <is>
          <t>biosphere</t>
        </is>
      </c>
      <c r="G2713" t="inlineStr">
        <is>
          <t>Electricity-only proxy: source amount / 0.33; 100% burden to electricity, before STEM efficiency adjustment.</t>
        </is>
      </c>
    </row>
    <row r="2714">
      <c r="A2714" t="inlineStr">
        <is>
          <t>Carbon monoxide, fossil</t>
        </is>
      </c>
      <c r="B2714">
        <v>2.4028237508824217e-05</v>
      </c>
      <c r="D2714" t="inlineStr">
        <is>
          <t>kilogram</t>
        </is>
      </c>
      <c r="E2714" t="inlineStr">
        <is>
          <t>air::urban air close to ground</t>
        </is>
      </c>
      <c r="F2714" t="inlineStr">
        <is>
          <t>biosphere</t>
        </is>
      </c>
      <c r="G2714" t="inlineStr">
        <is>
          <t>Electricity-only proxy: source amount / 0.33; 100% burden to electricity, before STEM efficiency adjustment.</t>
        </is>
      </c>
    </row>
    <row r="2715">
      <c r="A2715" t="inlineStr">
        <is>
          <t>Chromium III</t>
        </is>
      </c>
      <c r="B2715">
        <v>3.1341752294297585e-08</v>
      </c>
      <c r="D2715" t="inlineStr">
        <is>
          <t>kilogram</t>
        </is>
      </c>
      <c r="E2715" t="inlineStr">
        <is>
          <t>air::urban air close to ground</t>
        </is>
      </c>
      <c r="F2715" t="inlineStr">
        <is>
          <t>biosphere</t>
        </is>
      </c>
      <c r="G2715" t="inlineStr">
        <is>
          <t>Electricity-only proxy: source amount / 0.33; 100% burden to electricity, before STEM efficiency adjustment.</t>
        </is>
      </c>
    </row>
    <row r="2716">
      <c r="A2716" t="inlineStr">
        <is>
          <t>Cobalt II</t>
        </is>
      </c>
      <c r="B2716">
        <v>5.046042826888383e-08</v>
      </c>
      <c r="D2716" t="inlineStr">
        <is>
          <t>kilogram</t>
        </is>
      </c>
      <c r="E2716" t="inlineStr">
        <is>
          <t>air::urban air close to ground</t>
        </is>
      </c>
      <c r="F2716" t="inlineStr">
        <is>
          <t>biosphere</t>
        </is>
      </c>
      <c r="G2716" t="inlineStr">
        <is>
          <t>Electricity-only proxy: source amount / 0.33; 100% burden to electricity, before STEM efficiency adjustment.</t>
        </is>
      </c>
    </row>
    <row r="2717">
      <c r="A2717" t="inlineStr">
        <is>
          <t>Copper ion</t>
        </is>
      </c>
      <c r="B2717">
        <v>2.5553062985332183e-08</v>
      </c>
      <c r="D2717" t="inlineStr">
        <is>
          <t>kilogram</t>
        </is>
      </c>
      <c r="E2717" t="inlineStr">
        <is>
          <t>air::urban air close to ground</t>
        </is>
      </c>
      <c r="F2717" t="inlineStr">
        <is>
          <t>biosphere</t>
        </is>
      </c>
      <c r="G2717" t="inlineStr">
        <is>
          <t>Electricity-only proxy: source amount / 0.33; 100% burden to electricity, before STEM efficiency adjustment.</t>
        </is>
      </c>
    </row>
    <row r="2718">
      <c r="A2718" t="inlineStr">
        <is>
          <t>Cyanide</t>
        </is>
      </c>
      <c r="B2718">
        <v>1.843438701074594e-05</v>
      </c>
      <c r="D2718" t="inlineStr">
        <is>
          <t>kilogram</t>
        </is>
      </c>
      <c r="E2718" t="inlineStr">
        <is>
          <t>air::urban air close to ground</t>
        </is>
      </c>
      <c r="F2718" t="inlineStr">
        <is>
          <t>biosphere</t>
        </is>
      </c>
      <c r="G2718" t="inlineStr">
        <is>
          <t>Electricity-only proxy: source amount / 0.33; 100% burden to electricity, before STEM efficiency adjustment.</t>
        </is>
      </c>
    </row>
    <row r="2719">
      <c r="A2719" t="inlineStr">
        <is>
          <t>Dinitrogen monoxide</t>
        </is>
      </c>
      <c r="B2719">
        <v>8.580249431327945e-05</v>
      </c>
      <c r="D2719" t="inlineStr">
        <is>
          <t>kilogram</t>
        </is>
      </c>
      <c r="E2719" t="inlineStr">
        <is>
          <t>air::urban air close to ground</t>
        </is>
      </c>
      <c r="F2719" t="inlineStr">
        <is>
          <t>biosphere</t>
        </is>
      </c>
      <c r="G2719" t="inlineStr">
        <is>
          <t>Electricity-only proxy: source amount / 0.33; 100% burden to electricity, before STEM efficiency adjustment.</t>
        </is>
      </c>
    </row>
    <row r="2720">
      <c r="A2720" t="inlineStr">
        <is>
          <t>Dioxins, measured as 2,3,7,8-tetrachlorodibenzo-p-dioxin</t>
        </is>
      </c>
      <c r="B2720">
        <v>2.826857008392815e-14</v>
      </c>
      <c r="D2720" t="inlineStr">
        <is>
          <t>kilogram</t>
        </is>
      </c>
      <c r="E2720" t="inlineStr">
        <is>
          <t>air::urban air close to ground</t>
        </is>
      </c>
      <c r="F2720" t="inlineStr">
        <is>
          <t>biosphere</t>
        </is>
      </c>
      <c r="G2720" t="inlineStr">
        <is>
          <t>Electricity-only proxy: source amount / 0.33; 100% burden to electricity, before STEM efficiency adjustment.</t>
        </is>
      </c>
    </row>
    <row r="2721">
      <c r="A2721" t="inlineStr">
        <is>
          <t>Heat, waste</t>
        </is>
      </c>
      <c r="B2721">
        <v>23.318534787042122</v>
      </c>
      <c r="D2721" t="inlineStr">
        <is>
          <t>megajoule</t>
        </is>
      </c>
      <c r="E2721" t="inlineStr">
        <is>
          <t>air::urban air close to ground</t>
        </is>
      </c>
      <c r="F2721" t="inlineStr">
        <is>
          <t>biosphere</t>
        </is>
      </c>
      <c r="G2721" t="inlineStr">
        <is>
          <t>Electricity-only proxy: source amount / 0.33; 100% burden to electricity, before STEM efficiency adjustment.</t>
        </is>
      </c>
    </row>
    <row r="2722">
      <c r="A2722" t="inlineStr">
        <is>
          <t>Hydrochloric acid</t>
        </is>
      </c>
      <c r="B2722">
        <v>9.738175543179857e-06</v>
      </c>
      <c r="D2722" t="inlineStr">
        <is>
          <t>kilogram</t>
        </is>
      </c>
      <c r="E2722" t="inlineStr">
        <is>
          <t>air::urban air close to ground</t>
        </is>
      </c>
      <c r="F2722" t="inlineStr">
        <is>
          <t>biosphere</t>
        </is>
      </c>
      <c r="G2722" t="inlineStr">
        <is>
          <t>Electricity-only proxy: source amount / 0.33; 100% burden to electricity, before STEM efficiency adjustment.</t>
        </is>
      </c>
    </row>
    <row r="2723">
      <c r="A2723" t="inlineStr">
        <is>
          <t>Hydrogen fluoride</t>
        </is>
      </c>
      <c r="B2723">
        <v>8.71070672209585e-08</v>
      </c>
      <c r="D2723" t="inlineStr">
        <is>
          <t>kilogram</t>
        </is>
      </c>
      <c r="E2723" t="inlineStr">
        <is>
          <t>air::urban air close to ground</t>
        </is>
      </c>
      <c r="F2723" t="inlineStr">
        <is>
          <t>biosphere</t>
        </is>
      </c>
      <c r="G2723" t="inlineStr">
        <is>
          <t>Electricity-only proxy: source amount / 0.33; 100% burden to electricity, before STEM efficiency adjustment.</t>
        </is>
      </c>
    </row>
    <row r="2724">
      <c r="A2724" t="inlineStr">
        <is>
          <t>Iron ion</t>
        </is>
      </c>
      <c r="B2724">
        <v>5.864459957643736e-09</v>
      </c>
      <c r="D2724" t="inlineStr">
        <is>
          <t>kilogram</t>
        </is>
      </c>
      <c r="E2724" t="inlineStr">
        <is>
          <t>air::urban air close to ground</t>
        </is>
      </c>
      <c r="F2724" t="inlineStr">
        <is>
          <t>biosphere</t>
        </is>
      </c>
      <c r="G2724" t="inlineStr">
        <is>
          <t>Electricity-only proxy: source amount / 0.33; 100% burden to electricity, before STEM efficiency adjustment.</t>
        </is>
      </c>
    </row>
    <row r="2725">
      <c r="A2725" t="inlineStr">
        <is>
          <t>Lead II</t>
        </is>
      </c>
      <c r="B2725">
        <v>3.3794650560828297e-08</v>
      </c>
      <c r="D2725" t="inlineStr">
        <is>
          <t>kilogram</t>
        </is>
      </c>
      <c r="E2725" t="inlineStr">
        <is>
          <t>air::urban air close to ground</t>
        </is>
      </c>
      <c r="F2725" t="inlineStr">
        <is>
          <t>biosphere</t>
        </is>
      </c>
      <c r="G2725" t="inlineStr">
        <is>
          <t>Electricity-only proxy: source amount / 0.33; 100% burden to electricity, before STEM efficiency adjustment.</t>
        </is>
      </c>
    </row>
    <row r="2726">
      <c r="A2726" t="inlineStr">
        <is>
          <t>Manganese II</t>
        </is>
      </c>
      <c r="B2726">
        <v>1.3405286689152087e-08</v>
      </c>
      <c r="D2726" t="inlineStr">
        <is>
          <t>kilogram</t>
        </is>
      </c>
      <c r="E2726" t="inlineStr">
        <is>
          <t>air::urban air close to ground</t>
        </is>
      </c>
      <c r="F2726" t="inlineStr">
        <is>
          <t>biosphere</t>
        </is>
      </c>
      <c r="G2726" t="inlineStr">
        <is>
          <t>Electricity-only proxy: source amount / 0.33; 100% burden to electricity, before STEM efficiency adjustment.</t>
        </is>
      </c>
    </row>
    <row r="2727">
      <c r="A2727" t="inlineStr">
        <is>
          <t>Mercury II</t>
        </is>
      </c>
      <c r="B2727">
        <v>2.1146129108165344e-08</v>
      </c>
      <c r="D2727" t="inlineStr">
        <is>
          <t>kilogram</t>
        </is>
      </c>
      <c r="E2727" t="inlineStr">
        <is>
          <t>air::urban air close to ground</t>
        </is>
      </c>
      <c r="F2727" t="inlineStr">
        <is>
          <t>biosphere</t>
        </is>
      </c>
      <c r="G2727" t="inlineStr">
        <is>
          <t>Electricity-only proxy: source amount / 0.33; 100% burden to electricity, before STEM efficiency adjustment.</t>
        </is>
      </c>
    </row>
    <row r="2728">
      <c r="A2728" t="inlineStr">
        <is>
          <t>Methane, fossil</t>
        </is>
      </c>
      <c r="B2728">
        <v>2.1202604125813786e-07</v>
      </c>
      <c r="D2728" t="inlineStr">
        <is>
          <t>kilogram</t>
        </is>
      </c>
      <c r="E2728" t="inlineStr">
        <is>
          <t>air::urban air close to ground</t>
        </is>
      </c>
      <c r="F2728" t="inlineStr">
        <is>
          <t>biosphere</t>
        </is>
      </c>
      <c r="G2728" t="inlineStr">
        <is>
          <t>Electricity-only proxy: source amount / 0.33; 100% burden to electricity, before STEM efficiency adjustment.</t>
        </is>
      </c>
    </row>
    <row r="2729">
      <c r="A2729" t="inlineStr">
        <is>
          <t>NMVOC, non-methane volatile organic compounds</t>
        </is>
      </c>
      <c r="B2729">
        <v>6.432881010275315e-07</v>
      </c>
      <c r="D2729" t="inlineStr">
        <is>
          <t>kilogram</t>
        </is>
      </c>
      <c r="E2729" t="inlineStr">
        <is>
          <t>air::urban air close to ground</t>
        </is>
      </c>
      <c r="F2729" t="inlineStr">
        <is>
          <t>biosphere</t>
        </is>
      </c>
      <c r="G2729" t="inlineStr">
        <is>
          <t>Electricity-only proxy: source amount / 0.33; 100% burden to electricity, before STEM efficiency adjustment.</t>
        </is>
      </c>
    </row>
    <row r="2730">
      <c r="A2730" t="inlineStr">
        <is>
          <t>Nickel II</t>
        </is>
      </c>
      <c r="B2730">
        <v>2.272837085261589e-08</v>
      </c>
      <c r="D2730" t="inlineStr">
        <is>
          <t>kilogram</t>
        </is>
      </c>
      <c r="E2730" t="inlineStr">
        <is>
          <t>air::urban air close to ground</t>
        </is>
      </c>
      <c r="F2730" t="inlineStr">
        <is>
          <t>biosphere</t>
        </is>
      </c>
      <c r="G2730" t="inlineStr">
        <is>
          <t>Electricity-only proxy: source amount / 0.33; 100% burden to electricity, before STEM efficiency adjustment.</t>
        </is>
      </c>
    </row>
    <row r="2731">
      <c r="A2731" t="inlineStr">
        <is>
          <t>Nitrogen oxides</t>
        </is>
      </c>
      <c r="B2731">
        <v>0.0005158051611891128</v>
      </c>
      <c r="D2731" t="inlineStr">
        <is>
          <t>kilogram</t>
        </is>
      </c>
      <c r="E2731" t="inlineStr">
        <is>
          <t>air::urban air close to ground</t>
        </is>
      </c>
      <c r="F2731" t="inlineStr">
        <is>
          <t>biosphere</t>
        </is>
      </c>
      <c r="G2731" t="inlineStr">
        <is>
          <t>Electricity-only proxy: source amount / 0.33; 100% burden to electricity, before STEM efficiency adjustment.</t>
        </is>
      </c>
    </row>
    <row r="2732">
      <c r="A2732" t="inlineStr">
        <is>
          <t>Particulate Matter, &lt; 2.5 um</t>
        </is>
      </c>
      <c r="B2732">
        <v>1.6876617773943054e-06</v>
      </c>
      <c r="D2732" t="inlineStr">
        <is>
          <t>kilogram</t>
        </is>
      </c>
      <c r="E2732" t="inlineStr">
        <is>
          <t>air::urban air close to ground</t>
        </is>
      </c>
      <c r="F2732" t="inlineStr">
        <is>
          <t>biosphere</t>
        </is>
      </c>
      <c r="G2732" t="inlineStr">
        <is>
          <t>Electricity-only proxy: source amount / 0.33; 100% burden to electricity, before STEM efficiency adjustment.</t>
        </is>
      </c>
    </row>
    <row r="2733">
      <c r="A2733" t="inlineStr">
        <is>
          <t>Particulate Matter, &gt; 2.5 um and &lt; 10um</t>
        </is>
      </c>
      <c r="B2733">
        <v>8.48047690014903e-09</v>
      </c>
      <c r="D2733" t="inlineStr">
        <is>
          <t>kilogram</t>
        </is>
      </c>
      <c r="E2733" t="inlineStr">
        <is>
          <t>air::urban air close to ground</t>
        </is>
      </c>
      <c r="F2733" t="inlineStr">
        <is>
          <t>biosphere</t>
        </is>
      </c>
      <c r="G2733" t="inlineStr">
        <is>
          <t>Electricity-only proxy: source amount / 0.33; 100% burden to electricity, before STEM efficiency adjustment.</t>
        </is>
      </c>
    </row>
    <row r="2734">
      <c r="A2734" t="inlineStr">
        <is>
          <t>Phenol, pentachloro-</t>
        </is>
      </c>
      <c r="B2734">
        <v>6.155682798650874e-12</v>
      </c>
      <c r="D2734" t="inlineStr">
        <is>
          <t>kilogram</t>
        </is>
      </c>
      <c r="E2734" t="inlineStr">
        <is>
          <t>air::urban air close to ground</t>
        </is>
      </c>
      <c r="F2734" t="inlineStr">
        <is>
          <t>biosphere</t>
        </is>
      </c>
      <c r="G2734" t="inlineStr">
        <is>
          <t>Electricity-only proxy: source amount / 0.33; 100% burden to electricity, before STEM efficiency adjustment.</t>
        </is>
      </c>
    </row>
    <row r="2735">
      <c r="A2735" t="inlineStr">
        <is>
          <t>Selenium IV</t>
        </is>
      </c>
      <c r="B2735">
        <v>2.200360812612754e-08</v>
      </c>
      <c r="D2735" t="inlineStr">
        <is>
          <t>kilogram</t>
        </is>
      </c>
      <c r="E2735" t="inlineStr">
        <is>
          <t>air::urban air close to ground</t>
        </is>
      </c>
      <c r="F2735" t="inlineStr">
        <is>
          <t>biosphere</t>
        </is>
      </c>
      <c r="G2735" t="inlineStr">
        <is>
          <t>Electricity-only proxy: source amount / 0.33; 100% burden to electricity, before STEM efficiency adjustment.</t>
        </is>
      </c>
    </row>
    <row r="2736">
      <c r="A2736" t="inlineStr">
        <is>
          <t>Sodium</t>
        </is>
      </c>
      <c r="B2736">
        <v>1.0567417052317828e-05</v>
      </c>
      <c r="D2736" t="inlineStr">
        <is>
          <t>kilogram</t>
        </is>
      </c>
      <c r="E2736" t="inlineStr">
        <is>
          <t>air::urban air close to ground</t>
        </is>
      </c>
      <c r="F2736" t="inlineStr">
        <is>
          <t>biosphere</t>
        </is>
      </c>
      <c r="G2736" t="inlineStr">
        <is>
          <t>Electricity-only proxy: source amount / 0.33; 100% burden to electricity, before STEM efficiency adjustment.</t>
        </is>
      </c>
    </row>
    <row r="2737">
      <c r="A2737" t="inlineStr">
        <is>
          <t>Strontium</t>
        </is>
      </c>
      <c r="B2737">
        <v>7.773033179072867e-09</v>
      </c>
      <c r="D2737" t="inlineStr">
        <is>
          <t>kilogram</t>
        </is>
      </c>
      <c r="E2737" t="inlineStr">
        <is>
          <t>air::urban air close to ground</t>
        </is>
      </c>
      <c r="F2737" t="inlineStr">
        <is>
          <t>biosphere</t>
        </is>
      </c>
      <c r="G2737" t="inlineStr">
        <is>
          <t>Electricity-only proxy: source amount / 0.33; 100% burden to electricity, before STEM efficiency adjustment.</t>
        </is>
      </c>
    </row>
    <row r="2738">
      <c r="A2738" t="inlineStr">
        <is>
          <t>Sulfur dioxide</t>
        </is>
      </c>
      <c r="B2738">
        <v>1.4081104400345126e-05</v>
      </c>
      <c r="D2738" t="inlineStr">
        <is>
          <t>kilogram</t>
        </is>
      </c>
      <c r="E2738" t="inlineStr">
        <is>
          <t>air::urban air close to ground</t>
        </is>
      </c>
      <c r="F2738" t="inlineStr">
        <is>
          <t>biosphere</t>
        </is>
      </c>
      <c r="G2738" t="inlineStr">
        <is>
          <t>Electricity-only proxy: source amount / 0.33; 100% burden to electricity, before STEM efficiency adjustment.</t>
        </is>
      </c>
    </row>
    <row r="2739">
      <c r="A2739" t="inlineStr">
        <is>
          <t>Thallium I</t>
        </is>
      </c>
      <c r="B2739">
        <v>3.5132167228802255e-10</v>
      </c>
      <c r="D2739" t="inlineStr">
        <is>
          <t>kilogram</t>
        </is>
      </c>
      <c r="E2739" t="inlineStr">
        <is>
          <t>air::urban air close to ground</t>
        </is>
      </c>
      <c r="F2739" t="inlineStr">
        <is>
          <t>biosphere</t>
        </is>
      </c>
      <c r="G2739" t="inlineStr">
        <is>
          <t>Electricity-only proxy: source amount / 0.33; 100% burden to electricity, before STEM efficiency adjustment.</t>
        </is>
      </c>
    </row>
    <row r="2740">
      <c r="A2740" t="inlineStr">
        <is>
          <t>Tin ion</t>
        </is>
      </c>
      <c r="B2740">
        <v>1.503459094830967e-11</v>
      </c>
      <c r="D2740" t="inlineStr">
        <is>
          <t>kilogram</t>
        </is>
      </c>
      <c r="E2740" t="inlineStr">
        <is>
          <t>air::urban air close to ground</t>
        </is>
      </c>
      <c r="F2740" t="inlineStr">
        <is>
          <t>biosphere</t>
        </is>
      </c>
      <c r="G2740" t="inlineStr">
        <is>
          <t>Electricity-only proxy: source amount / 0.33; 100% burden to electricity, before STEM efficiency adjustment.</t>
        </is>
      </c>
    </row>
    <row r="2741">
      <c r="A2741" t="inlineStr">
        <is>
          <t>Titanium ion</t>
        </is>
      </c>
      <c r="B2741">
        <v>7.286877402149186e-07</v>
      </c>
      <c r="D2741" t="inlineStr">
        <is>
          <t>kilogram</t>
        </is>
      </c>
      <c r="E2741" t="inlineStr">
        <is>
          <t>air::urban air close to ground</t>
        </is>
      </c>
      <c r="F2741" t="inlineStr">
        <is>
          <t>biosphere</t>
        </is>
      </c>
      <c r="G2741" t="inlineStr">
        <is>
          <t>Electricity-only proxy: source amount / 0.33; 100% burden to electricity, before STEM efficiency adjustment.</t>
        </is>
      </c>
    </row>
    <row r="2742">
      <c r="A2742" t="inlineStr">
        <is>
          <t>Toluene</t>
        </is>
      </c>
      <c r="B2742">
        <v>2.827045258451643e-08</v>
      </c>
      <c r="D2742" t="inlineStr">
        <is>
          <t>kilogram</t>
        </is>
      </c>
      <c r="E2742" t="inlineStr">
        <is>
          <t>air::urban air close to ground</t>
        </is>
      </c>
      <c r="F2742" t="inlineStr">
        <is>
          <t>biosphere</t>
        </is>
      </c>
      <c r="G2742" t="inlineStr">
        <is>
          <t>Electricity-only proxy: source amount / 0.33; 100% burden to electricity, before STEM efficiency adjustment.</t>
        </is>
      </c>
    </row>
    <row r="2743">
      <c r="A2743" t="inlineStr">
        <is>
          <t>Vanadium V</t>
        </is>
      </c>
      <c r="B2743">
        <v>5.367668052396266e-06</v>
      </c>
      <c r="D2743" t="inlineStr">
        <is>
          <t>kilogram</t>
        </is>
      </c>
      <c r="E2743" t="inlineStr">
        <is>
          <t>air::urban air close to ground</t>
        </is>
      </c>
      <c r="F2743" t="inlineStr">
        <is>
          <t>biosphere</t>
        </is>
      </c>
      <c r="G2743" t="inlineStr">
        <is>
          <t>Electricity-only proxy: source amount / 0.33; 100% burden to electricity, before STEM efficiency adjustment.</t>
        </is>
      </c>
    </row>
    <row r="2744">
      <c r="A2744" t="inlineStr">
        <is>
          <t>Water</t>
        </is>
      </c>
      <c r="B2744">
        <v>0.003213892540591419</v>
      </c>
      <c r="D2744" t="inlineStr">
        <is>
          <t>cubic meter</t>
        </is>
      </c>
      <c r="E2744" t="inlineStr">
        <is>
          <t>air::urban air close to ground</t>
        </is>
      </c>
      <c r="F2744" t="inlineStr">
        <is>
          <t>biosphere</t>
        </is>
      </c>
      <c r="G2744" t="inlineStr">
        <is>
          <t>Electricity-only proxy: source amount / 0.33; 100% burden to electricity, before STEM efficiency adjustment.</t>
        </is>
      </c>
    </row>
    <row r="2745">
      <c r="A2745" t="inlineStr">
        <is>
          <t>Zinc II</t>
        </is>
      </c>
      <c r="B2745">
        <v>3.291269903521844e-07</v>
      </c>
      <c r="D2745" t="inlineStr">
        <is>
          <t>kilogram</t>
        </is>
      </c>
      <c r="E2745" t="inlineStr">
        <is>
          <t>air::urban air close to ground</t>
        </is>
      </c>
      <c r="F2745" t="inlineStr">
        <is>
          <t>biosphere</t>
        </is>
      </c>
      <c r="G2745" t="inlineStr">
        <is>
          <t>Electricity-only proxy: source amount / 0.33; 100% burden to electricity, before STEM efficiency adjustment.</t>
        </is>
      </c>
    </row>
    <row r="2746">
      <c r="A2746" t="inlineStr">
        <is>
          <t>Aluminium III</t>
        </is>
      </c>
      <c r="B2746">
        <v>0.0001637210761628363</v>
      </c>
      <c r="D2746" t="inlineStr">
        <is>
          <t>kilogram</t>
        </is>
      </c>
      <c r="E2746" t="inlineStr">
        <is>
          <t>water::ground-, long-term</t>
        </is>
      </c>
      <c r="F2746" t="inlineStr">
        <is>
          <t>biosphere</t>
        </is>
      </c>
      <c r="G2746" t="inlineStr">
        <is>
          <t>Electricity-only proxy: source amount / 0.33; 100% burden to electricity, before STEM efficiency adjustment.</t>
        </is>
      </c>
    </row>
    <row r="2747">
      <c r="A2747" t="inlineStr">
        <is>
          <t>Aluminium III</t>
        </is>
      </c>
      <c r="B2747">
        <v>5.998117499411718e-08</v>
      </c>
      <c r="D2747" t="inlineStr">
        <is>
          <t>kilogram</t>
        </is>
      </c>
      <c r="E2747" t="inlineStr">
        <is>
          <t>water::surface water</t>
        </is>
      </c>
      <c r="F2747" t="inlineStr">
        <is>
          <t>biosphere</t>
        </is>
      </c>
      <c r="G2747" t="inlineStr">
        <is>
          <t>Electricity-only proxy: source amount / 0.33; 100% burden to electricity, before STEM efficiency adjustment.</t>
        </is>
      </c>
    </row>
    <row r="2748">
      <c r="A2748" t="inlineStr">
        <is>
          <t>Antimony ion</t>
        </is>
      </c>
      <c r="B2748">
        <v>1.5313201035375322e-05</v>
      </c>
      <c r="D2748" t="inlineStr">
        <is>
          <t>kilogram</t>
        </is>
      </c>
      <c r="E2748" t="inlineStr">
        <is>
          <t>water::ground-, long-term</t>
        </is>
      </c>
      <c r="F2748" t="inlineStr">
        <is>
          <t>biosphere</t>
        </is>
      </c>
      <c r="G2748" t="inlineStr">
        <is>
          <t>Electricity-only proxy: source amount / 0.33; 100% burden to electricity, before STEM efficiency adjustment.</t>
        </is>
      </c>
    </row>
    <row r="2749">
      <c r="A2749" t="inlineStr">
        <is>
          <t>Antimony ion</t>
        </is>
      </c>
      <c r="B2749">
        <v>7.416769942740607e-06</v>
      </c>
      <c r="D2749" t="inlineStr">
        <is>
          <t>kilogram</t>
        </is>
      </c>
      <c r="E2749" t="inlineStr">
        <is>
          <t>water::surface water</t>
        </is>
      </c>
      <c r="F2749" t="inlineStr">
        <is>
          <t>biosphere</t>
        </is>
      </c>
      <c r="G2749" t="inlineStr">
        <is>
          <t>Electricity-only proxy: source amount / 0.33; 100% burden to electricity, before STEM efficiency adjustment.</t>
        </is>
      </c>
    </row>
    <row r="2750">
      <c r="A2750" t="inlineStr">
        <is>
          <t>Arsenic ion</t>
        </is>
      </c>
      <c r="B2750">
        <v>1.017397442936701e-06</v>
      </c>
      <c r="D2750" t="inlineStr">
        <is>
          <t>kilogram</t>
        </is>
      </c>
      <c r="E2750" t="inlineStr">
        <is>
          <t>water::ground-, long-term</t>
        </is>
      </c>
      <c r="F2750" t="inlineStr">
        <is>
          <t>biosphere</t>
        </is>
      </c>
      <c r="G2750" t="inlineStr">
        <is>
          <t>Electricity-only proxy: source amount / 0.33; 100% burden to electricity, before STEM efficiency adjustment.</t>
        </is>
      </c>
    </row>
    <row r="2751">
      <c r="A2751" t="inlineStr">
        <is>
          <t>Arsenic ion</t>
        </is>
      </c>
      <c r="B2751">
        <v>6.52521766413052e-07</v>
      </c>
      <c r="D2751" t="inlineStr">
        <is>
          <t>kilogram</t>
        </is>
      </c>
      <c r="E2751" t="inlineStr">
        <is>
          <t>water::surface water</t>
        </is>
      </c>
      <c r="F2751" t="inlineStr">
        <is>
          <t>biosphere</t>
        </is>
      </c>
      <c r="G2751" t="inlineStr">
        <is>
          <t>Electricity-only proxy: source amount / 0.33; 100% burden to electricity, before STEM efficiency adjustment.</t>
        </is>
      </c>
    </row>
    <row r="2752">
      <c r="A2752" t="inlineStr">
        <is>
          <t>BOD5, Biological Oxygen Demand</t>
        </is>
      </c>
      <c r="B2752">
        <v>0.001445572201741313</v>
      </c>
      <c r="D2752" t="inlineStr">
        <is>
          <t>kilogram</t>
        </is>
      </c>
      <c r="E2752" t="inlineStr">
        <is>
          <t>water::ground-, long-term</t>
        </is>
      </c>
      <c r="F2752" t="inlineStr">
        <is>
          <t>biosphere</t>
        </is>
      </c>
      <c r="G2752" t="inlineStr">
        <is>
          <t>Electricity-only proxy: source amount / 0.33; 100% burden to electricity, before STEM efficiency adjustment.</t>
        </is>
      </c>
    </row>
    <row r="2753">
      <c r="A2753" t="inlineStr">
        <is>
          <t>BOD5, Biological Oxygen Demand</t>
        </is>
      </c>
      <c r="B2753">
        <v>0.00044366773864616823</v>
      </c>
      <c r="D2753" t="inlineStr">
        <is>
          <t>kilogram</t>
        </is>
      </c>
      <c r="E2753" t="inlineStr">
        <is>
          <t>water::surface water</t>
        </is>
      </c>
      <c r="F2753" t="inlineStr">
        <is>
          <t>biosphere</t>
        </is>
      </c>
      <c r="G2753" t="inlineStr">
        <is>
          <t>Electricity-only proxy: source amount / 0.33; 100% burden to electricity, before STEM efficiency adjustment.</t>
        </is>
      </c>
    </row>
    <row r="2754">
      <c r="A2754" t="inlineStr">
        <is>
          <t>Barium II</t>
        </is>
      </c>
      <c r="B2754">
        <v>0.00011967056239705073</v>
      </c>
      <c r="D2754" t="inlineStr">
        <is>
          <t>kilogram</t>
        </is>
      </c>
      <c r="E2754" t="inlineStr">
        <is>
          <t>water::ground-, long-term</t>
        </is>
      </c>
      <c r="F2754" t="inlineStr">
        <is>
          <t>biosphere</t>
        </is>
      </c>
      <c r="G2754" t="inlineStr">
        <is>
          <t>Electricity-only proxy: source amount / 0.33; 100% burden to electricity, before STEM efficiency adjustment.</t>
        </is>
      </c>
    </row>
    <row r="2755">
      <c r="A2755" t="inlineStr">
        <is>
          <t>Barium II</t>
        </is>
      </c>
      <c r="B2755">
        <v>6.950192171935054e-08</v>
      </c>
      <c r="D2755" t="inlineStr">
        <is>
          <t>kilogram</t>
        </is>
      </c>
      <c r="E2755" t="inlineStr">
        <is>
          <t>water::surface water</t>
        </is>
      </c>
      <c r="F2755" t="inlineStr">
        <is>
          <t>biosphere</t>
        </is>
      </c>
      <c r="G2755" t="inlineStr">
        <is>
          <t>Electricity-only proxy: source amount / 0.33; 100% burden to electricity, before STEM efficiency adjustment.</t>
        </is>
      </c>
    </row>
    <row r="2756">
      <c r="A2756" t="inlineStr">
        <is>
          <t>Beryllium II</t>
        </is>
      </c>
      <c r="B2756">
        <v>4.121358537924543e-07</v>
      </c>
      <c r="D2756" t="inlineStr">
        <is>
          <t>kilogram</t>
        </is>
      </c>
      <c r="E2756" t="inlineStr">
        <is>
          <t>water::ground-, long-term</t>
        </is>
      </c>
      <c r="F2756" t="inlineStr">
        <is>
          <t>biosphere</t>
        </is>
      </c>
      <c r="G2756" t="inlineStr">
        <is>
          <t>Electricity-only proxy: source amount / 0.33; 100% burden to electricity, before STEM efficiency adjustment.</t>
        </is>
      </c>
    </row>
    <row r="2757">
      <c r="A2757" t="inlineStr">
        <is>
          <t>Beryllium II</t>
        </is>
      </c>
      <c r="B2757">
        <v>2.7330143540669856e-10</v>
      </c>
      <c r="D2757" t="inlineStr">
        <is>
          <t>kilogram</t>
        </is>
      </c>
      <c r="E2757" t="inlineStr">
        <is>
          <t>water::surface water</t>
        </is>
      </c>
      <c r="F2757" t="inlineStr">
        <is>
          <t>biosphere</t>
        </is>
      </c>
      <c r="G2757" t="inlineStr">
        <is>
          <t>Electricity-only proxy: source amount / 0.33; 100% burden to electricity, before STEM efficiency adjustment.</t>
        </is>
      </c>
    </row>
    <row r="2758">
      <c r="A2758" t="inlineStr">
        <is>
          <t>Bromine</t>
        </is>
      </c>
      <c r="B2758">
        <v>3.1871676209898813e-06</v>
      </c>
      <c r="D2758" t="inlineStr">
        <is>
          <t>kilogram</t>
        </is>
      </c>
      <c r="E2758" t="inlineStr">
        <is>
          <t>water::ground-, long-term</t>
        </is>
      </c>
      <c r="F2758" t="inlineStr">
        <is>
          <t>biosphere</t>
        </is>
      </c>
      <c r="G2758" t="inlineStr">
        <is>
          <t>Electricity-only proxy: source amount / 0.33; 100% burden to electricity, before STEM efficiency adjustment.</t>
        </is>
      </c>
    </row>
    <row r="2759">
      <c r="A2759" t="inlineStr">
        <is>
          <t>Bromine</t>
        </is>
      </c>
      <c r="B2759">
        <v>5.704918032786885e-05</v>
      </c>
      <c r="D2759" t="inlineStr">
        <is>
          <t>kilogram</t>
        </is>
      </c>
      <c r="E2759" t="inlineStr">
        <is>
          <t>water::surface water</t>
        </is>
      </c>
      <c r="F2759" t="inlineStr">
        <is>
          <t>biosphere</t>
        </is>
      </c>
      <c r="G2759" t="inlineStr">
        <is>
          <t>Electricity-only proxy: source amount / 0.33; 100% burden to electricity, before STEM efficiency adjustment.</t>
        </is>
      </c>
    </row>
    <row r="2760">
      <c r="A2760" t="inlineStr">
        <is>
          <t>COD, Chemical Oxygen Demand</t>
        </is>
      </c>
      <c r="B2760">
        <v>0.004419358381049494</v>
      </c>
      <c r="D2760" t="inlineStr">
        <is>
          <t>kilogram</t>
        </is>
      </c>
      <c r="E2760" t="inlineStr">
        <is>
          <t>water::ground-, long-term</t>
        </is>
      </c>
      <c r="F2760" t="inlineStr">
        <is>
          <t>biosphere</t>
        </is>
      </c>
      <c r="G2760" t="inlineStr">
        <is>
          <t>Electricity-only proxy: source amount / 0.33; 100% burden to electricity, before STEM efficiency adjustment.</t>
        </is>
      </c>
    </row>
    <row r="2761">
      <c r="A2761" t="inlineStr">
        <is>
          <t>COD, Chemical Oxygen Demand</t>
        </is>
      </c>
      <c r="B2761">
        <v>0.0004533720291787591</v>
      </c>
      <c r="D2761" t="inlineStr">
        <is>
          <t>kilogram</t>
        </is>
      </c>
      <c r="E2761" t="inlineStr">
        <is>
          <t>water::surface water</t>
        </is>
      </c>
      <c r="F2761" t="inlineStr">
        <is>
          <t>biosphere</t>
        </is>
      </c>
      <c r="G2761" t="inlineStr">
        <is>
          <t>Electricity-only proxy: source amount / 0.33; 100% burden to electricity, before STEM efficiency adjustment.</t>
        </is>
      </c>
    </row>
    <row r="2762">
      <c r="A2762" t="inlineStr">
        <is>
          <t>Cadmium II</t>
        </is>
      </c>
      <c r="B2762">
        <v>1.1437132324103849e-05</v>
      </c>
      <c r="D2762" t="inlineStr">
        <is>
          <t>kilogram</t>
        </is>
      </c>
      <c r="E2762" t="inlineStr">
        <is>
          <t>water::ground-, long-term</t>
        </is>
      </c>
      <c r="F2762" t="inlineStr">
        <is>
          <t>biosphere</t>
        </is>
      </c>
      <c r="G2762" t="inlineStr">
        <is>
          <t>Electricity-only proxy: source amount / 0.33; 100% burden to electricity, before STEM efficiency adjustment.</t>
        </is>
      </c>
    </row>
    <row r="2763">
      <c r="A2763" t="inlineStr">
        <is>
          <t>Cadmium II</t>
        </is>
      </c>
      <c r="B2763">
        <v>1.2678641462075455e-08</v>
      </c>
      <c r="D2763" t="inlineStr">
        <is>
          <t>kilogram</t>
        </is>
      </c>
      <c r="E2763" t="inlineStr">
        <is>
          <t>water::surface water</t>
        </is>
      </c>
      <c r="F2763" t="inlineStr">
        <is>
          <t>biosphere</t>
        </is>
      </c>
      <c r="G2763" t="inlineStr">
        <is>
          <t>Electricity-only proxy: source amount / 0.33; 100% burden to electricity, before STEM efficiency adjustment.</t>
        </is>
      </c>
    </row>
    <row r="2764">
      <c r="A2764" t="inlineStr">
        <is>
          <t>Calcium II</t>
        </is>
      </c>
      <c r="B2764">
        <v>0.00013483410463565769</v>
      </c>
      <c r="D2764" t="inlineStr">
        <is>
          <t>kilogram</t>
        </is>
      </c>
      <c r="E2764" t="inlineStr">
        <is>
          <t>water::ground-, long-term</t>
        </is>
      </c>
      <c r="F2764" t="inlineStr">
        <is>
          <t>biosphere</t>
        </is>
      </c>
      <c r="G2764" t="inlineStr">
        <is>
          <t>Electricity-only proxy: source amount / 0.33; 100% burden to electricity, before STEM efficiency adjustment.</t>
        </is>
      </c>
    </row>
    <row r="2765">
      <c r="A2765" t="inlineStr">
        <is>
          <t>Calcium II</t>
        </is>
      </c>
      <c r="B2765">
        <v>2.2509059534081104e-07</v>
      </c>
      <c r="D2765" t="inlineStr">
        <is>
          <t>kilogram</t>
        </is>
      </c>
      <c r="E2765" t="inlineStr">
        <is>
          <t>water::surface water</t>
        </is>
      </c>
      <c r="F2765" t="inlineStr">
        <is>
          <t>biosphere</t>
        </is>
      </c>
      <c r="G2765" t="inlineStr">
        <is>
          <t>Electricity-only proxy: source amount / 0.33; 100% burden to electricity, before STEM efficiency adjustment.</t>
        </is>
      </c>
    </row>
    <row r="2766">
      <c r="A2766" t="inlineStr">
        <is>
          <t>Chloride</t>
        </is>
      </c>
      <c r="B2766">
        <v>0.0021496274217585693</v>
      </c>
      <c r="D2766" t="inlineStr">
        <is>
          <t>kilogram</t>
        </is>
      </c>
      <c r="E2766" t="inlineStr">
        <is>
          <t>water::ground-, long-term</t>
        </is>
      </c>
      <c r="F2766" t="inlineStr">
        <is>
          <t>biosphere</t>
        </is>
      </c>
      <c r="G2766" t="inlineStr">
        <is>
          <t>Electricity-only proxy: source amount / 0.33; 100% burden to electricity, before STEM efficiency adjustment.</t>
        </is>
      </c>
    </row>
    <row r="2767">
      <c r="A2767" t="inlineStr">
        <is>
          <t>Chloride</t>
        </is>
      </c>
      <c r="B2767">
        <v>0.01449525452976704</v>
      </c>
      <c r="D2767" t="inlineStr">
        <is>
          <t>kilogram</t>
        </is>
      </c>
      <c r="E2767" t="inlineStr">
        <is>
          <t>water::surface water</t>
        </is>
      </c>
      <c r="F2767" t="inlineStr">
        <is>
          <t>biosphere</t>
        </is>
      </c>
      <c r="G2767" t="inlineStr">
        <is>
          <t>Electricity-only proxy: source amount / 0.33; 100% burden to electricity, before STEM efficiency adjustment.</t>
        </is>
      </c>
    </row>
    <row r="2768">
      <c r="A2768" t="inlineStr">
        <is>
          <t>Chromium III</t>
        </is>
      </c>
      <c r="B2768">
        <v>4.659659581143619e-09</v>
      </c>
      <c r="D2768" t="inlineStr">
        <is>
          <t>kilogram</t>
        </is>
      </c>
      <c r="E2768" t="inlineStr">
        <is>
          <t>water::surface water</t>
        </is>
      </c>
      <c r="F2768" t="inlineStr">
        <is>
          <t>biosphere</t>
        </is>
      </c>
      <c r="G2768" t="inlineStr">
        <is>
          <t>Electricity-only proxy: source amount / 0.33; 100% burden to electricity, before STEM efficiency adjustment.</t>
        </is>
      </c>
    </row>
    <row r="2769">
      <c r="A2769" t="inlineStr">
        <is>
          <t>Chromium VI</t>
        </is>
      </c>
      <c r="B2769">
        <v>1.8976547180170994e-06</v>
      </c>
      <c r="D2769" t="inlineStr">
        <is>
          <t>kilogram</t>
        </is>
      </c>
      <c r="E2769" t="inlineStr">
        <is>
          <t>water::ground-, long-term</t>
        </is>
      </c>
      <c r="F2769" t="inlineStr">
        <is>
          <t>biosphere</t>
        </is>
      </c>
      <c r="G2769" t="inlineStr">
        <is>
          <t>Electricity-only proxy: source amount / 0.33; 100% burden to electricity, before STEM efficiency adjustment.</t>
        </is>
      </c>
    </row>
    <row r="2770">
      <c r="A2770" t="inlineStr">
        <is>
          <t>Chromium VI</t>
        </is>
      </c>
      <c r="B2770">
        <v>5.461604831751509e-07</v>
      </c>
      <c r="D2770" t="inlineStr">
        <is>
          <t>kilogram</t>
        </is>
      </c>
      <c r="E2770" t="inlineStr">
        <is>
          <t>water::surface water</t>
        </is>
      </c>
      <c r="F2770" t="inlineStr">
        <is>
          <t>biosphere</t>
        </is>
      </c>
      <c r="G2770" t="inlineStr">
        <is>
          <t>Electricity-only proxy: source amount / 0.33; 100% burden to electricity, before STEM efficiency adjustment.</t>
        </is>
      </c>
    </row>
    <row r="2771">
      <c r="A2771" t="inlineStr">
        <is>
          <t>Cobalt II</t>
        </is>
      </c>
      <c r="B2771">
        <v>2.4272021335006662e-05</v>
      </c>
      <c r="D2771" t="inlineStr">
        <is>
          <t>kilogram</t>
        </is>
      </c>
      <c r="E2771" t="inlineStr">
        <is>
          <t>water::ground-, long-term</t>
        </is>
      </c>
      <c r="F2771" t="inlineStr">
        <is>
          <t>biosphere</t>
        </is>
      </c>
      <c r="G2771" t="inlineStr">
        <is>
          <t>Electricity-only proxy: source amount / 0.33; 100% burden to electricity, before STEM efficiency adjustment.</t>
        </is>
      </c>
    </row>
    <row r="2772">
      <c r="A2772" t="inlineStr">
        <is>
          <t>Cobalt II</t>
        </is>
      </c>
      <c r="B2772">
        <v>4.569958428112008e-09</v>
      </c>
      <c r="D2772" t="inlineStr">
        <is>
          <t>kilogram</t>
        </is>
      </c>
      <c r="E2772" t="inlineStr">
        <is>
          <t>water::surface water</t>
        </is>
      </c>
      <c r="F2772" t="inlineStr">
        <is>
          <t>biosphere</t>
        </is>
      </c>
      <c r="G2772" t="inlineStr">
        <is>
          <t>Electricity-only proxy: source amount / 0.33; 100% burden to electricity, before STEM efficiency adjustment.</t>
        </is>
      </c>
    </row>
    <row r="2773">
      <c r="A2773" t="inlineStr">
        <is>
          <t>Copper ion</t>
        </is>
      </c>
      <c r="B2773">
        <v>0.00026284414463879517</v>
      </c>
      <c r="D2773" t="inlineStr">
        <is>
          <t>kilogram</t>
        </is>
      </c>
      <c r="E2773" t="inlineStr">
        <is>
          <t>water::ground-, long-term</t>
        </is>
      </c>
      <c r="F2773" t="inlineStr">
        <is>
          <t>biosphere</t>
        </is>
      </c>
      <c r="G2773" t="inlineStr">
        <is>
          <t>Electricity-only proxy: source amount / 0.33; 100% burden to electricity, before STEM efficiency adjustment.</t>
        </is>
      </c>
    </row>
    <row r="2774">
      <c r="A2774" t="inlineStr">
        <is>
          <t>Copper ion</t>
        </is>
      </c>
      <c r="B2774">
        <v>2.4138363793238683e-08</v>
      </c>
      <c r="D2774" t="inlineStr">
        <is>
          <t>kilogram</t>
        </is>
      </c>
      <c r="E2774" t="inlineStr">
        <is>
          <t>water::surface water</t>
        </is>
      </c>
      <c r="F2774" t="inlineStr">
        <is>
          <t>biosphere</t>
        </is>
      </c>
      <c r="G2774" t="inlineStr">
        <is>
          <t>Electricity-only proxy: source amount / 0.33; 100% burden to electricity, before STEM efficiency adjustment.</t>
        </is>
      </c>
    </row>
    <row r="2775">
      <c r="A2775" t="inlineStr">
        <is>
          <t>DOC, Dissolved Organic Carbon</t>
        </is>
      </c>
      <c r="B2775">
        <v>0.001748748921484038</v>
      </c>
      <c r="D2775" t="inlineStr">
        <is>
          <t>kilogram</t>
        </is>
      </c>
      <c r="E2775" t="inlineStr">
        <is>
          <t>water::ground-, long-term</t>
        </is>
      </c>
      <c r="F2775" t="inlineStr">
        <is>
          <t>biosphere</t>
        </is>
      </c>
      <c r="G2775" t="inlineStr">
        <is>
          <t>Electricity-only proxy: source amount / 0.33; 100% burden to electricity, before STEM efficiency adjustment.</t>
        </is>
      </c>
    </row>
    <row r="2776">
      <c r="A2776" t="inlineStr">
        <is>
          <t>DOC, Dissolved Organic Carbon</t>
        </is>
      </c>
      <c r="B2776">
        <v>0.0001977472742960232</v>
      </c>
      <c r="D2776" t="inlineStr">
        <is>
          <t>kilogram</t>
        </is>
      </c>
      <c r="E2776" t="inlineStr">
        <is>
          <t>water::surface water</t>
        </is>
      </c>
      <c r="F2776" t="inlineStr">
        <is>
          <t>biosphere</t>
        </is>
      </c>
      <c r="G2776" t="inlineStr">
        <is>
          <t>Electricity-only proxy: source amount / 0.33; 100% burden to electricity, before STEM efficiency adjustment.</t>
        </is>
      </c>
    </row>
    <row r="2777">
      <c r="A2777" t="inlineStr">
        <is>
          <t>Fluoride</t>
        </is>
      </c>
      <c r="B2777">
        <v>8.613852066828771e-06</v>
      </c>
      <c r="D2777" t="inlineStr">
        <is>
          <t>kilogram</t>
        </is>
      </c>
      <c r="E2777" t="inlineStr">
        <is>
          <t>water::ground-, long-term</t>
        </is>
      </c>
      <c r="F2777" t="inlineStr">
        <is>
          <t>biosphere</t>
        </is>
      </c>
      <c r="G2777" t="inlineStr">
        <is>
          <t>Electricity-only proxy: source amount / 0.33; 100% burden to electricity, before STEM efficiency adjustment.</t>
        </is>
      </c>
    </row>
    <row r="2778">
      <c r="A2778" t="inlineStr">
        <is>
          <t>Fluoride</t>
        </is>
      </c>
      <c r="B2778">
        <v>3.7577535492979834e-06</v>
      </c>
      <c r="D2778" t="inlineStr">
        <is>
          <t>kilogram</t>
        </is>
      </c>
      <c r="E2778" t="inlineStr">
        <is>
          <t>water::surface water</t>
        </is>
      </c>
      <c r="F2778" t="inlineStr">
        <is>
          <t>biosphere</t>
        </is>
      </c>
      <c r="G2778" t="inlineStr">
        <is>
          <t>Electricity-only proxy: source amount / 0.33; 100% burden to electricity, before STEM efficiency adjustment.</t>
        </is>
      </c>
    </row>
    <row r="2779">
      <c r="A2779" t="inlineStr">
        <is>
          <t>Heat, waste</t>
        </is>
      </c>
      <c r="B2779">
        <v>5.918393599497999</v>
      </c>
      <c r="D2779" t="inlineStr">
        <is>
          <t>megajoule</t>
        </is>
      </c>
      <c r="E2779" t="inlineStr">
        <is>
          <t>water::surface water</t>
        </is>
      </c>
      <c r="F2779" t="inlineStr">
        <is>
          <t>biosphere</t>
        </is>
      </c>
      <c r="G2779" t="inlineStr">
        <is>
          <t>Electricity-only proxy: source amount / 0.33; 100% burden to electricity, before STEM efficiency adjustment.</t>
        </is>
      </c>
    </row>
    <row r="2780">
      <c r="A2780" t="inlineStr">
        <is>
          <t>Iron ion</t>
        </is>
      </c>
      <c r="B2780">
        <v>0.0016747666483645774</v>
      </c>
      <c r="D2780" t="inlineStr">
        <is>
          <t>kilogram</t>
        </is>
      </c>
      <c r="E2780" t="inlineStr">
        <is>
          <t>water::ground-, long-term</t>
        </is>
      </c>
      <c r="F2780" t="inlineStr">
        <is>
          <t>biosphere</t>
        </is>
      </c>
      <c r="G2780" t="inlineStr">
        <is>
          <t>Electricity-only proxy: source amount / 0.33; 100% burden to electricity, before STEM efficiency adjustment.</t>
        </is>
      </c>
    </row>
    <row r="2781">
      <c r="A2781" t="inlineStr">
        <is>
          <t>Iron ion</t>
        </is>
      </c>
      <c r="B2781">
        <v>6.3137187230371e-08</v>
      </c>
      <c r="D2781" t="inlineStr">
        <is>
          <t>kilogram</t>
        </is>
      </c>
      <c r="E2781" t="inlineStr">
        <is>
          <t>water::surface water</t>
        </is>
      </c>
      <c r="F2781" t="inlineStr">
        <is>
          <t>biosphere</t>
        </is>
      </c>
      <c r="G2781" t="inlineStr">
        <is>
          <t>Electricity-only proxy: source amount / 0.33; 100% burden to electricity, before STEM efficiency adjustment.</t>
        </is>
      </c>
    </row>
    <row r="2782">
      <c r="A2782" t="inlineStr">
        <is>
          <t>Lead II</t>
        </is>
      </c>
      <c r="B2782">
        <v>0.00028882265275707896</v>
      </c>
      <c r="D2782" t="inlineStr">
        <is>
          <t>kilogram</t>
        </is>
      </c>
      <c r="E2782" t="inlineStr">
        <is>
          <t>water::ground-, long-term</t>
        </is>
      </c>
      <c r="F2782" t="inlineStr">
        <is>
          <t>biosphere</t>
        </is>
      </c>
      <c r="G2782" t="inlineStr">
        <is>
          <t>Electricity-only proxy: source amount / 0.33; 100% burden to electricity, before STEM efficiency adjustment.</t>
        </is>
      </c>
    </row>
    <row r="2783">
      <c r="A2783" t="inlineStr">
        <is>
          <t>Lead II</t>
        </is>
      </c>
      <c r="B2783">
        <v>2.7933484979214055e-08</v>
      </c>
      <c r="D2783" t="inlineStr">
        <is>
          <t>kilogram</t>
        </is>
      </c>
      <c r="E2783" t="inlineStr">
        <is>
          <t>water::surface water</t>
        </is>
      </c>
      <c r="F2783" t="inlineStr">
        <is>
          <t>biosphere</t>
        </is>
      </c>
      <c r="G2783" t="inlineStr">
        <is>
          <t>Electricity-only proxy: source amount / 0.33; 100% burden to electricity, before STEM efficiency adjustment.</t>
        </is>
      </c>
    </row>
    <row r="2784">
      <c r="A2784" t="inlineStr">
        <is>
          <t>Manganese II</t>
        </is>
      </c>
      <c r="B2784">
        <v>5.5653306141658164e-05</v>
      </c>
      <c r="D2784" t="inlineStr">
        <is>
          <t>kilogram</t>
        </is>
      </c>
      <c r="E2784" t="inlineStr">
        <is>
          <t>water::ground-, long-term</t>
        </is>
      </c>
      <c r="F2784" t="inlineStr">
        <is>
          <t>biosphere</t>
        </is>
      </c>
      <c r="G2784" t="inlineStr">
        <is>
          <t>Electricity-only proxy: source amount / 0.33; 100% burden to electricity, before STEM efficiency adjustment.</t>
        </is>
      </c>
    </row>
    <row r="2785">
      <c r="A2785" t="inlineStr">
        <is>
          <t>Manganese II</t>
        </is>
      </c>
      <c r="B2785">
        <v>8.580061181269118e-09</v>
      </c>
      <c r="D2785" t="inlineStr">
        <is>
          <t>kilogram</t>
        </is>
      </c>
      <c r="E2785" t="inlineStr">
        <is>
          <t>water::surface water</t>
        </is>
      </c>
      <c r="F2785" t="inlineStr">
        <is>
          <t>biosphere</t>
        </is>
      </c>
      <c r="G2785" t="inlineStr">
        <is>
          <t>Electricity-only proxy: source amount / 0.33; 100% burden to electricity, before STEM efficiency adjustment.</t>
        </is>
      </c>
    </row>
    <row r="2786">
      <c r="A2786" t="inlineStr">
        <is>
          <t>Mercury II</t>
        </is>
      </c>
      <c r="B2786">
        <v>1.5662404894501529e-07</v>
      </c>
      <c r="D2786" t="inlineStr">
        <is>
          <t>kilogram</t>
        </is>
      </c>
      <c r="E2786" t="inlineStr">
        <is>
          <t>water::ground-, long-term</t>
        </is>
      </c>
      <c r="F2786" t="inlineStr">
        <is>
          <t>biosphere</t>
        </is>
      </c>
      <c r="G2786" t="inlineStr">
        <is>
          <t>Electricity-only proxy: source amount / 0.33; 100% burden to electricity, before STEM efficiency adjustment.</t>
        </is>
      </c>
    </row>
    <row r="2787">
      <c r="A2787" t="inlineStr">
        <is>
          <t>Mercury II</t>
        </is>
      </c>
      <c r="B2787">
        <v>3.968405365126676e-09</v>
      </c>
      <c r="D2787" t="inlineStr">
        <is>
          <t>kilogram</t>
        </is>
      </c>
      <c r="E2787" t="inlineStr">
        <is>
          <t>water::surface water</t>
        </is>
      </c>
      <c r="F2787" t="inlineStr">
        <is>
          <t>biosphere</t>
        </is>
      </c>
      <c r="G2787" t="inlineStr">
        <is>
          <t>Electricity-only proxy: source amount / 0.33; 100% burden to electricity, before STEM efficiency adjustment.</t>
        </is>
      </c>
    </row>
    <row r="2788">
      <c r="A2788" t="inlineStr">
        <is>
          <t>Nickel II</t>
        </is>
      </c>
      <c r="B2788">
        <v>1.7698329280727897e-05</v>
      </c>
      <c r="D2788" t="inlineStr">
        <is>
          <t>kilogram</t>
        </is>
      </c>
      <c r="E2788" t="inlineStr">
        <is>
          <t>water::ground-, long-term</t>
        </is>
      </c>
      <c r="F2788" t="inlineStr">
        <is>
          <t>biosphere</t>
        </is>
      </c>
      <c r="G2788" t="inlineStr">
        <is>
          <t>Electricity-only proxy: source amount / 0.33; 100% burden to electricity, before STEM efficiency adjustment.</t>
        </is>
      </c>
    </row>
    <row r="2789">
      <c r="A2789" t="inlineStr">
        <is>
          <t>Nickel II</t>
        </is>
      </c>
      <c r="B2789">
        <v>1.1991528747352733e-08</v>
      </c>
      <c r="D2789" t="inlineStr">
        <is>
          <t>kilogram</t>
        </is>
      </c>
      <c r="E2789" t="inlineStr">
        <is>
          <t>water::surface water</t>
        </is>
      </c>
      <c r="F2789" t="inlineStr">
        <is>
          <t>biosphere</t>
        </is>
      </c>
      <c r="G2789" t="inlineStr">
        <is>
          <t>Electricity-only proxy: source amount / 0.33; 100% burden to electricity, before STEM efficiency adjustment.</t>
        </is>
      </c>
    </row>
    <row r="2790">
      <c r="A2790" t="inlineStr">
        <is>
          <t>Nitrate</t>
        </is>
      </c>
      <c r="B2790">
        <v>0.00020634088948152794</v>
      </c>
      <c r="D2790" t="inlineStr">
        <is>
          <t>kilogram</t>
        </is>
      </c>
      <c r="E2790" t="inlineStr">
        <is>
          <t>water::ground-, long-term</t>
        </is>
      </c>
      <c r="F2790" t="inlineStr">
        <is>
          <t>biosphere</t>
        </is>
      </c>
      <c r="G2790" t="inlineStr">
        <is>
          <t>Electricity-only proxy: source amount / 0.33; 100% burden to electricity, before STEM efficiency adjustment.</t>
        </is>
      </c>
    </row>
    <row r="2791">
      <c r="A2791" t="inlineStr">
        <is>
          <t>Nitrate</t>
        </is>
      </c>
      <c r="B2791">
        <v>7.391167934739979e-05</v>
      </c>
      <c r="D2791" t="inlineStr">
        <is>
          <t>kilogram</t>
        </is>
      </c>
      <c r="E2791" t="inlineStr">
        <is>
          <t>water::surface water</t>
        </is>
      </c>
      <c r="F2791" t="inlineStr">
        <is>
          <t>biosphere</t>
        </is>
      </c>
      <c r="G2791" t="inlineStr">
        <is>
          <t>Electricity-only proxy: source amount / 0.33; 100% burden to electricity, before STEM efficiency adjustment.</t>
        </is>
      </c>
    </row>
    <row r="2792">
      <c r="A2792" t="inlineStr">
        <is>
          <t>Selenium IV</t>
        </is>
      </c>
      <c r="B2792">
        <v>1.41545219232881e-06</v>
      </c>
      <c r="D2792" t="inlineStr">
        <is>
          <t>kilogram</t>
        </is>
      </c>
      <c r="E2792" t="inlineStr">
        <is>
          <t>water::ground-, long-term</t>
        </is>
      </c>
      <c r="F2792" t="inlineStr">
        <is>
          <t>biosphere</t>
        </is>
      </c>
      <c r="G2792" t="inlineStr">
        <is>
          <t>Electricity-only proxy: source amount / 0.33; 100% burden to electricity, before STEM efficiency adjustment.</t>
        </is>
      </c>
    </row>
    <row r="2793">
      <c r="A2793" t="inlineStr">
        <is>
          <t>Selenium IV</t>
        </is>
      </c>
      <c r="B2793">
        <v>3.674829398384187e-07</v>
      </c>
      <c r="D2793" t="inlineStr">
        <is>
          <t>kilogram</t>
        </is>
      </c>
      <c r="E2793" t="inlineStr">
        <is>
          <t>water::surface water</t>
        </is>
      </c>
      <c r="F2793" t="inlineStr">
        <is>
          <t>biosphere</t>
        </is>
      </c>
      <c r="G2793" t="inlineStr">
        <is>
          <t>Electricity-only proxy: source amount / 0.33; 100% burden to electricity, before STEM efficiency adjustment.</t>
        </is>
      </c>
    </row>
    <row r="2794">
      <c r="A2794" t="inlineStr">
        <is>
          <t>Silicon</t>
        </is>
      </c>
      <c r="B2794">
        <v>0.00032489136402855123</v>
      </c>
      <c r="D2794" t="inlineStr">
        <is>
          <t>kilogram</t>
        </is>
      </c>
      <c r="E2794" t="inlineStr">
        <is>
          <t>water::ground-, long-term</t>
        </is>
      </c>
      <c r="F2794" t="inlineStr">
        <is>
          <t>biosphere</t>
        </is>
      </c>
      <c r="G2794" t="inlineStr">
        <is>
          <t>Electricity-only proxy: source amount / 0.33; 100% burden to electricity, before STEM efficiency adjustment.</t>
        </is>
      </c>
    </row>
    <row r="2795">
      <c r="A2795" t="inlineStr">
        <is>
          <t>Silicon</t>
        </is>
      </c>
      <c r="B2795">
        <v>7.323115538473606e-07</v>
      </c>
      <c r="D2795" t="inlineStr">
        <is>
          <t>kilogram</t>
        </is>
      </c>
      <c r="E2795" t="inlineStr">
        <is>
          <t>water::surface water</t>
        </is>
      </c>
      <c r="F2795" t="inlineStr">
        <is>
          <t>biosphere</t>
        </is>
      </c>
      <c r="G2795" t="inlineStr">
        <is>
          <t>Electricity-only proxy: source amount / 0.33; 100% burden to electricity, before STEM efficiency adjustment.</t>
        </is>
      </c>
    </row>
    <row r="2796">
      <c r="A2796" t="inlineStr">
        <is>
          <t>Sodium I</t>
        </is>
      </c>
      <c r="B2796">
        <v>0.0008424190132559416</v>
      </c>
      <c r="D2796" t="inlineStr">
        <is>
          <t>kilogram</t>
        </is>
      </c>
      <c r="E2796" t="inlineStr">
        <is>
          <t>water::ground-, long-term</t>
        </is>
      </c>
      <c r="F2796" t="inlineStr">
        <is>
          <t>biosphere</t>
        </is>
      </c>
      <c r="G2796" t="inlineStr">
        <is>
          <t>Electricity-only proxy: source amount / 0.33; 100% burden to electricity, before STEM efficiency adjustment.</t>
        </is>
      </c>
    </row>
    <row r="2797">
      <c r="A2797" t="inlineStr">
        <is>
          <t>Sodium I</t>
        </is>
      </c>
      <c r="B2797">
        <v>0.0004236002823750882</v>
      </c>
      <c r="D2797" t="inlineStr">
        <is>
          <t>kilogram</t>
        </is>
      </c>
      <c r="E2797" t="inlineStr">
        <is>
          <t>water::surface water</t>
        </is>
      </c>
      <c r="F2797" t="inlineStr">
        <is>
          <t>biosphere</t>
        </is>
      </c>
      <c r="G2797" t="inlineStr">
        <is>
          <t>Electricity-only proxy: source amount / 0.33; 100% burden to electricity, before STEM efficiency adjustment.</t>
        </is>
      </c>
    </row>
    <row r="2798">
      <c r="A2798" t="inlineStr">
        <is>
          <t>Strontium</t>
        </is>
      </c>
      <c r="B2798">
        <v>7.764656051455015e-05</v>
      </c>
      <c r="D2798" t="inlineStr">
        <is>
          <t>kilogram</t>
        </is>
      </c>
      <c r="E2798" t="inlineStr">
        <is>
          <t>water::ground-, long-term</t>
        </is>
      </c>
      <c r="F2798" t="inlineStr">
        <is>
          <t>biosphere</t>
        </is>
      </c>
      <c r="G2798" t="inlineStr">
        <is>
          <t>Electricity-only proxy: source amount / 0.33; 100% burden to electricity, before STEM efficiency adjustment.</t>
        </is>
      </c>
    </row>
    <row r="2799">
      <c r="A2799" t="inlineStr">
        <is>
          <t>Strontium</t>
        </is>
      </c>
      <c r="B2799">
        <v>5.0817162130363165e-08</v>
      </c>
      <c r="D2799" t="inlineStr">
        <is>
          <t>kilogram</t>
        </is>
      </c>
      <c r="E2799" t="inlineStr">
        <is>
          <t>water::surface water</t>
        </is>
      </c>
      <c r="F2799" t="inlineStr">
        <is>
          <t>biosphere</t>
        </is>
      </c>
      <c r="G2799" t="inlineStr">
        <is>
          <t>Electricity-only proxy: source amount / 0.33; 100% burden to electricity, before STEM efficiency adjustment.</t>
        </is>
      </c>
    </row>
    <row r="2800">
      <c r="A2800" t="inlineStr">
        <is>
          <t>Sulfate</t>
        </is>
      </c>
      <c r="B2800">
        <v>0.003165801239312887</v>
      </c>
      <c r="D2800" t="inlineStr">
        <is>
          <t>kilogram</t>
        </is>
      </c>
      <c r="E2800" t="inlineStr">
        <is>
          <t>water::ground-, long-term</t>
        </is>
      </c>
      <c r="F2800" t="inlineStr">
        <is>
          <t>biosphere</t>
        </is>
      </c>
      <c r="G2800" t="inlineStr">
        <is>
          <t>Electricity-only proxy: source amount / 0.33; 100% burden to electricity, before STEM efficiency adjustment.</t>
        </is>
      </c>
    </row>
    <row r="2801">
      <c r="A2801" t="inlineStr">
        <is>
          <t>Sulfate</t>
        </is>
      </c>
      <c r="B2801">
        <v>0.0005410777315867911</v>
      </c>
      <c r="D2801" t="inlineStr">
        <is>
          <t>kilogram</t>
        </is>
      </c>
      <c r="E2801" t="inlineStr">
        <is>
          <t>water::surface water</t>
        </is>
      </c>
      <c r="F2801" t="inlineStr">
        <is>
          <t>biosphere</t>
        </is>
      </c>
      <c r="G2801" t="inlineStr">
        <is>
          <t>Electricity-only proxy: source amount / 0.33; 100% burden to electricity, before STEM efficiency adjustment.</t>
        </is>
      </c>
    </row>
    <row r="2802">
      <c r="A2802" t="inlineStr">
        <is>
          <t>TOC, Total Organic Carbon</t>
        </is>
      </c>
      <c r="B2802">
        <v>0.001748748921484038</v>
      </c>
      <c r="D2802" t="inlineStr">
        <is>
          <t>kilogram</t>
        </is>
      </c>
      <c r="E2802" t="inlineStr">
        <is>
          <t>water::ground-, long-term</t>
        </is>
      </c>
      <c r="F2802" t="inlineStr">
        <is>
          <t>biosphere</t>
        </is>
      </c>
      <c r="G2802" t="inlineStr">
        <is>
          <t>Electricity-only proxy: source amount / 0.33; 100% burden to electricity, before STEM efficiency adjustment.</t>
        </is>
      </c>
    </row>
    <row r="2803">
      <c r="A2803" t="inlineStr">
        <is>
          <t>TOC, Total Organic Carbon</t>
        </is>
      </c>
      <c r="B2803">
        <v>0.0001977472742960232</v>
      </c>
      <c r="D2803" t="inlineStr">
        <is>
          <t>kilogram</t>
        </is>
      </c>
      <c r="E2803" t="inlineStr">
        <is>
          <t>water::surface water</t>
        </is>
      </c>
      <c r="F2803" t="inlineStr">
        <is>
          <t>biosphere</t>
        </is>
      </c>
      <c r="G2803" t="inlineStr">
        <is>
          <t>Electricity-only proxy: source amount / 0.33; 100% burden to electricity, before STEM efficiency adjustment.</t>
        </is>
      </c>
    </row>
    <row r="2804">
      <c r="A2804" t="inlineStr">
        <is>
          <t>Thallium I</t>
        </is>
      </c>
      <c r="B2804">
        <v>2.6936700917719033e-07</v>
      </c>
      <c r="D2804" t="inlineStr">
        <is>
          <t>kilogram</t>
        </is>
      </c>
      <c r="E2804" t="inlineStr">
        <is>
          <t>water::ground-, long-term</t>
        </is>
      </c>
      <c r="F2804" t="inlineStr">
        <is>
          <t>biosphere</t>
        </is>
      </c>
      <c r="G2804" t="inlineStr">
        <is>
          <t>Electricity-only proxy: source amount / 0.33; 100% burden to electricity, before STEM efficiency adjustment.</t>
        </is>
      </c>
    </row>
    <row r="2805">
      <c r="A2805" t="inlineStr">
        <is>
          <t>Thallium I</t>
        </is>
      </c>
      <c r="B2805">
        <v>2.496289905090595e-10</v>
      </c>
      <c r="D2805" t="inlineStr">
        <is>
          <t>kilogram</t>
        </is>
      </c>
      <c r="E2805" t="inlineStr">
        <is>
          <t>water::surface water</t>
        </is>
      </c>
      <c r="F2805" t="inlineStr">
        <is>
          <t>biosphere</t>
        </is>
      </c>
      <c r="G2805" t="inlineStr">
        <is>
          <t>Electricity-only proxy: source amount / 0.33; 100% burden to electricity, before STEM efficiency adjustment.</t>
        </is>
      </c>
    </row>
    <row r="2806">
      <c r="A2806" t="inlineStr">
        <is>
          <t>Tin ion</t>
        </is>
      </c>
      <c r="B2806">
        <v>1.527555102360969e-05</v>
      </c>
      <c r="D2806" t="inlineStr">
        <is>
          <t>kilogram</t>
        </is>
      </c>
      <c r="E2806" t="inlineStr">
        <is>
          <t>water::ground-, long-term</t>
        </is>
      </c>
      <c r="F2806" t="inlineStr">
        <is>
          <t>biosphere</t>
        </is>
      </c>
      <c r="G2806" t="inlineStr">
        <is>
          <t>Electricity-only proxy: source amount / 0.33; 100% burden to electricity, before STEM efficiency adjustment.</t>
        </is>
      </c>
    </row>
    <row r="2807">
      <c r="A2807" t="inlineStr">
        <is>
          <t>Tin ion</t>
        </is>
      </c>
      <c r="B2807">
        <v>2.0805396501686405e-08</v>
      </c>
      <c r="D2807" t="inlineStr">
        <is>
          <t>kilogram</t>
        </is>
      </c>
      <c r="E2807" t="inlineStr">
        <is>
          <t>water::surface water</t>
        </is>
      </c>
      <c r="F2807" t="inlineStr">
        <is>
          <t>biosphere</t>
        </is>
      </c>
      <c r="G2807" t="inlineStr">
        <is>
          <t>Electricity-only proxy: source amount / 0.33; 100% burden to electricity, before STEM efficiency adjustment.</t>
        </is>
      </c>
    </row>
    <row r="2808">
      <c r="A2808" t="inlineStr">
        <is>
          <t>Titanium ion</t>
        </is>
      </c>
      <c r="B2808">
        <v>0.00026284414463879517</v>
      </c>
      <c r="D2808" t="inlineStr">
        <is>
          <t>kilogram</t>
        </is>
      </c>
      <c r="E2808" t="inlineStr">
        <is>
          <t>water::ground-, long-term</t>
        </is>
      </c>
      <c r="F2808" t="inlineStr">
        <is>
          <t>biosphere</t>
        </is>
      </c>
      <c r="G2808" t="inlineStr">
        <is>
          <t>Electricity-only proxy: source amount / 0.33; 100% burden to electricity, before STEM efficiency adjustment.</t>
        </is>
      </c>
    </row>
    <row r="2809">
      <c r="A2809" t="inlineStr">
        <is>
          <t>Titanium ion</t>
        </is>
      </c>
      <c r="B2809">
        <v>1.7880931837791197e-07</v>
      </c>
      <c r="D2809" t="inlineStr">
        <is>
          <t>kilogram</t>
        </is>
      </c>
      <c r="E2809" t="inlineStr">
        <is>
          <t>water::surface water</t>
        </is>
      </c>
      <c r="F2809" t="inlineStr">
        <is>
          <t>biosphere</t>
        </is>
      </c>
      <c r="G2809" t="inlineStr">
        <is>
          <t>Electricity-only proxy: source amount / 0.33; 100% burden to electricity, before STEM efficiency adjustment.</t>
        </is>
      </c>
    </row>
    <row r="2810">
      <c r="A2810" t="inlineStr">
        <is>
          <t>Vanadium V</t>
        </is>
      </c>
      <c r="B2810">
        <v>7.464961957800611e-05</v>
      </c>
      <c r="D2810" t="inlineStr">
        <is>
          <t>kilogram</t>
        </is>
      </c>
      <c r="E2810" t="inlineStr">
        <is>
          <t>water::ground-, long-term</t>
        </is>
      </c>
      <c r="F2810" t="inlineStr">
        <is>
          <t>biosphere</t>
        </is>
      </c>
      <c r="G2810" t="inlineStr">
        <is>
          <t>Electricity-only proxy: source amount / 0.33; 100% burden to electricity, before STEM efficiency adjustment.</t>
        </is>
      </c>
    </row>
    <row r="2811">
      <c r="A2811" t="inlineStr">
        <is>
          <t>Vanadium V</t>
        </is>
      </c>
      <c r="B2811">
        <v>2.944325045101576e-07</v>
      </c>
      <c r="D2811" t="inlineStr">
        <is>
          <t>kilogram</t>
        </is>
      </c>
      <c r="E2811" t="inlineStr">
        <is>
          <t>water::surface water</t>
        </is>
      </c>
      <c r="F2811" t="inlineStr">
        <is>
          <t>biosphere</t>
        </is>
      </c>
      <c r="G2811" t="inlineStr">
        <is>
          <t>Electricity-only proxy: source amount / 0.33; 100% burden to electricity, before STEM efficiency adjustment.</t>
        </is>
      </c>
    </row>
    <row r="2812">
      <c r="A2812" t="inlineStr">
        <is>
          <t>Water</t>
        </is>
      </c>
      <c r="B2812">
        <v>0.0011855885167464113</v>
      </c>
      <c r="D2812" t="inlineStr">
        <is>
          <t>cubic meter</t>
        </is>
      </c>
      <c r="E2812" t="inlineStr">
        <is>
          <t>water::surface water</t>
        </is>
      </c>
      <c r="F2812" t="inlineStr">
        <is>
          <t>biosphere</t>
        </is>
      </c>
      <c r="G2812" t="inlineStr">
        <is>
          <t>Electricity-only proxy: source amount / 0.33; 100% burden to electricity, before STEM efficiency adjustment.</t>
        </is>
      </c>
    </row>
    <row r="2813">
      <c r="A2813" t="inlineStr">
        <is>
          <t>Zinc II</t>
        </is>
      </c>
      <c r="B2813">
        <v>0.00022048788140246293</v>
      </c>
      <c r="D2813" t="inlineStr">
        <is>
          <t>kilogram</t>
        </is>
      </c>
      <c r="E2813" t="inlineStr">
        <is>
          <t>water::ground-, long-term</t>
        </is>
      </c>
      <c r="F2813" t="inlineStr">
        <is>
          <t>biosphere</t>
        </is>
      </c>
      <c r="G2813" t="inlineStr">
        <is>
          <t>Electricity-only proxy: source amount / 0.33; 100% burden to electricity, before STEM efficiency adjustment.</t>
        </is>
      </c>
    </row>
    <row r="2814">
      <c r="A2814" t="inlineStr">
        <is>
          <t>Zinc II</t>
        </is>
      </c>
      <c r="B2814">
        <v>2.999764687426465e-08</v>
      </c>
      <c r="D2814" t="inlineStr">
        <is>
          <t>kilogram</t>
        </is>
      </c>
      <c r="E2814" t="inlineStr">
        <is>
          <t>water::surface water</t>
        </is>
      </c>
      <c r="F2814" t="inlineStr">
        <is>
          <t>biosphere</t>
        </is>
      </c>
      <c r="G2814" t="inlineStr">
        <is>
          <t>Electricity-only proxy: source amount / 0.33; 100% burden to electricity, before STEM efficiency adjustment.</t>
        </is>
      </c>
    </row>
    <row r="2815">
      <c r="A2815" t="inlineStr">
        <is>
          <t>Oxygen</t>
        </is>
      </c>
      <c r="B2815">
        <v>2.333453604204251</v>
      </c>
      <c r="D2815" t="inlineStr">
        <is>
          <t>kilogram</t>
        </is>
      </c>
      <c r="E2815" t="inlineStr">
        <is>
          <t>natural resource::in air</t>
        </is>
      </c>
      <c r="F2815" t="inlineStr">
        <is>
          <t>biosphere</t>
        </is>
      </c>
      <c r="G2815" t="inlineStr">
        <is>
          <t>Electricity-only proxy: source amount / 0.33; 100% burden to electricity, before STEM efficiency adjustment.</t>
        </is>
      </c>
    </row>
    <row r="2816">
      <c r="A2816" t="inlineStr">
        <is>
          <t>Oil, crude</t>
        </is>
      </c>
      <c r="B2816">
        <v>0.6493506493506493</v>
      </c>
      <c r="D2816" t="inlineStr">
        <is>
          <t>kilogram</t>
        </is>
      </c>
      <c r="E2816" t="inlineStr">
        <is>
          <t>natural resource::in ground</t>
        </is>
      </c>
      <c r="F2816" t="inlineStr">
        <is>
          <t>biosphere</t>
        </is>
      </c>
      <c r="G2816" t="inlineStr">
        <is>
          <t>Plastic waste energy input. 9.3 MJ waste/MJ Electricity-only proxy: source amount / 0.33; 100% burden to electricity, before STEM efficiency adjustment.</t>
        </is>
      </c>
    </row>
    <row r="2817"/>
    <row r="2818"/>
    <row r="2819">
      <c r="A2819" t="inlineStr">
        <is>
          <t>Activity</t>
        </is>
      </c>
      <c r="B2819" t="inlineStr">
        <is>
          <t>electricity production, from incineration of plastic waste mixture, electricity only, post, pipeline 200km, storage 1000m</t>
        </is>
      </c>
    </row>
    <row r="2820">
      <c r="A2820" t="inlineStr">
        <is>
          <t>location</t>
        </is>
      </c>
      <c r="B2820" t="inlineStr">
        <is>
          <t>CH</t>
        </is>
      </c>
    </row>
    <row r="2821">
      <c r="A2821" t="inlineStr">
        <is>
          <t>production amount</t>
        </is>
      </c>
      <c r="B2821">
        <v>1</v>
      </c>
    </row>
    <row r="2822">
      <c r="A2822" t="inlineStr">
        <is>
          <t>comment</t>
        </is>
      </c>
      <c r="B2822" t="inlineStr">
        <is>
          <t>Electricity-only proxy derived from 'electricity production, at co-generation plastic waste-fired power plant, post, pipeline 200km, storage 1000m'. All energy-production burdens assigned to electricity: divide non-production exchanges by the source electricity allocation factor 0.33. No useful heat coproduct. Retain the source's declared physical electrical efficiency before applying the matching absolute STEM efficiency. CCS capture and storage, residual emissions and biomass uptake retain their source ratios. Source documentation: Grossly adapted from Volkart et al. 2013 to ecoinvent CHP datasets. 90% CO2 capture efficiency. Added 10% energy penalty based on Volkart et al. 2013.</t>
        </is>
      </c>
    </row>
    <row r="2823">
      <c r="A2823" t="inlineStr">
        <is>
          <t>reference product</t>
        </is>
      </c>
      <c r="B2823" t="inlineStr">
        <is>
          <t>electricity, from incineration of plastic waste mixture, electricity only, with CCS</t>
        </is>
      </c>
    </row>
    <row r="2824">
      <c r="A2824" t="inlineStr">
        <is>
          <t>type</t>
        </is>
      </c>
      <c r="B2824" t="inlineStr">
        <is>
          <t>process</t>
        </is>
      </c>
    </row>
    <row r="2825">
      <c r="A2825" t="inlineStr">
        <is>
          <t>current efficiency</t>
        </is>
      </c>
      <c r="B2825">
        <v>0.10989</v>
      </c>
    </row>
    <row r="2826">
      <c r="A2826" t="inlineStr">
        <is>
          <t>unit</t>
        </is>
      </c>
      <c r="B2826" t="inlineStr">
        <is>
          <t>kilowatt hour</t>
        </is>
      </c>
    </row>
    <row r="2827">
      <c r="A2827" t="inlineStr">
        <is>
          <t>Exchanges</t>
        </is>
      </c>
    </row>
    <row r="2828">
      <c r="A2828" t="inlineStr">
        <is>
          <t>name</t>
        </is>
      </c>
      <c r="B2828" t="inlineStr">
        <is>
          <t>amount</t>
        </is>
      </c>
      <c r="C2828" t="inlineStr">
        <is>
          <t>location</t>
        </is>
      </c>
      <c r="D2828" t="inlineStr">
        <is>
          <t>unit</t>
        </is>
      </c>
      <c r="E2828" t="inlineStr">
        <is>
          <t>categories</t>
        </is>
      </c>
      <c r="F2828" t="inlineStr">
        <is>
          <t>type</t>
        </is>
      </c>
      <c r="G2828" t="inlineStr">
        <is>
          <t>comment</t>
        </is>
      </c>
      <c r="H2828" t="inlineStr">
        <is>
          <t>reference product</t>
        </is>
      </c>
    </row>
    <row r="2829">
      <c r="A2829" t="inlineStr">
        <is>
          <t>electricity production, from incineration of plastic waste mixture, electricity only, post, pipeline 200km, storage 1000m</t>
        </is>
      </c>
      <c r="B2829">
        <v>1</v>
      </c>
      <c r="C2829" t="inlineStr">
        <is>
          <t>CH</t>
        </is>
      </c>
      <c r="D2829" t="inlineStr">
        <is>
          <t>kilowatt hour</t>
        </is>
      </c>
      <c r="F2829" t="inlineStr">
        <is>
          <t>production</t>
        </is>
      </c>
      <c r="G2829" t="inlineStr">
        <is>
          <t/>
        </is>
      </c>
      <c r="H2829" t="inlineStr">
        <is>
          <t>electricity, from incineration of plastic waste mixture, electricity only, with CCS</t>
        </is>
      </c>
    </row>
    <row r="2830">
      <c r="A2830" t="inlineStr">
        <is>
          <t>market for ammonia, anhydrous, liquid</t>
        </is>
      </c>
      <c r="B2830">
        <v>0.0015239689387402933</v>
      </c>
      <c r="C2830" t="inlineStr">
        <is>
          <t>RER</t>
        </is>
      </c>
      <c r="D2830" t="inlineStr">
        <is>
          <t>kilogram</t>
        </is>
      </c>
      <c r="F2830" t="inlineStr">
        <is>
          <t>technosphere</t>
        </is>
      </c>
      <c r="G2830" t="inlineStr">
        <is>
          <t>Electricity-only proxy: source amount / 0.33; 100% burden to electricity, before STEM efficiency adjustment.</t>
        </is>
      </c>
      <c r="H2830" t="inlineStr">
        <is>
          <t>ammonia, anhydrous, liquid</t>
        </is>
      </c>
    </row>
    <row r="2831">
      <c r="A2831" t="inlineStr">
        <is>
          <t>market for cationic resin</t>
        </is>
      </c>
      <c r="B2831">
        <v>4.157756686798965e-06</v>
      </c>
      <c r="C2831" t="inlineStr">
        <is>
          <t>RER</t>
        </is>
      </c>
      <c r="D2831" t="inlineStr">
        <is>
          <t>kilogram</t>
        </is>
      </c>
      <c r="F2831" t="inlineStr">
        <is>
          <t>technosphere</t>
        </is>
      </c>
      <c r="G2831" t="inlineStr">
        <is>
          <t>Electricity-only proxy: source amount / 0.33; 100% burden to electricity, before STEM efficiency adjustment.</t>
        </is>
      </c>
      <c r="H2831" t="inlineStr">
        <is>
          <t>cationic resin</t>
        </is>
      </c>
    </row>
    <row r="2832">
      <c r="A2832" t="inlineStr">
        <is>
          <t>market for cement, unspecified</t>
        </is>
      </c>
      <c r="B2832">
        <v>0.0034775150992234685</v>
      </c>
      <c r="C2832" t="inlineStr">
        <is>
          <t>CH</t>
        </is>
      </c>
      <c r="D2832" t="inlineStr">
        <is>
          <t>kilogram</t>
        </is>
      </c>
      <c r="F2832" t="inlineStr">
        <is>
          <t>technosphere</t>
        </is>
      </c>
      <c r="G2832" t="inlineStr">
        <is>
          <t>Electricity-only proxy: source amount / 0.33; 100% burden to electricity, before STEM efficiency adjustment.</t>
        </is>
      </c>
      <c r="H2832" t="inlineStr">
        <is>
          <t>cement, unspecified</t>
        </is>
      </c>
    </row>
    <row r="2833">
      <c r="A2833" t="inlineStr">
        <is>
          <t>market for chemical, inorganic</t>
        </is>
      </c>
      <c r="B2833">
        <v>0.00032105953408110443</v>
      </c>
      <c r="C2833" t="inlineStr">
        <is>
          <t>GLO</t>
        </is>
      </c>
      <c r="D2833" t="inlineStr">
        <is>
          <t>kilogram</t>
        </is>
      </c>
      <c r="F2833" t="inlineStr">
        <is>
          <t>technosphere</t>
        </is>
      </c>
      <c r="G2833" t="inlineStr">
        <is>
          <t>Electricity-only proxy: source amount / 0.33; 100% burden to electricity, before STEM efficiency adjustment.</t>
        </is>
      </c>
      <c r="H2833" t="inlineStr">
        <is>
          <t>chemical, inorganic</t>
        </is>
      </c>
    </row>
    <row r="2834">
      <c r="A2834" t="inlineStr">
        <is>
          <t>market for chemical, organic</t>
        </is>
      </c>
      <c r="B2834">
        <v>1.8412079378774806e-05</v>
      </c>
      <c r="C2834" t="inlineStr">
        <is>
          <t>GLO</t>
        </is>
      </c>
      <c r="D2834" t="inlineStr">
        <is>
          <t>kilogram</t>
        </is>
      </c>
      <c r="F2834" t="inlineStr">
        <is>
          <t>technosphere</t>
        </is>
      </c>
      <c r="G2834" t="inlineStr">
        <is>
          <t>Electricity-only proxy: source amount / 0.33; 100% burden to electricity, before STEM efficiency adjustment.</t>
        </is>
      </c>
      <c r="H2834" t="inlineStr">
        <is>
          <t>chemical, organic</t>
        </is>
      </c>
    </row>
    <row r="2835">
      <c r="A2835" t="inlineStr">
        <is>
          <t>market for chromium trioxide, flakes</t>
        </is>
      </c>
      <c r="B2835">
        <v>1.948472821397757e-06</v>
      </c>
      <c r="C2835" t="inlineStr">
        <is>
          <t>GLO</t>
        </is>
      </c>
      <c r="D2835" t="inlineStr">
        <is>
          <t>kilogram</t>
        </is>
      </c>
      <c r="F2835" t="inlineStr">
        <is>
          <t>technosphere</t>
        </is>
      </c>
      <c r="G2835" t="inlineStr">
        <is>
          <t>Electricity-only proxy: source amount / 0.33; 100% burden to electricity, before STEM efficiency adjustment.</t>
        </is>
      </c>
      <c r="H2835" t="inlineStr">
        <is>
          <t>chromium trioxide, flakes</t>
        </is>
      </c>
    </row>
    <row r="2836">
      <c r="A2836" t="inlineStr">
        <is>
          <t>market for heat, district or industrial, natural gas</t>
        </is>
      </c>
      <c r="B2836">
        <v>0.28497670405522</v>
      </c>
      <c r="C2836" t="inlineStr">
        <is>
          <t>CH</t>
        </is>
      </c>
      <c r="D2836" t="inlineStr">
        <is>
          <t>megajoule</t>
        </is>
      </c>
      <c r="F2836" t="inlineStr">
        <is>
          <t>technosphere</t>
        </is>
      </c>
      <c r="G2836" t="inlineStr">
        <is>
          <t>Electricity-only proxy: source amount / 0.33; 100% burden to electricity, before STEM efficiency adjustment.</t>
        </is>
      </c>
      <c r="H2836" t="inlineStr">
        <is>
          <t>heat, district or industrial, natural gas</t>
        </is>
      </c>
    </row>
    <row r="2837">
      <c r="A2837" t="inlineStr">
        <is>
          <t>market for hydrochloric acid, without water, in 30% solution state</t>
        </is>
      </c>
      <c r="B2837">
        <v>0.0003123623813632442</v>
      </c>
      <c r="C2837" t="inlineStr">
        <is>
          <t>RER</t>
        </is>
      </c>
      <c r="D2837" t="inlineStr">
        <is>
          <t>kilogram</t>
        </is>
      </c>
      <c r="F2837" t="inlineStr">
        <is>
          <t>technosphere</t>
        </is>
      </c>
      <c r="G2837" t="inlineStr">
        <is>
          <t>Electricity-only proxy: source amount / 0.33; 100% burden to electricity, before STEM efficiency adjustment.</t>
        </is>
      </c>
      <c r="H2837" t="inlineStr">
        <is>
          <t>hydrochloric acid, without water, in 30% solution state</t>
        </is>
      </c>
    </row>
    <row r="2838">
      <c r="A2838" t="inlineStr">
        <is>
          <t>market for hydrogen peroxide, without water, in 50% solution state</t>
        </is>
      </c>
      <c r="B2838">
        <v>0.0005802450388265746</v>
      </c>
      <c r="C2838" t="inlineStr">
        <is>
          <t>RER</t>
        </is>
      </c>
      <c r="D2838" t="inlineStr">
        <is>
          <t>kilogram</t>
        </is>
      </c>
      <c r="F2838" t="inlineStr">
        <is>
          <t>technosphere</t>
        </is>
      </c>
      <c r="G2838" t="inlineStr">
        <is>
          <t>Electricity-only proxy: source amount / 0.33; 100% burden to electricity, before STEM efficiency adjustment.</t>
        </is>
      </c>
      <c r="H2838" t="inlineStr">
        <is>
          <t>hydrogen peroxide, without water, in 50% solution state</t>
        </is>
      </c>
    </row>
    <row r="2839">
      <c r="A2839" t="inlineStr">
        <is>
          <t>market for iron(III) chloride, without water, in 40% solution state</t>
        </is>
      </c>
      <c r="B2839">
        <v>5.037204486626402e-05</v>
      </c>
      <c r="C2839" t="inlineStr">
        <is>
          <t>GLO</t>
        </is>
      </c>
      <c r="D2839" t="inlineStr">
        <is>
          <t>kilogram</t>
        </is>
      </c>
      <c r="F2839" t="inlineStr">
        <is>
          <t>technosphere</t>
        </is>
      </c>
      <c r="G2839" t="inlineStr">
        <is>
          <t>Electricity-only proxy: source amount / 0.33; 100% burden to electricity, before STEM efficiency adjustment.</t>
        </is>
      </c>
      <c r="H2839" t="inlineStr">
        <is>
          <t>iron(III) chloride, without water, in 40% solution state</t>
        </is>
      </c>
    </row>
    <row r="2840">
      <c r="A2840" t="inlineStr">
        <is>
          <t>metalliferous hydroxide sludge, Recycled Content cut-off</t>
        </is>
      </c>
      <c r="B2840">
        <v>-0.0046576358930112164</v>
      </c>
      <c r="C2840" t="inlineStr">
        <is>
          <t>GLO</t>
        </is>
      </c>
      <c r="D2840" t="inlineStr">
        <is>
          <t>kilogram</t>
        </is>
      </c>
      <c r="F2840" t="inlineStr">
        <is>
          <t>technosphere</t>
        </is>
      </c>
      <c r="G2840" t="inlineStr">
        <is>
          <t>Electricity-only proxy: source amount / 0.33; 100% burden to electricity, before STEM efficiency adjustment.</t>
        </is>
      </c>
      <c r="H2840" t="inlineStr">
        <is>
          <t>metalliferous hydroxide sludge</t>
        </is>
      </c>
    </row>
    <row r="2841">
      <c r="A2841" t="inlineStr">
        <is>
          <t>municipal waste incineration facility construction</t>
        </is>
      </c>
      <c r="B2841">
        <v>2.5884383088869716e-10</v>
      </c>
      <c r="C2841" t="inlineStr">
        <is>
          <t>CH</t>
        </is>
      </c>
      <c r="D2841" t="inlineStr">
        <is>
          <t>unit</t>
        </is>
      </c>
      <c r="F2841" t="inlineStr">
        <is>
          <t>technosphere</t>
        </is>
      </c>
      <c r="G2841" t="inlineStr">
        <is>
          <t>Electricity-only proxy: source amount / 0.33; 100% burden to electricity, before STEM efficiency adjustment.</t>
        </is>
      </c>
      <c r="H2841" t="inlineStr">
        <is>
          <t>municipal waste incineration facility</t>
        </is>
      </c>
    </row>
    <row r="2842">
      <c r="A2842" t="inlineStr">
        <is>
          <t>process-specific burdens, residual material landfill</t>
        </is>
      </c>
      <c r="B2842">
        <v>0.017333218291630714</v>
      </c>
      <c r="C2842" t="inlineStr">
        <is>
          <t>CH</t>
        </is>
      </c>
      <c r="D2842" t="inlineStr">
        <is>
          <t>kilogram</t>
        </is>
      </c>
      <c r="F2842" t="inlineStr">
        <is>
          <t>technosphere</t>
        </is>
      </c>
      <c r="G2842" t="inlineStr">
        <is>
          <t>Electricity-only proxy: source amount / 0.33; 100% burden to electricity, before STEM efficiency adjustment.</t>
        </is>
      </c>
      <c r="H2842" t="inlineStr">
        <is>
          <t>process-specific burdens, residual material landfill</t>
        </is>
      </c>
    </row>
    <row r="2843">
      <c r="A2843" t="inlineStr">
        <is>
          <t>process-specific burdens, slag landfill</t>
        </is>
      </c>
      <c r="B2843">
        <v>0.027510957722174285</v>
      </c>
      <c r="C2843" t="inlineStr">
        <is>
          <t>CH</t>
        </is>
      </c>
      <c r="D2843" t="inlineStr">
        <is>
          <t>kilogram</t>
        </is>
      </c>
      <c r="F2843" t="inlineStr">
        <is>
          <t>technosphere</t>
        </is>
      </c>
      <c r="G2843" t="inlineStr">
        <is>
          <t>Electricity-only proxy: source amount / 0.33; 100% burden to electricity, before STEM efficiency adjustment.</t>
        </is>
      </c>
      <c r="H2843" t="inlineStr">
        <is>
          <t>process-specific burdens, slag landfill</t>
        </is>
      </c>
    </row>
    <row r="2844">
      <c r="A2844" t="inlineStr">
        <is>
          <t>market for quicklime, milled, packed</t>
        </is>
      </c>
      <c r="B2844">
        <v>0.00968541846419327</v>
      </c>
      <c r="C2844" t="inlineStr">
        <is>
          <t>RER</t>
        </is>
      </c>
      <c r="D2844" t="inlineStr">
        <is>
          <t>kilogram</t>
        </is>
      </c>
      <c r="F2844" t="inlineStr">
        <is>
          <t>technosphere</t>
        </is>
      </c>
      <c r="G2844" t="inlineStr">
        <is>
          <t>Electricity-only proxy: source amount / 0.33; 100% burden to electricity, before STEM efficiency adjustment.</t>
        </is>
      </c>
      <c r="H2844" t="inlineStr">
        <is>
          <t>quicklime, milled, packed</t>
        </is>
      </c>
    </row>
    <row r="2845">
      <c r="A2845" t="inlineStr">
        <is>
          <t>residual material landfill construction</t>
        </is>
      </c>
      <c r="B2845">
        <v>3.611078515962036e-11</v>
      </c>
      <c r="C2845" t="inlineStr">
        <is>
          <t>CH</t>
        </is>
      </c>
      <c r="D2845" t="inlineStr">
        <is>
          <t>unit</t>
        </is>
      </c>
      <c r="F2845" t="inlineStr">
        <is>
          <t>technosphere</t>
        </is>
      </c>
      <c r="G2845" t="inlineStr">
        <is>
          <t>Electricity-only proxy: source amount / 0.33; 100% burden to electricity, before STEM efficiency adjustment.</t>
        </is>
      </c>
      <c r="H2845" t="inlineStr">
        <is>
          <t>residual material landfill</t>
        </is>
      </c>
    </row>
    <row r="2846">
      <c r="A2846" t="inlineStr">
        <is>
          <t>slag landfill construction</t>
        </is>
      </c>
      <c r="B2846">
        <v>4.890802415875755e-11</v>
      </c>
      <c r="C2846" t="inlineStr">
        <is>
          <t>CH</t>
        </is>
      </c>
      <c r="D2846" t="inlineStr">
        <is>
          <t>unit</t>
        </is>
      </c>
      <c r="F2846" t="inlineStr">
        <is>
          <t>technosphere</t>
        </is>
      </c>
      <c r="G2846" t="inlineStr">
        <is>
          <t>Electricity-only proxy: source amount / 0.33; 100% burden to electricity, before STEM efficiency adjustment.</t>
        </is>
      </c>
      <c r="H2846" t="inlineStr">
        <is>
          <t>slag landfill</t>
        </is>
      </c>
    </row>
    <row r="2847">
      <c r="A2847" t="inlineStr">
        <is>
          <t>market for sodium hydroxide, without water, in 50% solution state</t>
        </is>
      </c>
      <c r="B2847">
        <v>0.002582122519413287</v>
      </c>
      <c r="C2847" t="inlineStr">
        <is>
          <t>RoW</t>
        </is>
      </c>
      <c r="D2847" t="inlineStr">
        <is>
          <t>kilogram</t>
        </is>
      </c>
      <c r="F2847" t="inlineStr">
        <is>
          <t>technosphere</t>
        </is>
      </c>
      <c r="G2847" t="inlineStr">
        <is>
          <t>Electricity-only proxy: source amount / 0.33; 100% burden to electricity, before STEM efficiency adjustment.</t>
        </is>
      </c>
      <c r="H2847" t="inlineStr">
        <is>
          <t>sodium hydroxide, without water, in 50% solution state</t>
        </is>
      </c>
    </row>
    <row r="2848">
      <c r="A2848" t="inlineStr">
        <is>
          <t>market for spent activated carbon with mercury</t>
        </is>
      </c>
      <c r="B2848">
        <v>-4.376635030198446e-06</v>
      </c>
      <c r="C2848" t="inlineStr">
        <is>
          <t>GLO</t>
        </is>
      </c>
      <c r="D2848" t="inlineStr">
        <is>
          <t>kilogram</t>
        </is>
      </c>
      <c r="F2848" t="inlineStr">
        <is>
          <t>technosphere</t>
        </is>
      </c>
      <c r="G2848" t="inlineStr">
        <is>
          <t>Electricity-only proxy: source amount / 0.33; 100% burden to electricity, before STEM efficiency adjustment.</t>
        </is>
      </c>
      <c r="H2848" t="inlineStr">
        <is>
          <t>spent activated carbon with mercury</t>
        </is>
      </c>
    </row>
    <row r="2849">
      <c r="A2849" t="inlineStr">
        <is>
          <t>market for titanium dioxide</t>
        </is>
      </c>
      <c r="B2849">
        <v>9.547713546160483e-05</v>
      </c>
      <c r="C2849" t="inlineStr">
        <is>
          <t>RER</t>
        </is>
      </c>
      <c r="D2849" t="inlineStr">
        <is>
          <t>kilogram</t>
        </is>
      </c>
      <c r="F2849" t="inlineStr">
        <is>
          <t>technosphere</t>
        </is>
      </c>
      <c r="G2849" t="inlineStr">
        <is>
          <t>Electricity-only proxy: source amount / 0.33; 100% burden to electricity, before STEM efficiency adjustment.</t>
        </is>
      </c>
      <c r="H2849" t="inlineStr">
        <is>
          <t>titanium dioxide</t>
        </is>
      </c>
    </row>
    <row r="2850">
      <c r="A2850" t="inlineStr">
        <is>
          <t>market for transport, freight, lorry, unspecified</t>
        </is>
      </c>
      <c r="B2850">
        <v>0.001631544434857636</v>
      </c>
      <c r="C2850" t="inlineStr">
        <is>
          <t>RER</t>
        </is>
      </c>
      <c r="D2850" t="inlineStr">
        <is>
          <t>ton kilometer</t>
        </is>
      </c>
      <c r="F2850" t="inlineStr">
        <is>
          <t>technosphere</t>
        </is>
      </c>
      <c r="G2850" t="inlineStr">
        <is>
          <t>Electricity-only proxy: source amount / 0.33; 100% burden to electricity, before STEM efficiency adjustment.</t>
        </is>
      </c>
      <c r="H2850" t="inlineStr">
        <is>
          <t>transport, freight, lorry, unspecified</t>
        </is>
      </c>
    </row>
    <row r="2851">
      <c r="A2851" t="inlineStr">
        <is>
          <t>market for waste cement, hydrated</t>
        </is>
      </c>
      <c r="B2851">
        <v>-0.008693839516824849</v>
      </c>
      <c r="C2851" t="inlineStr">
        <is>
          <t>CH</t>
        </is>
      </c>
      <c r="D2851" t="inlineStr">
        <is>
          <t>kilogram</t>
        </is>
      </c>
      <c r="F2851" t="inlineStr">
        <is>
          <t>technosphere</t>
        </is>
      </c>
      <c r="G2851" t="inlineStr">
        <is>
          <t>Electricity-only proxy: source amount / 0.33; 100% burden to electricity, before STEM efficiency adjustment.</t>
        </is>
      </c>
      <c r="H2851" t="inlineStr">
        <is>
          <t>waste cement, hydrated</t>
        </is>
      </c>
    </row>
    <row r="2852">
      <c r="A2852" t="inlineStr">
        <is>
          <t>market for water, decarbonised</t>
        </is>
      </c>
      <c r="B2852">
        <v>3.806143226919758</v>
      </c>
      <c r="C2852" t="inlineStr">
        <is>
          <t>CH</t>
        </is>
      </c>
      <c r="D2852" t="inlineStr">
        <is>
          <t>kilogram</t>
        </is>
      </c>
      <c r="F2852" t="inlineStr">
        <is>
          <t>technosphere</t>
        </is>
      </c>
      <c r="G2852" t="inlineStr">
        <is>
          <t>Electricity-only proxy: source amount / 0.33; 100% burden to electricity, before STEM efficiency adjustment.</t>
        </is>
      </c>
      <c r="H2852" t="inlineStr">
        <is>
          <t>water, decarbonised</t>
        </is>
      </c>
    </row>
    <row r="2853">
      <c r="A2853" t="inlineStr">
        <is>
          <t>Aluminium III</t>
        </is>
      </c>
      <c r="B2853">
        <v>1.5754270923209663e-10</v>
      </c>
      <c r="D2853" t="inlineStr">
        <is>
          <t>kilogram</t>
        </is>
      </c>
      <c r="E2853" t="inlineStr">
        <is>
          <t>air::urban air close to ground</t>
        </is>
      </c>
      <c r="F2853" t="inlineStr">
        <is>
          <t>biosphere</t>
        </is>
      </c>
      <c r="G2853" t="inlineStr">
        <is>
          <t>Electricity-only proxy: source amount / 0.33; 100% burden to electricity, before STEM efficiency adjustment.</t>
        </is>
      </c>
    </row>
    <row r="2854">
      <c r="A2854" t="inlineStr">
        <is>
          <t>Ammonia</t>
        </is>
      </c>
      <c r="B2854">
        <v>1.7917169974115615e-06</v>
      </c>
      <c r="D2854" t="inlineStr">
        <is>
          <t>kilogram</t>
        </is>
      </c>
      <c r="E2854" t="inlineStr">
        <is>
          <t>air::urban air close to ground</t>
        </is>
      </c>
      <c r="F2854" t="inlineStr">
        <is>
          <t>biosphere</t>
        </is>
      </c>
      <c r="G2854" t="inlineStr">
        <is>
          <t>Electricity-only proxy: source amount / 0.33; 100% burden to electricity, before STEM efficiency adjustment.</t>
        </is>
      </c>
    </row>
    <row r="2855">
      <c r="A2855" t="inlineStr">
        <is>
          <t>Antimony ion</t>
        </is>
      </c>
      <c r="B2855">
        <v>3.325314926660915e-11</v>
      </c>
      <c r="D2855" t="inlineStr">
        <is>
          <t>kilogram</t>
        </is>
      </c>
      <c r="E2855" t="inlineStr">
        <is>
          <t>air::urban air close to ground</t>
        </is>
      </c>
      <c r="F2855" t="inlineStr">
        <is>
          <t>biosphere</t>
        </is>
      </c>
      <c r="G2855" t="inlineStr">
        <is>
          <t>Electricity-only proxy: source amount / 0.33; 100% burden to electricity, before STEM efficiency adjustment.</t>
        </is>
      </c>
    </row>
    <row r="2856">
      <c r="A2856" t="inlineStr">
        <is>
          <t>Arsenic ion</t>
        </is>
      </c>
      <c r="B2856">
        <v>1.4379292493528903e-08</v>
      </c>
      <c r="D2856" t="inlineStr">
        <is>
          <t>kilogram</t>
        </is>
      </c>
      <c r="E2856" t="inlineStr">
        <is>
          <t>air::urban air close to ground</t>
        </is>
      </c>
      <c r="F2856" t="inlineStr">
        <is>
          <t>biosphere</t>
        </is>
      </c>
      <c r="G2856" t="inlineStr">
        <is>
          <t>Electricity-only proxy: source amount / 0.33; 100% burden to electricity, before STEM efficiency adjustment.</t>
        </is>
      </c>
    </row>
    <row r="2857">
      <c r="A2857" t="inlineStr">
        <is>
          <t>Barium II</t>
        </is>
      </c>
      <c r="B2857">
        <v>7.072338222605694e-07</v>
      </c>
      <c r="D2857" t="inlineStr">
        <is>
          <t>kilogram</t>
        </is>
      </c>
      <c r="E2857" t="inlineStr">
        <is>
          <t>air::urban air close to ground</t>
        </is>
      </c>
      <c r="F2857" t="inlineStr">
        <is>
          <t>biosphere</t>
        </is>
      </c>
      <c r="G2857" t="inlineStr">
        <is>
          <t>Electricity-only proxy: source amount / 0.33; 100% burden to electricity, before STEM efficiency adjustment.</t>
        </is>
      </c>
    </row>
    <row r="2858">
      <c r="A2858" t="inlineStr">
        <is>
          <t>Benzene</t>
        </is>
      </c>
      <c r="B2858">
        <v>1.554823123382226e-08</v>
      </c>
      <c r="D2858" t="inlineStr">
        <is>
          <t>kilogram</t>
        </is>
      </c>
      <c r="E2858" t="inlineStr">
        <is>
          <t>air::urban air close to ground</t>
        </is>
      </c>
      <c r="F2858" t="inlineStr">
        <is>
          <t>biosphere</t>
        </is>
      </c>
      <c r="G2858" t="inlineStr">
        <is>
          <t>Electricity-only proxy: source amount / 0.33; 100% burden to electricity, before STEM efficiency adjustment.</t>
        </is>
      </c>
    </row>
    <row r="2859">
      <c r="A2859" t="inlineStr">
        <is>
          <t>Benzene, hexachloro-</t>
        </is>
      </c>
      <c r="B2859">
        <v>3.2511820534943916e-11</v>
      </c>
      <c r="D2859" t="inlineStr">
        <is>
          <t>kilogram</t>
        </is>
      </c>
      <c r="E2859" t="inlineStr">
        <is>
          <t>air::urban air close to ground</t>
        </is>
      </c>
      <c r="F2859" t="inlineStr">
        <is>
          <t>biosphere</t>
        </is>
      </c>
      <c r="G2859" t="inlineStr">
        <is>
          <t>Electricity-only proxy: source amount / 0.33; 100% burden to electricity, before STEM efficiency adjustment.</t>
        </is>
      </c>
    </row>
    <row r="2860">
      <c r="A2860" t="inlineStr">
        <is>
          <t>Pentachlorobenzene</t>
        </is>
      </c>
      <c r="B2860">
        <v>8.214874892148405e-11</v>
      </c>
      <c r="D2860" t="inlineStr">
        <is>
          <t>kilogram</t>
        </is>
      </c>
      <c r="E2860" t="inlineStr">
        <is>
          <t>air::urban air close to ground</t>
        </is>
      </c>
      <c r="F2860" t="inlineStr">
        <is>
          <t>biosphere</t>
        </is>
      </c>
      <c r="G2860" t="inlineStr">
        <is>
          <t>Electricity-only proxy: source amount / 0.33; 100% burden to electricity, before STEM efficiency adjustment.</t>
        </is>
      </c>
    </row>
    <row r="2861">
      <c r="A2861" t="inlineStr">
        <is>
          <t>Benzo(a)pyrene</t>
        </is>
      </c>
      <c r="B2861">
        <v>3.4601207937877477e-13</v>
      </c>
      <c r="D2861" t="inlineStr">
        <is>
          <t>kilogram</t>
        </is>
      </c>
      <c r="E2861" t="inlineStr">
        <is>
          <t>air::urban air close to ground</t>
        </is>
      </c>
      <c r="F2861" t="inlineStr">
        <is>
          <t>biosphere</t>
        </is>
      </c>
      <c r="G2861" t="inlineStr">
        <is>
          <t>Electricity-only proxy: source amount / 0.33; 100% burden to electricity, before STEM efficiency adjustment.</t>
        </is>
      </c>
    </row>
    <row r="2862">
      <c r="A2862" t="inlineStr">
        <is>
          <t>Bromine</t>
        </is>
      </c>
      <c r="B2862">
        <v>3.378119068162209e-08</v>
      </c>
      <c r="D2862" t="inlineStr">
        <is>
          <t>kilogram</t>
        </is>
      </c>
      <c r="E2862" t="inlineStr">
        <is>
          <t>air::urban air close to ground</t>
        </is>
      </c>
      <c r="F2862" t="inlineStr">
        <is>
          <t>biosphere</t>
        </is>
      </c>
      <c r="G2862" t="inlineStr">
        <is>
          <t>Electricity-only proxy: source amount / 0.33; 100% burden to electricity, before STEM efficiency adjustment.</t>
        </is>
      </c>
    </row>
    <row r="2863">
      <c r="A2863" t="inlineStr">
        <is>
          <t>Cadmium II</t>
        </is>
      </c>
      <c r="B2863">
        <v>3.9995513373597933e-08</v>
      </c>
      <c r="D2863" t="inlineStr">
        <is>
          <t>kilogram</t>
        </is>
      </c>
      <c r="E2863" t="inlineStr">
        <is>
          <t>air::urban air close to ground</t>
        </is>
      </c>
      <c r="F2863" t="inlineStr">
        <is>
          <t>biosphere</t>
        </is>
      </c>
      <c r="G2863" t="inlineStr">
        <is>
          <t>Electricity-only proxy: source amount / 0.33; 100% burden to electricity, before STEM efficiency adjustment.</t>
        </is>
      </c>
    </row>
    <row r="2864">
      <c r="A2864" t="inlineStr">
        <is>
          <t>Carbon monoxide, fossil</t>
        </is>
      </c>
      <c r="B2864">
        <v>2.6431061259706643e-05</v>
      </c>
      <c r="D2864" t="inlineStr">
        <is>
          <t>kilogram</t>
        </is>
      </c>
      <c r="E2864" t="inlineStr">
        <is>
          <t>air::urban air close to ground</t>
        </is>
      </c>
      <c r="F2864" t="inlineStr">
        <is>
          <t>biosphere</t>
        </is>
      </c>
      <c r="G2864" t="inlineStr">
        <is>
          <t>Electricity-only proxy: source amount / 0.33; 100% burden to electricity, before STEM efficiency adjustment.</t>
        </is>
      </c>
    </row>
    <row r="2865">
      <c r="A2865" t="inlineStr">
        <is>
          <t>Chromium III</t>
        </is>
      </c>
      <c r="B2865">
        <v>3.4475927523727344e-08</v>
      </c>
      <c r="D2865" t="inlineStr">
        <is>
          <t>kilogram</t>
        </is>
      </c>
      <c r="E2865" t="inlineStr">
        <is>
          <t>air::urban air close to ground</t>
        </is>
      </c>
      <c r="F2865" t="inlineStr">
        <is>
          <t>biosphere</t>
        </is>
      </c>
      <c r="G2865" t="inlineStr">
        <is>
          <t>Electricity-only proxy: source amount / 0.33; 100% burden to electricity, before STEM efficiency adjustment.</t>
        </is>
      </c>
    </row>
    <row r="2866">
      <c r="A2866" t="inlineStr">
        <is>
          <t>Cobalt II</t>
        </is>
      </c>
      <c r="B2866">
        <v>5.550647109577222e-08</v>
      </c>
      <c r="D2866" t="inlineStr">
        <is>
          <t>kilogram</t>
        </is>
      </c>
      <c r="E2866" t="inlineStr">
        <is>
          <t>air::urban air close to ground</t>
        </is>
      </c>
      <c r="F2866" t="inlineStr">
        <is>
          <t>biosphere</t>
        </is>
      </c>
      <c r="G2866" t="inlineStr">
        <is>
          <t>Electricity-only proxy: source amount / 0.33; 100% burden to electricity, before STEM efficiency adjustment.</t>
        </is>
      </c>
    </row>
    <row r="2867">
      <c r="A2867" t="inlineStr">
        <is>
          <t>Copper ion</t>
        </is>
      </c>
      <c r="B2867">
        <v>2.8108369283865402e-08</v>
      </c>
      <c r="D2867" t="inlineStr">
        <is>
          <t>kilogram</t>
        </is>
      </c>
      <c r="E2867" t="inlineStr">
        <is>
          <t>air::urban air close to ground</t>
        </is>
      </c>
      <c r="F2867" t="inlineStr">
        <is>
          <t>biosphere</t>
        </is>
      </c>
      <c r="G2867" t="inlineStr">
        <is>
          <t>Electricity-only proxy: source amount / 0.33; 100% burden to electricity, before STEM efficiency adjustment.</t>
        </is>
      </c>
    </row>
    <row r="2868">
      <c r="A2868" t="inlineStr">
        <is>
          <t>Cyanide</t>
        </is>
      </c>
      <c r="B2868">
        <v>2.0277825711820535e-05</v>
      </c>
      <c r="D2868" t="inlineStr">
        <is>
          <t>kilogram</t>
        </is>
      </c>
      <c r="E2868" t="inlineStr">
        <is>
          <t>air::urban air close to ground</t>
        </is>
      </c>
      <c r="F2868" t="inlineStr">
        <is>
          <t>biosphere</t>
        </is>
      </c>
      <c r="G2868" t="inlineStr">
        <is>
          <t>Electricity-only proxy: source amount / 0.33; 100% burden to electricity, before STEM efficiency adjustment.</t>
        </is>
      </c>
    </row>
    <row r="2869">
      <c r="A2869" t="inlineStr">
        <is>
          <t>Dinitrogen monoxide</t>
        </is>
      </c>
      <c r="B2869">
        <v>9.438274374460741e-05</v>
      </c>
      <c r="D2869" t="inlineStr">
        <is>
          <t>kilogram</t>
        </is>
      </c>
      <c r="E2869" t="inlineStr">
        <is>
          <t>air::urban air close to ground</t>
        </is>
      </c>
      <c r="F2869" t="inlineStr">
        <is>
          <t>biosphere</t>
        </is>
      </c>
      <c r="G2869" t="inlineStr">
        <is>
          <t>Electricity-only proxy: source amount / 0.33; 100% burden to electricity, before STEM efficiency adjustment.</t>
        </is>
      </c>
    </row>
    <row r="2870">
      <c r="A2870" t="inlineStr">
        <is>
          <t>Dioxins, measured as 2,3,7,8-tetrachlorodibenzo-p-dioxin</t>
        </is>
      </c>
      <c r="B2870">
        <v>3.109542709232097e-14</v>
      </c>
      <c r="D2870" t="inlineStr">
        <is>
          <t>kilogram</t>
        </is>
      </c>
      <c r="E2870" t="inlineStr">
        <is>
          <t>air::urban air close to ground</t>
        </is>
      </c>
      <c r="F2870" t="inlineStr">
        <is>
          <t>biosphere</t>
        </is>
      </c>
      <c r="G2870" t="inlineStr">
        <is>
          <t>Electricity-only proxy: source amount / 0.33; 100% burden to electricity, before STEM efficiency adjustment.</t>
        </is>
      </c>
    </row>
    <row r="2871">
      <c r="A2871" t="inlineStr">
        <is>
          <t>Heat, waste</t>
        </is>
      </c>
      <c r="B2871">
        <v>25.650388265746333</v>
      </c>
      <c r="D2871" t="inlineStr">
        <is>
          <t>megajoule</t>
        </is>
      </c>
      <c r="E2871" t="inlineStr">
        <is>
          <t>air::urban air close to ground</t>
        </is>
      </c>
      <c r="F2871" t="inlineStr">
        <is>
          <t>biosphere</t>
        </is>
      </c>
      <c r="G2871" t="inlineStr">
        <is>
          <t>Electricity-only proxy: source amount / 0.33; 100% burden to electricity, before STEM efficiency adjustment.</t>
        </is>
      </c>
    </row>
    <row r="2872">
      <c r="A2872" t="inlineStr">
        <is>
          <t>Hydrochloric acid</t>
        </is>
      </c>
      <c r="B2872">
        <v>1.0711993097497844e-05</v>
      </c>
      <c r="D2872" t="inlineStr">
        <is>
          <t>kilogram</t>
        </is>
      </c>
      <c r="E2872" t="inlineStr">
        <is>
          <t>air::urban air close to ground</t>
        </is>
      </c>
      <c r="F2872" t="inlineStr">
        <is>
          <t>biosphere</t>
        </is>
      </c>
      <c r="G2872" t="inlineStr">
        <is>
          <t>Electricity-only proxy: source amount / 0.33; 100% burden to electricity, before STEM efficiency adjustment.</t>
        </is>
      </c>
    </row>
    <row r="2873">
      <c r="A2873" t="inlineStr">
        <is>
          <t>Hydrogen fluoride</t>
        </is>
      </c>
      <c r="B2873">
        <v>9.581777394305435e-08</v>
      </c>
      <c r="D2873" t="inlineStr">
        <is>
          <t>kilogram</t>
        </is>
      </c>
      <c r="E2873" t="inlineStr">
        <is>
          <t>air::urban air close to ground</t>
        </is>
      </c>
      <c r="F2873" t="inlineStr">
        <is>
          <t>biosphere</t>
        </is>
      </c>
      <c r="G2873" t="inlineStr">
        <is>
          <t>Electricity-only proxy: source amount / 0.33; 100% burden to electricity, before STEM efficiency adjustment.</t>
        </is>
      </c>
    </row>
    <row r="2874">
      <c r="A2874" t="inlineStr">
        <is>
          <t>Iron ion</t>
        </is>
      </c>
      <c r="B2874">
        <v>6.450905953408111e-09</v>
      </c>
      <c r="D2874" t="inlineStr">
        <is>
          <t>kilogram</t>
        </is>
      </c>
      <c r="E2874" t="inlineStr">
        <is>
          <t>air::urban air close to ground</t>
        </is>
      </c>
      <c r="F2874" t="inlineStr">
        <is>
          <t>biosphere</t>
        </is>
      </c>
      <c r="G2874" t="inlineStr">
        <is>
          <t>Electricity-only proxy: source amount / 0.33; 100% burden to electricity, before STEM efficiency adjustment.</t>
        </is>
      </c>
    </row>
    <row r="2875">
      <c r="A2875" t="inlineStr">
        <is>
          <t>Lead II</t>
        </is>
      </c>
      <c r="B2875">
        <v>3.7174115616911135e-08</v>
      </c>
      <c r="D2875" t="inlineStr">
        <is>
          <t>kilogram</t>
        </is>
      </c>
      <c r="E2875" t="inlineStr">
        <is>
          <t>air::urban air close to ground</t>
        </is>
      </c>
      <c r="F2875" t="inlineStr">
        <is>
          <t>biosphere</t>
        </is>
      </c>
      <c r="G2875" t="inlineStr">
        <is>
          <t>Electricity-only proxy: source amount / 0.33; 100% burden to electricity, before STEM efficiency adjustment.</t>
        </is>
      </c>
    </row>
    <row r="2876">
      <c r="A2876" t="inlineStr">
        <is>
          <t>Manganese II</t>
        </is>
      </c>
      <c r="B2876">
        <v>1.4745815358067297e-08</v>
      </c>
      <c r="D2876" t="inlineStr">
        <is>
          <t>kilogram</t>
        </is>
      </c>
      <c r="E2876" t="inlineStr">
        <is>
          <t>air::urban air close to ground</t>
        </is>
      </c>
      <c r="F2876" t="inlineStr">
        <is>
          <t>biosphere</t>
        </is>
      </c>
      <c r="G2876" t="inlineStr">
        <is>
          <t>Electricity-only proxy: source amount / 0.33; 100% burden to electricity, before STEM efficiency adjustment.</t>
        </is>
      </c>
    </row>
    <row r="2877">
      <c r="A2877" t="inlineStr">
        <is>
          <t>Mercury II</t>
        </is>
      </c>
      <c r="B2877">
        <v>2.326074201898188e-08</v>
      </c>
      <c r="D2877" t="inlineStr">
        <is>
          <t>kilogram</t>
        </is>
      </c>
      <c r="E2877" t="inlineStr">
        <is>
          <t>air::urban air close to ground</t>
        </is>
      </c>
      <c r="F2877" t="inlineStr">
        <is>
          <t>biosphere</t>
        </is>
      </c>
      <c r="G2877" t="inlineStr">
        <is>
          <t>Electricity-only proxy: source amount / 0.33; 100% burden to electricity, before STEM efficiency adjustment.</t>
        </is>
      </c>
    </row>
    <row r="2878">
      <c r="A2878" t="inlineStr">
        <is>
          <t>Methane, fossil</t>
        </is>
      </c>
      <c r="B2878">
        <v>2.3322864538395168e-07</v>
      </c>
      <c r="D2878" t="inlineStr">
        <is>
          <t>kilogram</t>
        </is>
      </c>
      <c r="E2878" t="inlineStr">
        <is>
          <t>air::urban air close to ground</t>
        </is>
      </c>
      <c r="F2878" t="inlineStr">
        <is>
          <t>biosphere</t>
        </is>
      </c>
      <c r="G2878" t="inlineStr">
        <is>
          <t>Electricity-only proxy: source amount / 0.33; 100% burden to electricity, before STEM efficiency adjustment.</t>
        </is>
      </c>
    </row>
    <row r="2879">
      <c r="A2879" t="inlineStr">
        <is>
          <t>NMVOC, non-methane volatile organic compounds</t>
        </is>
      </c>
      <c r="B2879">
        <v>7.076169111302847e-07</v>
      </c>
      <c r="D2879" t="inlineStr">
        <is>
          <t>kilogram</t>
        </is>
      </c>
      <c r="E2879" t="inlineStr">
        <is>
          <t>air::urban air close to ground</t>
        </is>
      </c>
      <c r="F2879" t="inlineStr">
        <is>
          <t>biosphere</t>
        </is>
      </c>
      <c r="G2879" t="inlineStr">
        <is>
          <t>Electricity-only proxy: source amount / 0.33; 100% burden to electricity, before STEM efficiency adjustment.</t>
        </is>
      </c>
    </row>
    <row r="2880">
      <c r="A2880" t="inlineStr">
        <is>
          <t>Nickel II</t>
        </is>
      </c>
      <c r="B2880">
        <v>2.5001207937877482e-08</v>
      </c>
      <c r="D2880" t="inlineStr">
        <is>
          <t>kilogram</t>
        </is>
      </c>
      <c r="E2880" t="inlineStr">
        <is>
          <t>air::urban air close to ground</t>
        </is>
      </c>
      <c r="F2880" t="inlineStr">
        <is>
          <t>biosphere</t>
        </is>
      </c>
      <c r="G2880" t="inlineStr">
        <is>
          <t>Electricity-only proxy: source amount / 0.33; 100% burden to electricity, before STEM efficiency adjustment.</t>
        </is>
      </c>
    </row>
    <row r="2881">
      <c r="A2881" t="inlineStr">
        <is>
          <t>Nitrogen oxides</t>
        </is>
      </c>
      <c r="B2881">
        <v>0.0005673856773080241</v>
      </c>
      <c r="D2881" t="inlineStr">
        <is>
          <t>kilogram</t>
        </is>
      </c>
      <c r="E2881" t="inlineStr">
        <is>
          <t>air::urban air close to ground</t>
        </is>
      </c>
      <c r="F2881" t="inlineStr">
        <is>
          <t>biosphere</t>
        </is>
      </c>
      <c r="G2881" t="inlineStr">
        <is>
          <t>Electricity-only proxy: source amount / 0.33; 100% burden to electricity, before STEM efficiency adjustment.</t>
        </is>
      </c>
    </row>
    <row r="2882">
      <c r="A2882" t="inlineStr">
        <is>
          <t>Particulate Matter, &lt; 2.5 um</t>
        </is>
      </c>
      <c r="B2882">
        <v>1.8564279551337361e-06</v>
      </c>
      <c r="D2882" t="inlineStr">
        <is>
          <t>kilogram</t>
        </is>
      </c>
      <c r="E2882" t="inlineStr">
        <is>
          <t>air::urban air close to ground</t>
        </is>
      </c>
      <c r="F2882" t="inlineStr">
        <is>
          <t>biosphere</t>
        </is>
      </c>
      <c r="G2882" t="inlineStr">
        <is>
          <t>Electricity-only proxy: source amount / 0.33; 100% burden to electricity, before STEM efficiency adjustment.</t>
        </is>
      </c>
    </row>
    <row r="2883">
      <c r="A2883" t="inlineStr">
        <is>
          <t>Particulate Matter, &gt; 2.5 um and &lt; 10um</t>
        </is>
      </c>
      <c r="B2883">
        <v>9.328524590163935e-09</v>
      </c>
      <c r="D2883" t="inlineStr">
        <is>
          <t>kilogram</t>
        </is>
      </c>
      <c r="E2883" t="inlineStr">
        <is>
          <t>air::urban air close to ground</t>
        </is>
      </c>
      <c r="F2883" t="inlineStr">
        <is>
          <t>biosphere</t>
        </is>
      </c>
      <c r="G2883" t="inlineStr">
        <is>
          <t>Electricity-only proxy: source amount / 0.33; 100% burden to electricity, before STEM efficiency adjustment.</t>
        </is>
      </c>
    </row>
    <row r="2884">
      <c r="A2884" t="inlineStr">
        <is>
          <t>Phenol, pentachloro-</t>
        </is>
      </c>
      <c r="B2884">
        <v>6.771251078515962e-12</v>
      </c>
      <c r="D2884" t="inlineStr">
        <is>
          <t>kilogram</t>
        </is>
      </c>
      <c r="E2884" t="inlineStr">
        <is>
          <t>air::urban air close to ground</t>
        </is>
      </c>
      <c r="F2884" t="inlineStr">
        <is>
          <t>biosphere</t>
        </is>
      </c>
      <c r="G2884" t="inlineStr">
        <is>
          <t>Electricity-only proxy: source amount / 0.33; 100% burden to electricity, before STEM efficiency adjustment.</t>
        </is>
      </c>
    </row>
    <row r="2885">
      <c r="A2885" t="inlineStr">
        <is>
          <t>Selenium IV</t>
        </is>
      </c>
      <c r="B2885">
        <v>2.4203968938740294e-08</v>
      </c>
      <c r="D2885" t="inlineStr">
        <is>
          <t>kilogram</t>
        </is>
      </c>
      <c r="E2885" t="inlineStr">
        <is>
          <t>air::urban air close to ground</t>
        </is>
      </c>
      <c r="F2885" t="inlineStr">
        <is>
          <t>biosphere</t>
        </is>
      </c>
      <c r="G2885" t="inlineStr">
        <is>
          <t>Electricity-only proxy: source amount / 0.33; 100% burden to electricity, before STEM efficiency adjustment.</t>
        </is>
      </c>
    </row>
    <row r="2886">
      <c r="A2886" t="inlineStr">
        <is>
          <t>Sodium</t>
        </is>
      </c>
      <c r="B2886">
        <v>1.162415875754961e-05</v>
      </c>
      <c r="D2886" t="inlineStr">
        <is>
          <t>kilogram</t>
        </is>
      </c>
      <c r="E2886" t="inlineStr">
        <is>
          <t>air::urban air close to ground</t>
        </is>
      </c>
      <c r="F2886" t="inlineStr">
        <is>
          <t>biosphere</t>
        </is>
      </c>
      <c r="G2886" t="inlineStr">
        <is>
          <t>Electricity-only proxy: source amount / 0.33; 100% burden to electricity, before STEM efficiency adjustment.</t>
        </is>
      </c>
    </row>
    <row r="2887">
      <c r="A2887" t="inlineStr">
        <is>
          <t>Strontium</t>
        </is>
      </c>
      <c r="B2887">
        <v>8.550336496980154e-09</v>
      </c>
      <c r="D2887" t="inlineStr">
        <is>
          <t>kilogram</t>
        </is>
      </c>
      <c r="E2887" t="inlineStr">
        <is>
          <t>air::urban air close to ground</t>
        </is>
      </c>
      <c r="F2887" t="inlineStr">
        <is>
          <t>biosphere</t>
        </is>
      </c>
      <c r="G2887" t="inlineStr">
        <is>
          <t>Electricity-only proxy: source amount / 0.33; 100% burden to electricity, before STEM efficiency adjustment.</t>
        </is>
      </c>
    </row>
    <row r="2888">
      <c r="A2888" t="inlineStr">
        <is>
          <t>Sulfur dioxide</t>
        </is>
      </c>
      <c r="B2888">
        <v>1.5489214840379638e-05</v>
      </c>
      <c r="D2888" t="inlineStr">
        <is>
          <t>kilogram</t>
        </is>
      </c>
      <c r="E2888" t="inlineStr">
        <is>
          <t>air::urban air close to ground</t>
        </is>
      </c>
      <c r="F2888" t="inlineStr">
        <is>
          <t>biosphere</t>
        </is>
      </c>
      <c r="G2888" t="inlineStr">
        <is>
          <t>Electricity-only proxy: source amount / 0.33; 100% burden to electricity, before STEM efficiency adjustment.</t>
        </is>
      </c>
    </row>
    <row r="2889">
      <c r="A2889" t="inlineStr">
        <is>
          <t>Thallium I</t>
        </is>
      </c>
      <c r="B2889">
        <v>3.864538395168248e-10</v>
      </c>
      <c r="D2889" t="inlineStr">
        <is>
          <t>kilogram</t>
        </is>
      </c>
      <c r="E2889" t="inlineStr">
        <is>
          <t>air::urban air close to ground</t>
        </is>
      </c>
      <c r="F2889" t="inlineStr">
        <is>
          <t>biosphere</t>
        </is>
      </c>
      <c r="G2889" t="inlineStr">
        <is>
          <t>Electricity-only proxy: source amount / 0.33; 100% burden to electricity, before STEM efficiency adjustment.</t>
        </is>
      </c>
    </row>
    <row r="2890">
      <c r="A2890" t="inlineStr">
        <is>
          <t>Tin ion</t>
        </is>
      </c>
      <c r="B2890">
        <v>1.653805004314064e-11</v>
      </c>
      <c r="D2890" t="inlineStr">
        <is>
          <t>kilogram</t>
        </is>
      </c>
      <c r="E2890" t="inlineStr">
        <is>
          <t>air::urban air close to ground</t>
        </is>
      </c>
      <c r="F2890" t="inlineStr">
        <is>
          <t>biosphere</t>
        </is>
      </c>
      <c r="G2890" t="inlineStr">
        <is>
          <t>Electricity-only proxy: source amount / 0.33; 100% burden to electricity, before STEM efficiency adjustment.</t>
        </is>
      </c>
    </row>
    <row r="2891">
      <c r="A2891" t="inlineStr">
        <is>
          <t>Titanium ion</t>
        </is>
      </c>
      <c r="B2891">
        <v>8.015565142364107e-07</v>
      </c>
      <c r="D2891" t="inlineStr">
        <is>
          <t>kilogram</t>
        </is>
      </c>
      <c r="E2891" t="inlineStr">
        <is>
          <t>air::urban air close to ground</t>
        </is>
      </c>
      <c r="F2891" t="inlineStr">
        <is>
          <t>biosphere</t>
        </is>
      </c>
      <c r="G2891" t="inlineStr">
        <is>
          <t>Electricity-only proxy: source amount / 0.33; 100% burden to electricity, before STEM efficiency adjustment.</t>
        </is>
      </c>
    </row>
    <row r="2892">
      <c r="A2892" t="inlineStr">
        <is>
          <t>Toluene</t>
        </is>
      </c>
      <c r="B2892">
        <v>3.1097497842968076e-08</v>
      </c>
      <c r="D2892" t="inlineStr">
        <is>
          <t>kilogram</t>
        </is>
      </c>
      <c r="E2892" t="inlineStr">
        <is>
          <t>air::urban air close to ground</t>
        </is>
      </c>
      <c r="F2892" t="inlineStr">
        <is>
          <t>biosphere</t>
        </is>
      </c>
      <c r="G2892" t="inlineStr">
        <is>
          <t>Electricity-only proxy: source amount / 0.33; 100% burden to electricity, before STEM efficiency adjustment.</t>
        </is>
      </c>
    </row>
    <row r="2893">
      <c r="A2893" t="inlineStr">
        <is>
          <t>Vanadium V</t>
        </is>
      </c>
      <c r="B2893">
        <v>5.9044348576358925e-06</v>
      </c>
      <c r="D2893" t="inlineStr">
        <is>
          <t>kilogram</t>
        </is>
      </c>
      <c r="E2893" t="inlineStr">
        <is>
          <t>air::urban air close to ground</t>
        </is>
      </c>
      <c r="F2893" t="inlineStr">
        <is>
          <t>biosphere</t>
        </is>
      </c>
      <c r="G2893" t="inlineStr">
        <is>
          <t>Electricity-only proxy: source amount / 0.33; 100% burden to electricity, before STEM efficiency adjustment.</t>
        </is>
      </c>
    </row>
    <row r="2894">
      <c r="A2894" t="inlineStr">
        <is>
          <t>Water</t>
        </is>
      </c>
      <c r="B2894">
        <v>0.0035352817946505614</v>
      </c>
      <c r="D2894" t="inlineStr">
        <is>
          <t>cubic meter</t>
        </is>
      </c>
      <c r="E2894" t="inlineStr">
        <is>
          <t>air::urban air close to ground</t>
        </is>
      </c>
      <c r="F2894" t="inlineStr">
        <is>
          <t>biosphere</t>
        </is>
      </c>
      <c r="G2894" t="inlineStr">
        <is>
          <t>Electricity-only proxy: source amount / 0.33; 100% burden to electricity, before STEM efficiency adjustment.</t>
        </is>
      </c>
    </row>
    <row r="2895">
      <c r="A2895" t="inlineStr">
        <is>
          <t>Zinc II</t>
        </is>
      </c>
      <c r="B2895">
        <v>3.620396893874029e-07</v>
      </c>
      <c r="D2895" t="inlineStr">
        <is>
          <t>kilogram</t>
        </is>
      </c>
      <c r="E2895" t="inlineStr">
        <is>
          <t>air::urban air close to ground</t>
        </is>
      </c>
      <c r="F2895" t="inlineStr">
        <is>
          <t>biosphere</t>
        </is>
      </c>
      <c r="G2895" t="inlineStr">
        <is>
          <t>Electricity-only proxy: source amount / 0.33; 100% burden to electricity, before STEM efficiency adjustment.</t>
        </is>
      </c>
    </row>
    <row r="2896">
      <c r="A2896" t="inlineStr">
        <is>
          <t>Aluminium III</t>
        </is>
      </c>
      <c r="B2896">
        <v>0.00018009318377911995</v>
      </c>
      <c r="D2896" t="inlineStr">
        <is>
          <t>kilogram</t>
        </is>
      </c>
      <c r="E2896" t="inlineStr">
        <is>
          <t>water::ground-, long-term</t>
        </is>
      </c>
      <c r="F2896" t="inlineStr">
        <is>
          <t>biosphere</t>
        </is>
      </c>
      <c r="G2896" t="inlineStr">
        <is>
          <t>Electricity-only proxy: source amount / 0.33; 100% burden to electricity, before STEM efficiency adjustment.</t>
        </is>
      </c>
    </row>
    <row r="2897">
      <c r="A2897" t="inlineStr">
        <is>
          <t>Aluminium III</t>
        </is>
      </c>
      <c r="B2897">
        <v>6.59792924935289e-08</v>
      </c>
      <c r="D2897" t="inlineStr">
        <is>
          <t>kilogram</t>
        </is>
      </c>
      <c r="E2897" t="inlineStr">
        <is>
          <t>water::surface water</t>
        </is>
      </c>
      <c r="F2897" t="inlineStr">
        <is>
          <t>biosphere</t>
        </is>
      </c>
      <c r="G2897" t="inlineStr">
        <is>
          <t>Electricity-only proxy: source amount / 0.33; 100% burden to electricity, before STEM efficiency adjustment.</t>
        </is>
      </c>
    </row>
    <row r="2898">
      <c r="A2898" t="inlineStr">
        <is>
          <t>Antimony ion</t>
        </is>
      </c>
      <c r="B2898">
        <v>1.6844521138912856e-05</v>
      </c>
      <c r="D2898" t="inlineStr">
        <is>
          <t>kilogram</t>
        </is>
      </c>
      <c r="E2898" t="inlineStr">
        <is>
          <t>water::ground-, long-term</t>
        </is>
      </c>
      <c r="F2898" t="inlineStr">
        <is>
          <t>biosphere</t>
        </is>
      </c>
      <c r="G2898" t="inlineStr">
        <is>
          <t>Electricity-only proxy: source amount / 0.33; 100% burden to electricity, before STEM efficiency adjustment.</t>
        </is>
      </c>
    </row>
    <row r="2899">
      <c r="A2899" t="inlineStr">
        <is>
          <t>Antimony ion</t>
        </is>
      </c>
      <c r="B2899">
        <v>8.158446937014667e-06</v>
      </c>
      <c r="D2899" t="inlineStr">
        <is>
          <t>kilogram</t>
        </is>
      </c>
      <c r="E2899" t="inlineStr">
        <is>
          <t>water::surface water</t>
        </is>
      </c>
      <c r="F2899" t="inlineStr">
        <is>
          <t>biosphere</t>
        </is>
      </c>
      <c r="G2899" t="inlineStr">
        <is>
          <t>Electricity-only proxy: source amount / 0.33; 100% burden to electricity, before STEM efficiency adjustment.</t>
        </is>
      </c>
    </row>
    <row r="2900">
      <c r="A2900" t="inlineStr">
        <is>
          <t>Arsenic ion</t>
        </is>
      </c>
      <c r="B2900">
        <v>1.119137187230371e-06</v>
      </c>
      <c r="D2900" t="inlineStr">
        <is>
          <t>kilogram</t>
        </is>
      </c>
      <c r="E2900" t="inlineStr">
        <is>
          <t>water::ground-, long-term</t>
        </is>
      </c>
      <c r="F2900" t="inlineStr">
        <is>
          <t>biosphere</t>
        </is>
      </c>
      <c r="G2900" t="inlineStr">
        <is>
          <t>Electricity-only proxy: source amount / 0.33; 100% burden to electricity, before STEM efficiency adjustment.</t>
        </is>
      </c>
    </row>
    <row r="2901">
      <c r="A2901" t="inlineStr">
        <is>
          <t>Arsenic ion</t>
        </is>
      </c>
      <c r="B2901">
        <v>7.177739430543571e-07</v>
      </c>
      <c r="D2901" t="inlineStr">
        <is>
          <t>kilogram</t>
        </is>
      </c>
      <c r="E2901" t="inlineStr">
        <is>
          <t>water::surface water</t>
        </is>
      </c>
      <c r="F2901" t="inlineStr">
        <is>
          <t>biosphere</t>
        </is>
      </c>
      <c r="G2901" t="inlineStr">
        <is>
          <t>Electricity-only proxy: source amount / 0.33; 100% burden to electricity, before STEM efficiency adjustment.</t>
        </is>
      </c>
    </row>
    <row r="2902">
      <c r="A2902" t="inlineStr">
        <is>
          <t>BOD5, Biological Oxygen Demand</t>
        </is>
      </c>
      <c r="B2902">
        <v>0.0015901294219154444</v>
      </c>
      <c r="D2902" t="inlineStr">
        <is>
          <t>kilogram</t>
        </is>
      </c>
      <c r="E2902" t="inlineStr">
        <is>
          <t>water::ground-, long-term</t>
        </is>
      </c>
      <c r="F2902" t="inlineStr">
        <is>
          <t>biosphere</t>
        </is>
      </c>
      <c r="G2902" t="inlineStr">
        <is>
          <t>Electricity-only proxy: source amount / 0.33; 100% burden to electricity, before STEM efficiency adjustment.</t>
        </is>
      </c>
    </row>
    <row r="2903">
      <c r="A2903" t="inlineStr">
        <is>
          <t>BOD5, Biological Oxygen Demand</t>
        </is>
      </c>
      <c r="B2903">
        <v>0.00048803451251078515</v>
      </c>
      <c r="D2903" t="inlineStr">
        <is>
          <t>kilogram</t>
        </is>
      </c>
      <c r="E2903" t="inlineStr">
        <is>
          <t>water::surface water</t>
        </is>
      </c>
      <c r="F2903" t="inlineStr">
        <is>
          <t>biosphere</t>
        </is>
      </c>
      <c r="G2903" t="inlineStr">
        <is>
          <t>Electricity-only proxy: source amount / 0.33; 100% burden to electricity, before STEM efficiency adjustment.</t>
        </is>
      </c>
    </row>
    <row r="2904">
      <c r="A2904" t="inlineStr">
        <is>
          <t>Barium II</t>
        </is>
      </c>
      <c r="B2904">
        <v>0.00013163761863675582</v>
      </c>
      <c r="D2904" t="inlineStr">
        <is>
          <t>kilogram</t>
        </is>
      </c>
      <c r="E2904" t="inlineStr">
        <is>
          <t>water::ground-, long-term</t>
        </is>
      </c>
      <c r="F2904" t="inlineStr">
        <is>
          <t>biosphere</t>
        </is>
      </c>
      <c r="G2904" t="inlineStr">
        <is>
          <t>Electricity-only proxy: source amount / 0.33; 100% burden to electricity, before STEM efficiency adjustment.</t>
        </is>
      </c>
    </row>
    <row r="2905">
      <c r="A2905" t="inlineStr">
        <is>
          <t>Barium II</t>
        </is>
      </c>
      <c r="B2905">
        <v>7.645211389128559e-08</v>
      </c>
      <c r="D2905" t="inlineStr">
        <is>
          <t>kilogram</t>
        </is>
      </c>
      <c r="E2905" t="inlineStr">
        <is>
          <t>water::surface water</t>
        </is>
      </c>
      <c r="F2905" t="inlineStr">
        <is>
          <t>biosphere</t>
        </is>
      </c>
      <c r="G2905" t="inlineStr">
        <is>
          <t>Electricity-only proxy: source amount / 0.33; 100% burden to electricity, before STEM efficiency adjustment.</t>
        </is>
      </c>
    </row>
    <row r="2906">
      <c r="A2906" t="inlineStr">
        <is>
          <t>Beryllium II</t>
        </is>
      </c>
      <c r="B2906">
        <v>4.5334943917169977e-07</v>
      </c>
      <c r="D2906" t="inlineStr">
        <is>
          <t>kilogram</t>
        </is>
      </c>
      <c r="E2906" t="inlineStr">
        <is>
          <t>water::ground-, long-term</t>
        </is>
      </c>
      <c r="F2906" t="inlineStr">
        <is>
          <t>biosphere</t>
        </is>
      </c>
      <c r="G2906" t="inlineStr">
        <is>
          <t>Electricity-only proxy: source amount / 0.33; 100% burden to electricity, before STEM efficiency adjustment.</t>
        </is>
      </c>
    </row>
    <row r="2907">
      <c r="A2907" t="inlineStr">
        <is>
          <t>Beryllium II</t>
        </is>
      </c>
      <c r="B2907">
        <v>3.0063157894736845e-10</v>
      </c>
      <c r="D2907" t="inlineStr">
        <is>
          <t>kilogram</t>
        </is>
      </c>
      <c r="E2907" t="inlineStr">
        <is>
          <t>water::surface water</t>
        </is>
      </c>
      <c r="F2907" t="inlineStr">
        <is>
          <t>biosphere</t>
        </is>
      </c>
      <c r="G2907" t="inlineStr">
        <is>
          <t>Electricity-only proxy: source amount / 0.33; 100% burden to electricity, before STEM efficiency adjustment.</t>
        </is>
      </c>
    </row>
    <row r="2908">
      <c r="A2908" t="inlineStr">
        <is>
          <t>Bromine</t>
        </is>
      </c>
      <c r="B2908">
        <v>3.5058843830888694e-06</v>
      </c>
      <c r="D2908" t="inlineStr">
        <is>
          <t>kilogram</t>
        </is>
      </c>
      <c r="E2908" t="inlineStr">
        <is>
          <t>water::ground-, long-term</t>
        </is>
      </c>
      <c r="F2908" t="inlineStr">
        <is>
          <t>biosphere</t>
        </is>
      </c>
      <c r="G2908" t="inlineStr">
        <is>
          <t>Electricity-only proxy: source amount / 0.33; 100% burden to electricity, before STEM efficiency adjustment.</t>
        </is>
      </c>
    </row>
    <row r="2909">
      <c r="A2909" t="inlineStr">
        <is>
          <t>Bromine</t>
        </is>
      </c>
      <c r="B2909">
        <v>6.275409836065574e-05</v>
      </c>
      <c r="D2909" t="inlineStr">
        <is>
          <t>kilogram</t>
        </is>
      </c>
      <c r="E2909" t="inlineStr">
        <is>
          <t>water::surface water</t>
        </is>
      </c>
      <c r="F2909" t="inlineStr">
        <is>
          <t>biosphere</t>
        </is>
      </c>
      <c r="G2909" t="inlineStr">
        <is>
          <t>Electricity-only proxy: source amount / 0.33; 100% burden to electricity, before STEM efficiency adjustment.</t>
        </is>
      </c>
    </row>
    <row r="2910">
      <c r="A2910" t="inlineStr">
        <is>
          <t>COD, Chemical Oxygen Demand</t>
        </is>
      </c>
      <c r="B2910">
        <v>0.004861294219154444</v>
      </c>
      <c r="D2910" t="inlineStr">
        <is>
          <t>kilogram</t>
        </is>
      </c>
      <c r="E2910" t="inlineStr">
        <is>
          <t>water::ground-, long-term</t>
        </is>
      </c>
      <c r="F2910" t="inlineStr">
        <is>
          <t>biosphere</t>
        </is>
      </c>
      <c r="G2910" t="inlineStr">
        <is>
          <t>Electricity-only proxy: source amount / 0.33; 100% burden to electricity, before STEM efficiency adjustment.</t>
        </is>
      </c>
    </row>
    <row r="2911">
      <c r="A2911" t="inlineStr">
        <is>
          <t>COD, Chemical Oxygen Demand</t>
        </is>
      </c>
      <c r="B2911">
        <v>0.0004987092320966351</v>
      </c>
      <c r="D2911" t="inlineStr">
        <is>
          <t>kilogram</t>
        </is>
      </c>
      <c r="E2911" t="inlineStr">
        <is>
          <t>water::surface water</t>
        </is>
      </c>
      <c r="F2911" t="inlineStr">
        <is>
          <t>biosphere</t>
        </is>
      </c>
      <c r="G2911" t="inlineStr">
        <is>
          <t>Electricity-only proxy: source amount / 0.33; 100% burden to electricity, before STEM efficiency adjustment.</t>
        </is>
      </c>
    </row>
    <row r="2912">
      <c r="A2912" t="inlineStr">
        <is>
          <t>Cadmium II</t>
        </is>
      </c>
      <c r="B2912">
        <v>1.2580845556514236e-05</v>
      </c>
      <c r="D2912" t="inlineStr">
        <is>
          <t>kilogram</t>
        </is>
      </c>
      <c r="E2912" t="inlineStr">
        <is>
          <t>water::ground-, long-term</t>
        </is>
      </c>
      <c r="F2912" t="inlineStr">
        <is>
          <t>biosphere</t>
        </is>
      </c>
      <c r="G2912" t="inlineStr">
        <is>
          <t>Electricity-only proxy: source amount / 0.33; 100% burden to electricity, before STEM efficiency adjustment.</t>
        </is>
      </c>
    </row>
    <row r="2913">
      <c r="A2913" t="inlineStr">
        <is>
          <t>Cadmium II</t>
        </is>
      </c>
      <c r="B2913">
        <v>1.3946505608283001e-08</v>
      </c>
      <c r="D2913" t="inlineStr">
        <is>
          <t>kilogram</t>
        </is>
      </c>
      <c r="E2913" t="inlineStr">
        <is>
          <t>water::surface water</t>
        </is>
      </c>
      <c r="F2913" t="inlineStr">
        <is>
          <t>biosphere</t>
        </is>
      </c>
      <c r="G2913" t="inlineStr">
        <is>
          <t>Electricity-only proxy: source amount / 0.33; 100% burden to electricity, before STEM efficiency adjustment.</t>
        </is>
      </c>
    </row>
    <row r="2914">
      <c r="A2914" t="inlineStr">
        <is>
          <t>Calcium II</t>
        </is>
      </c>
      <c r="B2914">
        <v>0.00014831751509922347</v>
      </c>
      <c r="D2914" t="inlineStr">
        <is>
          <t>kilogram</t>
        </is>
      </c>
      <c r="E2914" t="inlineStr">
        <is>
          <t>water::ground-, long-term</t>
        </is>
      </c>
      <c r="F2914" t="inlineStr">
        <is>
          <t>biosphere</t>
        </is>
      </c>
      <c r="G2914" t="inlineStr">
        <is>
          <t>Electricity-only proxy: source amount / 0.33; 100% burden to electricity, before STEM efficiency adjustment.</t>
        </is>
      </c>
    </row>
    <row r="2915">
      <c r="A2915" t="inlineStr">
        <is>
          <t>Calcium II</t>
        </is>
      </c>
      <c r="B2915">
        <v>2.4759965487489216e-07</v>
      </c>
      <c r="D2915" t="inlineStr">
        <is>
          <t>kilogram</t>
        </is>
      </c>
      <c r="E2915" t="inlineStr">
        <is>
          <t>water::surface water</t>
        </is>
      </c>
      <c r="F2915" t="inlineStr">
        <is>
          <t>biosphere</t>
        </is>
      </c>
      <c r="G2915" t="inlineStr">
        <is>
          <t>Electricity-only proxy: source amount / 0.33; 100% burden to electricity, before STEM efficiency adjustment.</t>
        </is>
      </c>
    </row>
    <row r="2916">
      <c r="A2916" t="inlineStr">
        <is>
          <t>Chloride</t>
        </is>
      </c>
      <c r="B2916">
        <v>0.0023645901639344265</v>
      </c>
      <c r="D2916" t="inlineStr">
        <is>
          <t>kilogram</t>
        </is>
      </c>
      <c r="E2916" t="inlineStr">
        <is>
          <t>water::ground-, long-term</t>
        </is>
      </c>
      <c r="F2916" t="inlineStr">
        <is>
          <t>biosphere</t>
        </is>
      </c>
      <c r="G2916" t="inlineStr">
        <is>
          <t>Electricity-only proxy: source amount / 0.33; 100% burden to electricity, before STEM efficiency adjustment.</t>
        </is>
      </c>
    </row>
    <row r="2917">
      <c r="A2917" t="inlineStr">
        <is>
          <t>Chloride</t>
        </is>
      </c>
      <c r="B2917">
        <v>0.015944779982743743</v>
      </c>
      <c r="D2917" t="inlineStr">
        <is>
          <t>kilogram</t>
        </is>
      </c>
      <c r="E2917" t="inlineStr">
        <is>
          <t>water::surface water</t>
        </is>
      </c>
      <c r="F2917" t="inlineStr">
        <is>
          <t>biosphere</t>
        </is>
      </c>
      <c r="G2917" t="inlineStr">
        <is>
          <t>Electricity-only proxy: source amount / 0.33; 100% burden to electricity, before STEM efficiency adjustment.</t>
        </is>
      </c>
    </row>
    <row r="2918">
      <c r="A2918" t="inlineStr">
        <is>
          <t>Chromium III</t>
        </is>
      </c>
      <c r="B2918">
        <v>5.125625539257981e-09</v>
      </c>
      <c r="D2918" t="inlineStr">
        <is>
          <t>kilogram</t>
        </is>
      </c>
      <c r="E2918" t="inlineStr">
        <is>
          <t>water::surface water</t>
        </is>
      </c>
      <c r="F2918" t="inlineStr">
        <is>
          <t>biosphere</t>
        </is>
      </c>
      <c r="G2918" t="inlineStr">
        <is>
          <t>Electricity-only proxy: source amount / 0.33; 100% burden to electricity, before STEM efficiency adjustment.</t>
        </is>
      </c>
    </row>
    <row r="2919">
      <c r="A2919" t="inlineStr">
        <is>
          <t>Chromium VI</t>
        </is>
      </c>
      <c r="B2919">
        <v>2.0874201898188094e-06</v>
      </c>
      <c r="D2919" t="inlineStr">
        <is>
          <t>kilogram</t>
        </is>
      </c>
      <c r="E2919" t="inlineStr">
        <is>
          <t>water::ground-, long-term</t>
        </is>
      </c>
      <c r="F2919" t="inlineStr">
        <is>
          <t>biosphere</t>
        </is>
      </c>
      <c r="G2919" t="inlineStr">
        <is>
          <t>Electricity-only proxy: source amount / 0.33; 100% burden to electricity, before STEM efficiency adjustment.</t>
        </is>
      </c>
    </row>
    <row r="2920">
      <c r="A2920" t="inlineStr">
        <is>
          <t>Chromium VI</t>
        </is>
      </c>
      <c r="B2920">
        <v>6.00776531492666e-07</v>
      </c>
      <c r="D2920" t="inlineStr">
        <is>
          <t>kilogram</t>
        </is>
      </c>
      <c r="E2920" t="inlineStr">
        <is>
          <t>water::surface water</t>
        </is>
      </c>
      <c r="F2920" t="inlineStr">
        <is>
          <t>biosphere</t>
        </is>
      </c>
      <c r="G2920" t="inlineStr">
        <is>
          <t>Electricity-only proxy: source amount / 0.33; 100% burden to electricity, before STEM efficiency adjustment.</t>
        </is>
      </c>
    </row>
    <row r="2921">
      <c r="A2921" t="inlineStr">
        <is>
          <t>Cobalt II</t>
        </is>
      </c>
      <c r="B2921">
        <v>2.6699223468507333e-05</v>
      </c>
      <c r="D2921" t="inlineStr">
        <is>
          <t>kilogram</t>
        </is>
      </c>
      <c r="E2921" t="inlineStr">
        <is>
          <t>water::ground-, long-term</t>
        </is>
      </c>
      <c r="F2921" t="inlineStr">
        <is>
          <t>biosphere</t>
        </is>
      </c>
      <c r="G2921" t="inlineStr">
        <is>
          <t>Electricity-only proxy: source amount / 0.33; 100% burden to electricity, before STEM efficiency adjustment.</t>
        </is>
      </c>
    </row>
    <row r="2922">
      <c r="A2922" t="inlineStr">
        <is>
          <t>Cobalt II</t>
        </is>
      </c>
      <c r="B2922">
        <v>5.02695427092321e-09</v>
      </c>
      <c r="D2922" t="inlineStr">
        <is>
          <t>kilogram</t>
        </is>
      </c>
      <c r="E2922" t="inlineStr">
        <is>
          <t>water::surface water</t>
        </is>
      </c>
      <c r="F2922" t="inlineStr">
        <is>
          <t>biosphere</t>
        </is>
      </c>
      <c r="G2922" t="inlineStr">
        <is>
          <t>Electricity-only proxy: source amount / 0.33; 100% burden to electricity, before STEM efficiency adjustment.</t>
        </is>
      </c>
    </row>
    <row r="2923">
      <c r="A2923" t="inlineStr">
        <is>
          <t>Copper ion</t>
        </is>
      </c>
      <c r="B2923">
        <v>0.0002891285591026747</v>
      </c>
      <c r="D2923" t="inlineStr">
        <is>
          <t>kilogram</t>
        </is>
      </c>
      <c r="E2923" t="inlineStr">
        <is>
          <t>water::ground-, long-term</t>
        </is>
      </c>
      <c r="F2923" t="inlineStr">
        <is>
          <t>biosphere</t>
        </is>
      </c>
      <c r="G2923" t="inlineStr">
        <is>
          <t>Electricity-only proxy: source amount / 0.33; 100% burden to electricity, before STEM efficiency adjustment.</t>
        </is>
      </c>
    </row>
    <row r="2924">
      <c r="A2924" t="inlineStr">
        <is>
          <t>Copper ion</t>
        </is>
      </c>
      <c r="B2924">
        <v>2.6552200172562554e-08</v>
      </c>
      <c r="D2924" t="inlineStr">
        <is>
          <t>kilogram</t>
        </is>
      </c>
      <c r="E2924" t="inlineStr">
        <is>
          <t>water::surface water</t>
        </is>
      </c>
      <c r="F2924" t="inlineStr">
        <is>
          <t>biosphere</t>
        </is>
      </c>
      <c r="G2924" t="inlineStr">
        <is>
          <t>Electricity-only proxy: source amount / 0.33; 100% burden to electricity, before STEM efficiency adjustment.</t>
        </is>
      </c>
    </row>
    <row r="2925">
      <c r="A2925" t="inlineStr">
        <is>
          <t>DOC, Dissolved Organic Carbon</t>
        </is>
      </c>
      <c r="B2925">
        <v>0.001923623813632442</v>
      </c>
      <c r="D2925" t="inlineStr">
        <is>
          <t>kilogram</t>
        </is>
      </c>
      <c r="E2925" t="inlineStr">
        <is>
          <t>water::ground-, long-term</t>
        </is>
      </c>
      <c r="F2925" t="inlineStr">
        <is>
          <t>biosphere</t>
        </is>
      </c>
      <c r="G2925" t="inlineStr">
        <is>
          <t>Electricity-only proxy: source amount / 0.33; 100% burden to electricity, before STEM efficiency adjustment.</t>
        </is>
      </c>
    </row>
    <row r="2926">
      <c r="A2926" t="inlineStr">
        <is>
          <t>DOC, Dissolved Organic Carbon</t>
        </is>
      </c>
      <c r="B2926">
        <v>0.00021752200172562555</v>
      </c>
      <c r="D2926" t="inlineStr">
        <is>
          <t>kilogram</t>
        </is>
      </c>
      <c r="E2926" t="inlineStr">
        <is>
          <t>water::surface water</t>
        </is>
      </c>
      <c r="F2926" t="inlineStr">
        <is>
          <t>biosphere</t>
        </is>
      </c>
      <c r="G2926" t="inlineStr">
        <is>
          <t>Electricity-only proxy: source amount / 0.33; 100% burden to electricity, before STEM efficiency adjustment.</t>
        </is>
      </c>
    </row>
    <row r="2927">
      <c r="A2927" t="inlineStr">
        <is>
          <t>Fluoride</t>
        </is>
      </c>
      <c r="B2927">
        <v>9.475237273511648e-06</v>
      </c>
      <c r="D2927" t="inlineStr">
        <is>
          <t>kilogram</t>
        </is>
      </c>
      <c r="E2927" t="inlineStr">
        <is>
          <t>water::ground-, long-term</t>
        </is>
      </c>
      <c r="F2927" t="inlineStr">
        <is>
          <t>biosphere</t>
        </is>
      </c>
      <c r="G2927" t="inlineStr">
        <is>
          <t>Electricity-only proxy: source amount / 0.33; 100% burden to electricity, before STEM efficiency adjustment.</t>
        </is>
      </c>
    </row>
    <row r="2928">
      <c r="A2928" t="inlineStr">
        <is>
          <t>Fluoride</t>
        </is>
      </c>
      <c r="B2928">
        <v>4.1335289042277825e-06</v>
      </c>
      <c r="D2928" t="inlineStr">
        <is>
          <t>kilogram</t>
        </is>
      </c>
      <c r="E2928" t="inlineStr">
        <is>
          <t>water::surface water</t>
        </is>
      </c>
      <c r="F2928" t="inlineStr">
        <is>
          <t>biosphere</t>
        </is>
      </c>
      <c r="G2928" t="inlineStr">
        <is>
          <t>Electricity-only proxy: source amount / 0.33; 100% burden to electricity, before STEM efficiency adjustment.</t>
        </is>
      </c>
    </row>
    <row r="2929">
      <c r="A2929" t="inlineStr">
        <is>
          <t>Heat, waste</t>
        </is>
      </c>
      <c r="B2929">
        <v>6.510232959447799</v>
      </c>
      <c r="D2929" t="inlineStr">
        <is>
          <t>megajoule</t>
        </is>
      </c>
      <c r="E2929" t="inlineStr">
        <is>
          <t>water::surface water</t>
        </is>
      </c>
      <c r="F2929" t="inlineStr">
        <is>
          <t>biosphere</t>
        </is>
      </c>
      <c r="G2929" t="inlineStr">
        <is>
          <t>Electricity-only proxy: source amount / 0.33; 100% burden to electricity, before STEM efficiency adjustment.</t>
        </is>
      </c>
    </row>
    <row r="2930">
      <c r="A2930" t="inlineStr">
        <is>
          <t>Iron ion</t>
        </is>
      </c>
      <c r="B2930">
        <v>0.0018422433132010353</v>
      </c>
      <c r="D2930" t="inlineStr">
        <is>
          <t>kilogram</t>
        </is>
      </c>
      <c r="E2930" t="inlineStr">
        <is>
          <t>water::ground-, long-term</t>
        </is>
      </c>
      <c r="F2930" t="inlineStr">
        <is>
          <t>biosphere</t>
        </is>
      </c>
      <c r="G2930" t="inlineStr">
        <is>
          <t>Electricity-only proxy: source amount / 0.33; 100% burden to electricity, before STEM efficiency adjustment.</t>
        </is>
      </c>
    </row>
    <row r="2931">
      <c r="A2931" t="inlineStr">
        <is>
          <t>Iron ion</t>
        </is>
      </c>
      <c r="B2931">
        <v>6.945090595340811e-08</v>
      </c>
      <c r="D2931" t="inlineStr">
        <is>
          <t>kilogram</t>
        </is>
      </c>
      <c r="E2931" t="inlineStr">
        <is>
          <t>water::surface water</t>
        </is>
      </c>
      <c r="F2931" t="inlineStr">
        <is>
          <t>biosphere</t>
        </is>
      </c>
      <c r="G2931" t="inlineStr">
        <is>
          <t>Electricity-only proxy: source amount / 0.33; 100% burden to electricity, before STEM efficiency adjustment.</t>
        </is>
      </c>
    </row>
    <row r="2932">
      <c r="A2932" t="inlineStr">
        <is>
          <t>Lead II</t>
        </is>
      </c>
      <c r="B2932">
        <v>0.00031770491803278687</v>
      </c>
      <c r="D2932" t="inlineStr">
        <is>
          <t>kilogram</t>
        </is>
      </c>
      <c r="E2932" t="inlineStr">
        <is>
          <t>water::ground-, long-term</t>
        </is>
      </c>
      <c r="F2932" t="inlineStr">
        <is>
          <t>biosphere</t>
        </is>
      </c>
      <c r="G2932" t="inlineStr">
        <is>
          <t>Electricity-only proxy: source amount / 0.33; 100% burden to electricity, before STEM efficiency adjustment.</t>
        </is>
      </c>
    </row>
    <row r="2933">
      <c r="A2933" t="inlineStr">
        <is>
          <t>Lead II</t>
        </is>
      </c>
      <c r="B2933">
        <v>3.072683347713546e-08</v>
      </c>
      <c r="D2933" t="inlineStr">
        <is>
          <t>kilogram</t>
        </is>
      </c>
      <c r="E2933" t="inlineStr">
        <is>
          <t>water::surface water</t>
        </is>
      </c>
      <c r="F2933" t="inlineStr">
        <is>
          <t>biosphere</t>
        </is>
      </c>
      <c r="G2933" t="inlineStr">
        <is>
          <t>Electricity-only proxy: source amount / 0.33; 100% burden to electricity, before STEM efficiency adjustment.</t>
        </is>
      </c>
    </row>
    <row r="2934">
      <c r="A2934" t="inlineStr">
        <is>
          <t>Manganese II</t>
        </is>
      </c>
      <c r="B2934">
        <v>6.121863675582398e-05</v>
      </c>
      <c r="D2934" t="inlineStr">
        <is>
          <t>kilogram</t>
        </is>
      </c>
      <c r="E2934" t="inlineStr">
        <is>
          <t>water::ground-, long-term</t>
        </is>
      </c>
      <c r="F2934" t="inlineStr">
        <is>
          <t>biosphere</t>
        </is>
      </c>
      <c r="G2934" t="inlineStr">
        <is>
          <t>Electricity-only proxy: source amount / 0.33; 100% burden to electricity, before STEM efficiency adjustment.</t>
        </is>
      </c>
    </row>
    <row r="2935">
      <c r="A2935" t="inlineStr">
        <is>
          <t>Manganese II</t>
        </is>
      </c>
      <c r="B2935">
        <v>9.43806729939603e-09</v>
      </c>
      <c r="D2935" t="inlineStr">
        <is>
          <t>kilogram</t>
        </is>
      </c>
      <c r="E2935" t="inlineStr">
        <is>
          <t>water::surface water</t>
        </is>
      </c>
      <c r="F2935" t="inlineStr">
        <is>
          <t>biosphere</t>
        </is>
      </c>
      <c r="G2935" t="inlineStr">
        <is>
          <t>Electricity-only proxy: source amount / 0.33; 100% burden to electricity, before STEM efficiency adjustment.</t>
        </is>
      </c>
    </row>
    <row r="2936">
      <c r="A2936" t="inlineStr">
        <is>
          <t>Mercury II</t>
        </is>
      </c>
      <c r="B2936">
        <v>1.7228645383951681e-07</v>
      </c>
      <c r="D2936" t="inlineStr">
        <is>
          <t>kilogram</t>
        </is>
      </c>
      <c r="E2936" t="inlineStr">
        <is>
          <t>water::ground-, long-term</t>
        </is>
      </c>
      <c r="F2936" t="inlineStr">
        <is>
          <t>biosphere</t>
        </is>
      </c>
      <c r="G2936" t="inlineStr">
        <is>
          <t>Electricity-only proxy: source amount / 0.33; 100% burden to electricity, before STEM efficiency adjustment.</t>
        </is>
      </c>
    </row>
    <row r="2937">
      <c r="A2937" t="inlineStr">
        <is>
          <t>Mercury II</t>
        </is>
      </c>
      <c r="B2937">
        <v>4.365245901639344e-09</v>
      </c>
      <c r="D2937" t="inlineStr">
        <is>
          <t>kilogram</t>
        </is>
      </c>
      <c r="E2937" t="inlineStr">
        <is>
          <t>water::surface water</t>
        </is>
      </c>
      <c r="F2937" t="inlineStr">
        <is>
          <t>biosphere</t>
        </is>
      </c>
      <c r="G2937" t="inlineStr">
        <is>
          <t>Electricity-only proxy: source amount / 0.33; 100% burden to electricity, before STEM efficiency adjustment.</t>
        </is>
      </c>
    </row>
    <row r="2938">
      <c r="A2938" t="inlineStr">
        <is>
          <t>Nickel II</t>
        </is>
      </c>
      <c r="B2938">
        <v>1.946816220880069e-05</v>
      </c>
      <c r="D2938" t="inlineStr">
        <is>
          <t>kilogram</t>
        </is>
      </c>
      <c r="E2938" t="inlineStr">
        <is>
          <t>water::ground-, long-term</t>
        </is>
      </c>
      <c r="F2938" t="inlineStr">
        <is>
          <t>biosphere</t>
        </is>
      </c>
      <c r="G2938" t="inlineStr">
        <is>
          <t>Electricity-only proxy: source amount / 0.33; 100% burden to electricity, before STEM efficiency adjustment.</t>
        </is>
      </c>
    </row>
    <row r="2939">
      <c r="A2939" t="inlineStr">
        <is>
          <t>Nickel II</t>
        </is>
      </c>
      <c r="B2939">
        <v>1.3190681622088009e-08</v>
      </c>
      <c r="D2939" t="inlineStr">
        <is>
          <t>kilogram</t>
        </is>
      </c>
      <c r="E2939" t="inlineStr">
        <is>
          <t>water::surface water</t>
        </is>
      </c>
      <c r="F2939" t="inlineStr">
        <is>
          <t>biosphere</t>
        </is>
      </c>
      <c r="G2939" t="inlineStr">
        <is>
          <t>Electricity-only proxy: source amount / 0.33; 100% burden to electricity, before STEM efficiency adjustment.</t>
        </is>
      </c>
    </row>
    <row r="2940">
      <c r="A2940" t="inlineStr">
        <is>
          <t>Nitrate</t>
        </is>
      </c>
      <c r="B2940">
        <v>0.00022697497842968074</v>
      </c>
      <c r="D2940" t="inlineStr">
        <is>
          <t>kilogram</t>
        </is>
      </c>
      <c r="E2940" t="inlineStr">
        <is>
          <t>water::ground-, long-term</t>
        </is>
      </c>
      <c r="F2940" t="inlineStr">
        <is>
          <t>biosphere</t>
        </is>
      </c>
      <c r="G2940" t="inlineStr">
        <is>
          <t>Electricity-only proxy: source amount / 0.33; 100% burden to electricity, before STEM efficiency adjustment.</t>
        </is>
      </c>
    </row>
    <row r="2941">
      <c r="A2941" t="inlineStr">
        <is>
          <t>Nitrate</t>
        </is>
      </c>
      <c r="B2941">
        <v>8.130284728213977e-05</v>
      </c>
      <c r="D2941" t="inlineStr">
        <is>
          <t>kilogram</t>
        </is>
      </c>
      <c r="E2941" t="inlineStr">
        <is>
          <t>water::surface water</t>
        </is>
      </c>
      <c r="F2941" t="inlineStr">
        <is>
          <t>biosphere</t>
        </is>
      </c>
      <c r="G2941" t="inlineStr">
        <is>
          <t>Electricity-only proxy: source amount / 0.33; 100% burden to electricity, before STEM efficiency adjustment.</t>
        </is>
      </c>
    </row>
    <row r="2942">
      <c r="A2942" t="inlineStr">
        <is>
          <t>Selenium IV</t>
        </is>
      </c>
      <c r="B2942">
        <v>1.556997411561691e-06</v>
      </c>
      <c r="D2942" t="inlineStr">
        <is>
          <t>kilogram</t>
        </is>
      </c>
      <c r="E2942" t="inlineStr">
        <is>
          <t>water::ground-, long-term</t>
        </is>
      </c>
      <c r="F2942" t="inlineStr">
        <is>
          <t>biosphere</t>
        </is>
      </c>
      <c r="G2942" t="inlineStr">
        <is>
          <t>Electricity-only proxy: source amount / 0.33; 100% burden to electricity, before STEM efficiency adjustment.</t>
        </is>
      </c>
    </row>
    <row r="2943">
      <c r="A2943" t="inlineStr">
        <is>
          <t>Selenium IV</t>
        </is>
      </c>
      <c r="B2943">
        <v>4.042312338222606e-07</v>
      </c>
      <c r="D2943" t="inlineStr">
        <is>
          <t>kilogram</t>
        </is>
      </c>
      <c r="E2943" t="inlineStr">
        <is>
          <t>water::surface water</t>
        </is>
      </c>
      <c r="F2943" t="inlineStr">
        <is>
          <t>biosphere</t>
        </is>
      </c>
      <c r="G2943" t="inlineStr">
        <is>
          <t>Electricity-only proxy: source amount / 0.33; 100% burden to electricity, before STEM efficiency adjustment.</t>
        </is>
      </c>
    </row>
    <row r="2944">
      <c r="A2944" t="inlineStr">
        <is>
          <t>Silicon</t>
        </is>
      </c>
      <c r="B2944">
        <v>0.0003573805004314064</v>
      </c>
      <c r="D2944" t="inlineStr">
        <is>
          <t>kilogram</t>
        </is>
      </c>
      <c r="E2944" t="inlineStr">
        <is>
          <t>water::ground-, long-term</t>
        </is>
      </c>
      <c r="F2944" t="inlineStr">
        <is>
          <t>biosphere</t>
        </is>
      </c>
      <c r="G2944" t="inlineStr">
        <is>
          <t>Electricity-only proxy: source amount / 0.33; 100% burden to electricity, before STEM efficiency adjustment.</t>
        </is>
      </c>
    </row>
    <row r="2945">
      <c r="A2945" t="inlineStr">
        <is>
          <t>Silicon</t>
        </is>
      </c>
      <c r="B2945">
        <v>8.055427092320967e-07</v>
      </c>
      <c r="D2945" t="inlineStr">
        <is>
          <t>kilogram</t>
        </is>
      </c>
      <c r="E2945" t="inlineStr">
        <is>
          <t>water::surface water</t>
        </is>
      </c>
      <c r="F2945" t="inlineStr">
        <is>
          <t>biosphere</t>
        </is>
      </c>
      <c r="G2945" t="inlineStr">
        <is>
          <t>Electricity-only proxy: source amount / 0.33; 100% burden to electricity, before STEM efficiency adjustment.</t>
        </is>
      </c>
    </row>
    <row r="2946">
      <c r="A2946" t="inlineStr">
        <is>
          <t>Sodium I</t>
        </is>
      </c>
      <c r="B2946">
        <v>0.0009266609145815358</v>
      </c>
      <c r="D2946" t="inlineStr">
        <is>
          <t>kilogram</t>
        </is>
      </c>
      <c r="E2946" t="inlineStr">
        <is>
          <t>water::ground-, long-term</t>
        </is>
      </c>
      <c r="F2946" t="inlineStr">
        <is>
          <t>biosphere</t>
        </is>
      </c>
      <c r="G2946" t="inlineStr">
        <is>
          <t>Electricity-only proxy: source amount / 0.33; 100% burden to electricity, before STEM efficiency adjustment.</t>
        </is>
      </c>
    </row>
    <row r="2947">
      <c r="A2947" t="inlineStr">
        <is>
          <t>Sodium I</t>
        </is>
      </c>
      <c r="B2947">
        <v>0.0004659603106125971</v>
      </c>
      <c r="D2947" t="inlineStr">
        <is>
          <t>kilogram</t>
        </is>
      </c>
      <c r="E2947" t="inlineStr">
        <is>
          <t>water::surface water</t>
        </is>
      </c>
      <c r="F2947" t="inlineStr">
        <is>
          <t>biosphere</t>
        </is>
      </c>
      <c r="G2947" t="inlineStr">
        <is>
          <t>Electricity-only proxy: source amount / 0.33; 100% burden to electricity, before STEM efficiency adjustment.</t>
        </is>
      </c>
    </row>
    <row r="2948">
      <c r="A2948" t="inlineStr">
        <is>
          <t>Strontium</t>
        </is>
      </c>
      <c r="B2948">
        <v>8.541121656600517e-05</v>
      </c>
      <c r="D2948" t="inlineStr">
        <is>
          <t>kilogram</t>
        </is>
      </c>
      <c r="E2948" t="inlineStr">
        <is>
          <t>water::ground-, long-term</t>
        </is>
      </c>
      <c r="F2948" t="inlineStr">
        <is>
          <t>biosphere</t>
        </is>
      </c>
      <c r="G2948" t="inlineStr">
        <is>
          <t>Electricity-only proxy: source amount / 0.33; 100% burden to electricity, before STEM efficiency adjustment.</t>
        </is>
      </c>
    </row>
    <row r="2949">
      <c r="A2949" t="inlineStr">
        <is>
          <t>Strontium</t>
        </is>
      </c>
      <c r="B2949">
        <v>5.589887834339948e-08</v>
      </c>
      <c r="D2949" t="inlineStr">
        <is>
          <t>kilogram</t>
        </is>
      </c>
      <c r="E2949" t="inlineStr">
        <is>
          <t>water::surface water</t>
        </is>
      </c>
      <c r="F2949" t="inlineStr">
        <is>
          <t>biosphere</t>
        </is>
      </c>
      <c r="G2949" t="inlineStr">
        <is>
          <t>Electricity-only proxy: source amount / 0.33; 100% burden to electricity, before STEM efficiency adjustment.</t>
        </is>
      </c>
    </row>
    <row r="2950">
      <c r="A2950" t="inlineStr">
        <is>
          <t>Sulfate</t>
        </is>
      </c>
      <c r="B2950">
        <v>0.0034823813632441766</v>
      </c>
      <c r="D2950" t="inlineStr">
        <is>
          <t>kilogram</t>
        </is>
      </c>
      <c r="E2950" t="inlineStr">
        <is>
          <t>water::ground-, long-term</t>
        </is>
      </c>
      <c r="F2950" t="inlineStr">
        <is>
          <t>biosphere</t>
        </is>
      </c>
      <c r="G2950" t="inlineStr">
        <is>
          <t>Electricity-only proxy: source amount / 0.33; 100% burden to electricity, before STEM efficiency adjustment.</t>
        </is>
      </c>
    </row>
    <row r="2951">
      <c r="A2951" t="inlineStr">
        <is>
          <t>Sulfate</t>
        </is>
      </c>
      <c r="B2951">
        <v>0.0005951855047454703</v>
      </c>
      <c r="D2951" t="inlineStr">
        <is>
          <t>kilogram</t>
        </is>
      </c>
      <c r="E2951" t="inlineStr">
        <is>
          <t>water::surface water</t>
        </is>
      </c>
      <c r="F2951" t="inlineStr">
        <is>
          <t>biosphere</t>
        </is>
      </c>
      <c r="G2951" t="inlineStr">
        <is>
          <t>Electricity-only proxy: source amount / 0.33; 100% burden to electricity, before STEM efficiency adjustment.</t>
        </is>
      </c>
    </row>
    <row r="2952">
      <c r="A2952" t="inlineStr">
        <is>
          <t>TOC, Total Organic Carbon</t>
        </is>
      </c>
      <c r="B2952">
        <v>0.001923623813632442</v>
      </c>
      <c r="D2952" t="inlineStr">
        <is>
          <t>kilogram</t>
        </is>
      </c>
      <c r="E2952" t="inlineStr">
        <is>
          <t>water::ground-, long-term</t>
        </is>
      </c>
      <c r="F2952" t="inlineStr">
        <is>
          <t>biosphere</t>
        </is>
      </c>
      <c r="G2952" t="inlineStr">
        <is>
          <t>Electricity-only proxy: source amount / 0.33; 100% burden to electricity, before STEM efficiency adjustment.</t>
        </is>
      </c>
    </row>
    <row r="2953">
      <c r="A2953" t="inlineStr">
        <is>
          <t>TOC, Total Organic Carbon</t>
        </is>
      </c>
      <c r="B2953">
        <v>0.00021752200172562555</v>
      </c>
      <c r="D2953" t="inlineStr">
        <is>
          <t>kilogram</t>
        </is>
      </c>
      <c r="E2953" t="inlineStr">
        <is>
          <t>water::surface water</t>
        </is>
      </c>
      <c r="F2953" t="inlineStr">
        <is>
          <t>biosphere</t>
        </is>
      </c>
      <c r="G2953" t="inlineStr">
        <is>
          <t>Electricity-only proxy: source amount / 0.33; 100% burden to electricity, before STEM efficiency adjustment.</t>
        </is>
      </c>
    </row>
    <row r="2954">
      <c r="A2954" t="inlineStr">
        <is>
          <t>Thallium I</t>
        </is>
      </c>
      <c r="B2954">
        <v>2.963037100949094e-07</v>
      </c>
      <c r="D2954" t="inlineStr">
        <is>
          <t>kilogram</t>
        </is>
      </c>
      <c r="E2954" t="inlineStr">
        <is>
          <t>water::ground-, long-term</t>
        </is>
      </c>
      <c r="F2954" t="inlineStr">
        <is>
          <t>biosphere</t>
        </is>
      </c>
      <c r="G2954" t="inlineStr">
        <is>
          <t>Electricity-only proxy: source amount / 0.33; 100% burden to electricity, before STEM efficiency adjustment.</t>
        </is>
      </c>
    </row>
    <row r="2955">
      <c r="A2955" t="inlineStr">
        <is>
          <t>Thallium I</t>
        </is>
      </c>
      <c r="B2955">
        <v>2.745918895599655e-10</v>
      </c>
      <c r="D2955" t="inlineStr">
        <is>
          <t>kilogram</t>
        </is>
      </c>
      <c r="E2955" t="inlineStr">
        <is>
          <t>water::surface water</t>
        </is>
      </c>
      <c r="F2955" t="inlineStr">
        <is>
          <t>biosphere</t>
        </is>
      </c>
      <c r="G2955" t="inlineStr">
        <is>
          <t>Electricity-only proxy: source amount / 0.33; 100% burden to electricity, before STEM efficiency adjustment.</t>
        </is>
      </c>
    </row>
    <row r="2956">
      <c r="A2956" t="inlineStr">
        <is>
          <t>Tin ion</t>
        </is>
      </c>
      <c r="B2956">
        <v>1.6803106125970664e-05</v>
      </c>
      <c r="D2956" t="inlineStr">
        <is>
          <t>kilogram</t>
        </is>
      </c>
      <c r="E2956" t="inlineStr">
        <is>
          <t>water::ground-, long-term</t>
        </is>
      </c>
      <c r="F2956" t="inlineStr">
        <is>
          <t>biosphere</t>
        </is>
      </c>
      <c r="G2956" t="inlineStr">
        <is>
          <t>Electricity-only proxy: source amount / 0.33; 100% burden to electricity, before STEM efficiency adjustment.</t>
        </is>
      </c>
    </row>
    <row r="2957">
      <c r="A2957" t="inlineStr">
        <is>
          <t>Tin ion</t>
        </is>
      </c>
      <c r="B2957">
        <v>2.2885936151855048e-08</v>
      </c>
      <c r="D2957" t="inlineStr">
        <is>
          <t>kilogram</t>
        </is>
      </c>
      <c r="E2957" t="inlineStr">
        <is>
          <t>water::surface water</t>
        </is>
      </c>
      <c r="F2957" t="inlineStr">
        <is>
          <t>biosphere</t>
        </is>
      </c>
      <c r="G2957" t="inlineStr">
        <is>
          <t>Electricity-only proxy: source amount / 0.33; 100% burden to electricity, before STEM efficiency adjustment.</t>
        </is>
      </c>
    </row>
    <row r="2958">
      <c r="A2958" t="inlineStr">
        <is>
          <t>Titanium ion</t>
        </is>
      </c>
      <c r="B2958">
        <v>0.0002891285591026747</v>
      </c>
      <c r="D2958" t="inlineStr">
        <is>
          <t>kilogram</t>
        </is>
      </c>
      <c r="E2958" t="inlineStr">
        <is>
          <t>water::ground-, long-term</t>
        </is>
      </c>
      <c r="F2958" t="inlineStr">
        <is>
          <t>biosphere</t>
        </is>
      </c>
      <c r="G2958" t="inlineStr">
        <is>
          <t>Electricity-only proxy: source amount / 0.33; 100% burden to electricity, before STEM efficiency adjustment.</t>
        </is>
      </c>
    </row>
    <row r="2959">
      <c r="A2959" t="inlineStr">
        <is>
          <t>Titanium ion</t>
        </is>
      </c>
      <c r="B2959">
        <v>1.9669025021570322e-07</v>
      </c>
      <c r="D2959" t="inlineStr">
        <is>
          <t>kilogram</t>
        </is>
      </c>
      <c r="E2959" t="inlineStr">
        <is>
          <t>water::surface water</t>
        </is>
      </c>
      <c r="F2959" t="inlineStr">
        <is>
          <t>biosphere</t>
        </is>
      </c>
      <c r="G2959" t="inlineStr">
        <is>
          <t>Electricity-only proxy: source amount / 0.33; 100% burden to electricity, before STEM efficiency adjustment.</t>
        </is>
      </c>
    </row>
    <row r="2960">
      <c r="A2960" t="inlineStr">
        <is>
          <t>Vanadium V</t>
        </is>
      </c>
      <c r="B2960">
        <v>8.211458153580673e-05</v>
      </c>
      <c r="D2960" t="inlineStr">
        <is>
          <t>kilogram</t>
        </is>
      </c>
      <c r="E2960" t="inlineStr">
        <is>
          <t>water::ground-, long-term</t>
        </is>
      </c>
      <c r="F2960" t="inlineStr">
        <is>
          <t>biosphere</t>
        </is>
      </c>
      <c r="G2960" t="inlineStr">
        <is>
          <t>Electricity-only proxy: source amount / 0.33; 100% burden to electricity, before STEM efficiency adjustment.</t>
        </is>
      </c>
    </row>
    <row r="2961">
      <c r="A2961" t="inlineStr">
        <is>
          <t>Vanadium V</t>
        </is>
      </c>
      <c r="B2961">
        <v>3.238757549611734e-07</v>
      </c>
      <c r="D2961" t="inlineStr">
        <is>
          <t>kilogram</t>
        </is>
      </c>
      <c r="E2961" t="inlineStr">
        <is>
          <t>water::surface water</t>
        </is>
      </c>
      <c r="F2961" t="inlineStr">
        <is>
          <t>biosphere</t>
        </is>
      </c>
      <c r="G2961" t="inlineStr">
        <is>
          <t>Electricity-only proxy: source amount / 0.33; 100% burden to electricity, before STEM efficiency adjustment.</t>
        </is>
      </c>
    </row>
    <row r="2962">
      <c r="A2962" t="inlineStr">
        <is>
          <t>Water</t>
        </is>
      </c>
      <c r="B2962">
        <v>0.0013041473684210524</v>
      </c>
      <c r="D2962" t="inlineStr">
        <is>
          <t>cubic meter</t>
        </is>
      </c>
      <c r="E2962" t="inlineStr">
        <is>
          <t>water::surface water</t>
        </is>
      </c>
      <c r="F2962" t="inlineStr">
        <is>
          <t>biosphere</t>
        </is>
      </c>
      <c r="G2962" t="inlineStr">
        <is>
          <t>Electricity-only proxy: source amount / 0.33; 100% burden to electricity, before STEM efficiency adjustment.</t>
        </is>
      </c>
    </row>
    <row r="2963">
      <c r="A2963" t="inlineStr">
        <is>
          <t>Zinc II</t>
        </is>
      </c>
      <c r="B2963">
        <v>0.00024253666954270924</v>
      </c>
      <c r="D2963" t="inlineStr">
        <is>
          <t>kilogram</t>
        </is>
      </c>
      <c r="E2963" t="inlineStr">
        <is>
          <t>water::ground-, long-term</t>
        </is>
      </c>
      <c r="F2963" t="inlineStr">
        <is>
          <t>biosphere</t>
        </is>
      </c>
      <c r="G2963" t="inlineStr">
        <is>
          <t>Electricity-only proxy: source amount / 0.33; 100% burden to electricity, before STEM efficiency adjustment.</t>
        </is>
      </c>
    </row>
    <row r="2964">
      <c r="A2964" t="inlineStr">
        <is>
          <t>Zinc II</t>
        </is>
      </c>
      <c r="B2964">
        <v>3.2997411561691115e-08</v>
      </c>
      <c r="D2964" t="inlineStr">
        <is>
          <t>kilogram</t>
        </is>
      </c>
      <c r="E2964" t="inlineStr">
        <is>
          <t>water::surface water</t>
        </is>
      </c>
      <c r="F2964" t="inlineStr">
        <is>
          <t>biosphere</t>
        </is>
      </c>
      <c r="G2964" t="inlineStr">
        <is>
          <t>Electricity-only proxy: source amount / 0.33; 100% burden to electricity, before STEM efficiency adjustment.</t>
        </is>
      </c>
    </row>
    <row r="2965">
      <c r="A2965" t="inlineStr">
        <is>
          <t>Oxygen</t>
        </is>
      </c>
      <c r="B2965">
        <v>2.5667989646246765</v>
      </c>
      <c r="D2965" t="inlineStr">
        <is>
          <t>kilogram</t>
        </is>
      </c>
      <c r="E2965" t="inlineStr">
        <is>
          <t>natural resource::in air</t>
        </is>
      </c>
      <c r="F2965" t="inlineStr">
        <is>
          <t>biosphere</t>
        </is>
      </c>
      <c r="G2965" t="inlineStr">
        <is>
          <t>Electricity-only proxy: source amount / 0.33; 100% burden to electricity, before STEM efficiency adjustment.</t>
        </is>
      </c>
    </row>
    <row r="2966">
      <c r="A2966" t="inlineStr">
        <is>
          <t>carbon dioxide, captured at wood burning power plant 20 MW post, pipeline 200km, storage 1000m</t>
        </is>
      </c>
      <c r="B2966">
        <v>2.1517998274374466</v>
      </c>
      <c r="C2966" t="inlineStr">
        <is>
          <t>RER</t>
        </is>
      </c>
      <c r="D2966" t="inlineStr">
        <is>
          <t>kilogram</t>
        </is>
      </c>
      <c r="F2966" t="inlineStr">
        <is>
          <t>technosphere</t>
        </is>
      </c>
      <c r="G2966" t="inlineStr">
        <is>
          <t>Electricity-only proxy: source amount / 0.33; 100% burden to electricity, before STEM efficiency adjustment.</t>
        </is>
      </c>
      <c r="H2966" t="inlineStr">
        <is>
          <t>carbon dioxide, captured at wood burning power plant 20 MW post, pipeline 200km, storage 1000m</t>
        </is>
      </c>
    </row>
    <row r="2967">
      <c r="A2967" t="inlineStr">
        <is>
          <t>Carbon dioxide, fossil</t>
        </is>
      </c>
      <c r="B2967">
        <v>0.2390888697152716</v>
      </c>
      <c r="D2967" t="inlineStr">
        <is>
          <t>kilogram</t>
        </is>
      </c>
      <c r="E2967" t="inlineStr">
        <is>
          <t>air</t>
        </is>
      </c>
      <c r="F2967" t="inlineStr">
        <is>
          <t>biosphere</t>
        </is>
      </c>
      <c r="G2967" t="inlineStr">
        <is>
          <t>This amount is here is not captured (90% efficiency). Electricity-only proxy: source amount / 0.33; 100% burden to electricity, before STEM efficiency adjustment.</t>
        </is>
      </c>
    </row>
    <row r="2968">
      <c r="A2968" t="inlineStr">
        <is>
          <t>Oil, crude</t>
        </is>
      </c>
      <c r="B2968">
        <v>0.7142857142857143</v>
      </c>
      <c r="D2968" t="inlineStr">
        <is>
          <t>kilogram</t>
        </is>
      </c>
      <c r="E2968" t="inlineStr">
        <is>
          <t>natural resource::in ground</t>
        </is>
      </c>
      <c r="F2968" t="inlineStr">
        <is>
          <t>biosphere</t>
        </is>
      </c>
      <c r="G2968" t="inlineStr">
        <is>
          <t>Plastic waste energy input Electricity-only proxy: source amount / 0.33; 100% burden to electricity, before STEM efficiency adjustment.</t>
        </is>
      </c>
    </row>
    <row r="2969"/>
    <row r="2970"/>
    <row r="2971">
      <c r="A2971" t="inlineStr">
        <is>
          <t>Activity</t>
        </is>
      </c>
      <c r="B2971" t="inlineStr">
        <is>
          <t>electricity production, from incineration of biowaste, electricity only</t>
        </is>
      </c>
    </row>
    <row r="2972">
      <c r="A2972" t="inlineStr">
        <is>
          <t>location</t>
        </is>
      </c>
      <c r="B2972" t="inlineStr">
        <is>
          <t>CH</t>
        </is>
      </c>
    </row>
    <row r="2973">
      <c r="A2973" t="inlineStr">
        <is>
          <t>production amount</t>
        </is>
      </c>
      <c r="B2973">
        <v>1</v>
      </c>
    </row>
    <row r="2974">
      <c r="A2974" t="inlineStr">
        <is>
          <t>reference product</t>
        </is>
      </c>
      <c r="B2974" t="inlineStr">
        <is>
          <t>electricity, from incineration of biowaste, electricity only</t>
        </is>
      </c>
    </row>
    <row r="2975">
      <c r="A2975" t="inlineStr">
        <is>
          <t>type</t>
        </is>
      </c>
      <c r="B2975" t="inlineStr">
        <is>
          <t>process</t>
        </is>
      </c>
    </row>
    <row r="2976">
      <c r="A2976" t="inlineStr">
        <is>
          <t>unit</t>
        </is>
      </c>
      <c r="B2976" t="inlineStr">
        <is>
          <t>kilowatt hour</t>
        </is>
      </c>
    </row>
    <row r="2977">
      <c r="A2977" t="inlineStr">
        <is>
          <t>source</t>
        </is>
      </c>
      <c r="B2977" t="inlineStr">
        <is>
          <t>ecoinvent 3.9.1 cutoff</t>
        </is>
      </c>
    </row>
    <row r="2978">
      <c r="A2978" t="inlineStr">
        <is>
          <t>current efficiency</t>
        </is>
      </c>
      <c r="B2978">
        <v>0.0957</v>
      </c>
    </row>
    <row r="2979">
      <c r="A2979" t="inlineStr">
        <is>
          <t>comment</t>
        </is>
      </c>
      <c r="B2979" t="inlineStr">
        <is>
          <t>Electricity-only proxy derived from 'electricity production, from biowaste, municipal incineration, energy allocation'. All energy-production burdens assigned to electricity: divide non-production exchanges by the source electricity allocation factor 0.29. No useful heat coproduct. Retain the source's declared physical electrical efficiency before applying the matching absolute STEM efficiency. CCS capture and storage, residual emissions and biomass uptake retain their source ratios. Source documentation: 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0.42MJ/kg electric energy and 1.01MJ/kg thermal energy. Allocation to electricity production: 0.42 / (1.01 + 0.42) = 29%. Hence, to deliver 1 kWh of electricity: 1/0.42 * 29% * 3.6.</t>
        </is>
      </c>
    </row>
    <row r="2980">
      <c r="A2980" t="inlineStr">
        <is>
          <t>Exchanges</t>
        </is>
      </c>
    </row>
    <row r="2981">
      <c r="A2981" t="inlineStr">
        <is>
          <t>name</t>
        </is>
      </c>
      <c r="B2981" t="inlineStr">
        <is>
          <t>amount</t>
        </is>
      </c>
      <c r="C2981" t="inlineStr">
        <is>
          <t>location</t>
        </is>
      </c>
      <c r="D2981" t="inlineStr">
        <is>
          <t>unit</t>
        </is>
      </c>
      <c r="E2981" t="inlineStr">
        <is>
          <t>categories</t>
        </is>
      </c>
      <c r="F2981" t="inlineStr">
        <is>
          <t>type</t>
        </is>
      </c>
      <c r="G2981" t="inlineStr">
        <is>
          <t>comment</t>
        </is>
      </c>
      <c r="H2981" t="inlineStr">
        <is>
          <t>reference product</t>
        </is>
      </c>
    </row>
    <row r="2982">
      <c r="A2982" t="inlineStr">
        <is>
          <t>electricity production, from incineration of biowaste, electricity only</t>
        </is>
      </c>
      <c r="B2982">
        <v>1</v>
      </c>
      <c r="C2982" t="inlineStr">
        <is>
          <t>CH</t>
        </is>
      </c>
      <c r="D2982" t="inlineStr">
        <is>
          <t>kilowatt hour</t>
        </is>
      </c>
      <c r="F2982" t="inlineStr">
        <is>
          <t>production</t>
        </is>
      </c>
      <c r="G2982" t="inlineStr">
        <is>
          <t/>
        </is>
      </c>
      <c r="H2982" t="inlineStr">
        <is>
          <t>electricity, from incineration of biowaste, electricity only</t>
        </is>
      </c>
    </row>
    <row r="2983">
      <c r="A2983" t="inlineStr">
        <is>
          <t>Carbon dioxide, in air</t>
        </is>
      </c>
      <c r="B2983">
        <v>4.480598022666989</v>
      </c>
      <c r="D2983" t="inlineStr">
        <is>
          <t>kilogram</t>
        </is>
      </c>
      <c r="E2983" t="inlineStr">
        <is>
          <t>natural resource::in air</t>
        </is>
      </c>
      <c r="F2983" t="inlineStr">
        <is>
          <t>biosphere</t>
        </is>
      </c>
      <c r="G2983" t="inlineStr">
        <is>
          <t>This amount is here to partially cancel the non-fossil CO2 emissions (biomass uptake). Electricity-only proxy: source amount / 0.29; 100% burden to electricity, before STEM efficiency adjustment.</t>
        </is>
      </c>
    </row>
    <row r="2984">
      <c r="A2984" t="inlineStr">
        <is>
          <t>market for ammonia, anhydrous, liquid</t>
        </is>
      </c>
      <c r="B2984">
        <v>0.004657255847600675</v>
      </c>
      <c r="C2984" t="inlineStr">
        <is>
          <t>RER</t>
        </is>
      </c>
      <c r="D2984" t="inlineStr">
        <is>
          <t>kilogram</t>
        </is>
      </c>
      <c r="F2984" t="inlineStr">
        <is>
          <t>technosphere</t>
        </is>
      </c>
      <c r="G2984" t="inlineStr">
        <is>
          <t>Electricity-only proxy: source amount / 0.29; 100% burden to electricity, before STEM efficiency adjustment.</t>
        </is>
      </c>
      <c r="H2984" t="inlineStr">
        <is>
          <t>ammonia, anhydrous, liquid</t>
        </is>
      </c>
    </row>
    <row r="2985">
      <c r="A2985" t="inlineStr">
        <is>
          <t>market for cationic resin</t>
        </is>
      </c>
      <c r="B2985">
        <v>2.6862406558958284e-06</v>
      </c>
      <c r="C2985" t="inlineStr">
        <is>
          <t>RER</t>
        </is>
      </c>
      <c r="D2985" t="inlineStr">
        <is>
          <t>kilogram</t>
        </is>
      </c>
      <c r="F2985" t="inlineStr">
        <is>
          <t>technosphere</t>
        </is>
      </c>
      <c r="G2985" t="inlineStr">
        <is>
          <t>Electricity-only proxy: source amount / 0.29; 100% burden to electricity, before STEM efficiency adjustment.</t>
        </is>
      </c>
      <c r="H2985" t="inlineStr">
        <is>
          <t>cationic resin</t>
        </is>
      </c>
    </row>
    <row r="2986">
      <c r="A2986" t="inlineStr">
        <is>
          <t>market for cement, unspecified</t>
        </is>
      </c>
      <c r="B2986">
        <v>0.04585203761755487</v>
      </c>
      <c r="C2986" t="inlineStr">
        <is>
          <t>CH</t>
        </is>
      </c>
      <c r="D2986" t="inlineStr">
        <is>
          <t>kilogram</t>
        </is>
      </c>
      <c r="F2986" t="inlineStr">
        <is>
          <t>technosphere</t>
        </is>
      </c>
      <c r="G2986" t="inlineStr">
        <is>
          <t>Electricity-only proxy: source amount / 0.29; 100% burden to electricity, before STEM efficiency adjustment.</t>
        </is>
      </c>
      <c r="H2986" t="inlineStr">
        <is>
          <t>cement, unspecified</t>
        </is>
      </c>
    </row>
    <row r="2987">
      <c r="A2987" t="inlineStr">
        <is>
          <t>market for chemical, inorganic</t>
        </is>
      </c>
      <c r="B2987">
        <v>0.0006291883289124669</v>
      </c>
      <c r="C2987" t="inlineStr">
        <is>
          <t>GLO</t>
        </is>
      </c>
      <c r="D2987" t="inlineStr">
        <is>
          <t>kilogram</t>
        </is>
      </c>
      <c r="F2987" t="inlineStr">
        <is>
          <t>technosphere</t>
        </is>
      </c>
      <c r="G2987" t="inlineStr">
        <is>
          <t>Electricity-only proxy: source amount / 0.29; 100% burden to electricity, before STEM efficiency adjustment.</t>
        </is>
      </c>
      <c r="H2987" t="inlineStr">
        <is>
          <t>chemical, inorganic</t>
        </is>
      </c>
    </row>
    <row r="2988">
      <c r="A2988" t="inlineStr">
        <is>
          <t>market for chemical, organic</t>
        </is>
      </c>
      <c r="B2988">
        <v>4.866640945261636e-06</v>
      </c>
      <c r="C2988" t="inlineStr">
        <is>
          <t>GLO</t>
        </is>
      </c>
      <c r="D2988" t="inlineStr">
        <is>
          <t>kilogram</t>
        </is>
      </c>
      <c r="F2988" t="inlineStr">
        <is>
          <t>technosphere</t>
        </is>
      </c>
      <c r="G2988" t="inlineStr">
        <is>
          <t>Electricity-only proxy: source amount / 0.29; 100% burden to electricity, before STEM efficiency adjustment.</t>
        </is>
      </c>
      <c r="H2988" t="inlineStr">
        <is>
          <t>chemical, organic</t>
        </is>
      </c>
    </row>
    <row r="2989">
      <c r="A2989" t="inlineStr">
        <is>
          <t>market for chromium trioxide, flakes</t>
        </is>
      </c>
      <c r="B2989">
        <v>5.95488787074994e-06</v>
      </c>
      <c r="C2989" t="inlineStr">
        <is>
          <t>GLO</t>
        </is>
      </c>
      <c r="D2989" t="inlineStr">
        <is>
          <t>kilogram</t>
        </is>
      </c>
      <c r="F2989" t="inlineStr">
        <is>
          <t>technosphere</t>
        </is>
      </c>
      <c r="G2989" t="inlineStr">
        <is>
          <t>Electricity-only proxy: source amount / 0.29; 100% burden to electricity, before STEM efficiency adjustment.</t>
        </is>
      </c>
      <c r="H2989" t="inlineStr">
        <is>
          <t>chromium trioxide, flakes</t>
        </is>
      </c>
    </row>
    <row r="2990">
      <c r="A2990" t="inlineStr">
        <is>
          <t>market for heat, district or industrial, natural gas</t>
        </is>
      </c>
      <c r="B2990">
        <v>0.8708753315649869</v>
      </c>
      <c r="C2990" t="inlineStr">
        <is>
          <t>CH</t>
        </is>
      </c>
      <c r="D2990" t="inlineStr">
        <is>
          <t>megajoule</t>
        </is>
      </c>
      <c r="F2990" t="inlineStr">
        <is>
          <t>technosphere</t>
        </is>
      </c>
      <c r="G2990" t="inlineStr">
        <is>
          <t>Electricity-only proxy: source amount / 0.29; 100% burden to electricity, before STEM efficiency adjustment.</t>
        </is>
      </c>
      <c r="H2990" t="inlineStr">
        <is>
          <t>heat, district or industrial, natural gas</t>
        </is>
      </c>
    </row>
    <row r="2991">
      <c r="A2991" t="inlineStr">
        <is>
          <t>market for hydrochloric acid, without water, in 30% solution state</t>
        </is>
      </c>
      <c r="B2991">
        <v>0.003342435495538944</v>
      </c>
      <c r="C2991" t="inlineStr">
        <is>
          <t>RER</t>
        </is>
      </c>
      <c r="D2991" t="inlineStr">
        <is>
          <t>kilogram</t>
        </is>
      </c>
      <c r="F2991" t="inlineStr">
        <is>
          <t>technosphere</t>
        </is>
      </c>
      <c r="G2991" t="inlineStr">
        <is>
          <t>Electricity-only proxy: source amount / 0.29; 100% burden to electricity, before STEM efficiency adjustment.</t>
        </is>
      </c>
      <c r="H2991" t="inlineStr">
        <is>
          <t>hydrochloric acid, without water, in 30% solution state</t>
        </is>
      </c>
    </row>
    <row r="2992">
      <c r="A2992" t="inlineStr">
        <is>
          <t>market for hydrogen peroxide, without water, in 50% solution state</t>
        </is>
      </c>
      <c r="B2992">
        <v>0.008086153846153847</v>
      </c>
      <c r="C2992" t="inlineStr">
        <is>
          <t>RER</t>
        </is>
      </c>
      <c r="D2992" t="inlineStr">
        <is>
          <t>kilogram</t>
        </is>
      </c>
      <c r="F2992" t="inlineStr">
        <is>
          <t>technosphere</t>
        </is>
      </c>
      <c r="G2992" t="inlineStr">
        <is>
          <t>Electricity-only proxy: source amount / 0.29; 100% burden to electricity, before STEM efficiency adjustment.</t>
        </is>
      </c>
      <c r="H2992" t="inlineStr">
        <is>
          <t>hydrogen peroxide, without water, in 50% solution state</t>
        </is>
      </c>
    </row>
    <row r="2993">
      <c r="A2993" t="inlineStr">
        <is>
          <t>market for iron(III) chloride, without water, in 40% solution state</t>
        </is>
      </c>
      <c r="B2993">
        <v>9.442295635399084e-06</v>
      </c>
      <c r="C2993" t="inlineStr">
        <is>
          <t>GLO</t>
        </is>
      </c>
      <c r="D2993" t="inlineStr">
        <is>
          <t>kilogram</t>
        </is>
      </c>
      <c r="F2993" t="inlineStr">
        <is>
          <t>technosphere</t>
        </is>
      </c>
      <c r="G2993" t="inlineStr">
        <is>
          <t>Electricity-only proxy: source amount / 0.29; 100% burden to electricity, before STEM efficiency adjustment.</t>
        </is>
      </c>
      <c r="H2993" t="inlineStr">
        <is>
          <t>iron(III) chloride, without water, in 40% solution state</t>
        </is>
      </c>
    </row>
    <row r="2994">
      <c r="A2994" t="inlineStr">
        <is>
          <t>metalliferous hydroxide sludge, Recycled Content cut-off</t>
        </is>
      </c>
      <c r="B2994">
        <v>-0.025156595129008925</v>
      </c>
      <c r="C2994" t="inlineStr">
        <is>
          <t>GLO</t>
        </is>
      </c>
      <c r="D2994" t="inlineStr">
        <is>
          <t>kilogram</t>
        </is>
      </c>
      <c r="F2994" t="inlineStr">
        <is>
          <t>technosphere</t>
        </is>
      </c>
      <c r="G2994" t="inlineStr">
        <is>
          <t>Electricity-only proxy: source amount / 0.29; 100% burden to electricity, before STEM efficiency adjustment.</t>
        </is>
      </c>
      <c r="H2994" t="inlineStr">
        <is>
          <t>metalliferous hydroxide sludge</t>
        </is>
      </c>
    </row>
    <row r="2995">
      <c r="A2995" t="inlineStr">
        <is>
          <t>municipal waste incineration facility construction</t>
        </is>
      </c>
      <c r="B2995">
        <v>2.1702435495538945e-09</v>
      </c>
      <c r="C2995" t="inlineStr">
        <is>
          <t>CH</t>
        </is>
      </c>
      <c r="D2995" t="inlineStr">
        <is>
          <t>unit</t>
        </is>
      </c>
      <c r="F2995" t="inlineStr">
        <is>
          <t>technosphere</t>
        </is>
      </c>
      <c r="G2995" t="inlineStr">
        <is>
          <t>Electricity-only proxy: source amount / 0.29; 100% burden to electricity, before STEM efficiency adjustment.</t>
        </is>
      </c>
      <c r="H2995" t="inlineStr">
        <is>
          <t>municipal waste incineration facility</t>
        </is>
      </c>
    </row>
    <row r="2996">
      <c r="A2996" t="inlineStr">
        <is>
          <t>process-specific burdens, residual material landfill</t>
        </is>
      </c>
      <c r="B2996">
        <v>0.22854400771642155</v>
      </c>
      <c r="C2996" t="inlineStr">
        <is>
          <t>CH</t>
        </is>
      </c>
      <c r="D2996" t="inlineStr">
        <is>
          <t>kilogram</t>
        </is>
      </c>
      <c r="F2996" t="inlineStr">
        <is>
          <t>technosphere</t>
        </is>
      </c>
      <c r="G2996" t="inlineStr">
        <is>
          <t>Electricity-only proxy: source amount / 0.29; 100% burden to electricity, before STEM efficiency adjustment.</t>
        </is>
      </c>
      <c r="H2996" t="inlineStr">
        <is>
          <t>process-specific burdens, residual material landfill</t>
        </is>
      </c>
    </row>
    <row r="2997">
      <c r="A2997" t="inlineStr">
        <is>
          <t>process-specific burdens, slag landfill</t>
        </is>
      </c>
      <c r="B2997">
        <v>1.2385145888594165</v>
      </c>
      <c r="C2997" t="inlineStr">
        <is>
          <t>CH</t>
        </is>
      </c>
      <c r="D2997" t="inlineStr">
        <is>
          <t>kilogram</t>
        </is>
      </c>
      <c r="F2997" t="inlineStr">
        <is>
          <t>technosphere</t>
        </is>
      </c>
      <c r="G2997" t="inlineStr">
        <is>
          <t>Electricity-only proxy: source amount / 0.29; 100% burden to electricity, before STEM efficiency adjustment.</t>
        </is>
      </c>
      <c r="H2997" t="inlineStr">
        <is>
          <t>process-specific burdens, slag landfill</t>
        </is>
      </c>
    </row>
    <row r="2998">
      <c r="A2998" t="inlineStr">
        <is>
          <t>market for quicklime, milled, packed</t>
        </is>
      </c>
      <c r="B2998">
        <v>0.011979744393537496</v>
      </c>
      <c r="C2998" t="inlineStr">
        <is>
          <t>RER</t>
        </is>
      </c>
      <c r="D2998" t="inlineStr">
        <is>
          <t>kilogram</t>
        </is>
      </c>
      <c r="F2998" t="inlineStr">
        <is>
          <t>technosphere</t>
        </is>
      </c>
      <c r="G2998" t="inlineStr">
        <is>
          <t>Electricity-only proxy: source amount / 0.29; 100% burden to electricity, before STEM efficiency adjustment.</t>
        </is>
      </c>
      <c r="H2998" t="inlineStr">
        <is>
          <t>quicklime, milled, packed</t>
        </is>
      </c>
    </row>
    <row r="2999">
      <c r="A2999" t="inlineStr">
        <is>
          <t>residual material landfill construction</t>
        </is>
      </c>
      <c r="B2999">
        <v>4.761340728237281e-10</v>
      </c>
      <c r="C2999" t="inlineStr">
        <is>
          <t>CH</t>
        </is>
      </c>
      <c r="D2999" t="inlineStr">
        <is>
          <t>unit</t>
        </is>
      </c>
      <c r="F2999" t="inlineStr">
        <is>
          <t>technosphere</t>
        </is>
      </c>
      <c r="G2999" t="inlineStr">
        <is>
          <t>Electricity-only proxy: source amount / 0.29; 100% burden to electricity, before STEM efficiency adjustment.</t>
        </is>
      </c>
      <c r="H2999" t="inlineStr">
        <is>
          <t>residual material landfill</t>
        </is>
      </c>
    </row>
    <row r="3000">
      <c r="A3000" t="inlineStr">
        <is>
          <t>slag landfill construction</t>
        </is>
      </c>
      <c r="B3000">
        <v>2.201755485893417e-09</v>
      </c>
      <c r="C3000" t="inlineStr">
        <is>
          <t>CH</t>
        </is>
      </c>
      <c r="D3000" t="inlineStr">
        <is>
          <t>unit</t>
        </is>
      </c>
      <c r="F3000" t="inlineStr">
        <is>
          <t>technosphere</t>
        </is>
      </c>
      <c r="G3000" t="inlineStr">
        <is>
          <t>Electricity-only proxy: source amount / 0.29; 100% burden to electricity, before STEM efficiency adjustment.</t>
        </is>
      </c>
      <c r="H3000" t="inlineStr">
        <is>
          <t>slag landfill</t>
        </is>
      </c>
    </row>
    <row r="3001">
      <c r="A3001" t="inlineStr">
        <is>
          <t>market for sodium hydroxide, without water, in 50% solution state</t>
        </is>
      </c>
      <c r="B3001">
        <v>0.00938326501085122</v>
      </c>
      <c r="C3001" t="inlineStr">
        <is>
          <t>RoW</t>
        </is>
      </c>
      <c r="D3001" t="inlineStr">
        <is>
          <t>kilogram</t>
        </is>
      </c>
      <c r="F3001" t="inlineStr">
        <is>
          <t>technosphere</t>
        </is>
      </c>
      <c r="G3001" t="inlineStr">
        <is>
          <t>Electricity-only proxy: source amount / 0.29; 100% burden to electricity, before STEM efficiency adjustment.</t>
        </is>
      </c>
      <c r="H3001" t="inlineStr">
        <is>
          <t>sodium hydroxide, without water, in 50% solution state</t>
        </is>
      </c>
    </row>
    <row r="3002">
      <c r="A3002" t="inlineStr">
        <is>
          <t>market for spent activated carbon with mercury</t>
        </is>
      </c>
      <c r="B3002">
        <v>-2.827566915842778e-06</v>
      </c>
      <c r="C3002" t="inlineStr">
        <is>
          <t>GLO</t>
        </is>
      </c>
      <c r="D3002" t="inlineStr">
        <is>
          <t>kilogram</t>
        </is>
      </c>
      <c r="F3002" t="inlineStr">
        <is>
          <t>technosphere</t>
        </is>
      </c>
      <c r="G3002" t="inlineStr">
        <is>
          <t>Electricity-only proxy: source amount / 0.29; 100% burden to electricity, before STEM efficiency adjustment.</t>
        </is>
      </c>
      <c r="H3002" t="inlineStr">
        <is>
          <t>spent activated carbon with mercury</t>
        </is>
      </c>
    </row>
    <row r="3003">
      <c r="A3003" t="inlineStr">
        <is>
          <t>market for titanium dioxide</t>
        </is>
      </c>
      <c r="B3003">
        <v>0.0002917935857246202</v>
      </c>
      <c r="C3003" t="inlineStr">
        <is>
          <t>RER</t>
        </is>
      </c>
      <c r="D3003" t="inlineStr">
        <is>
          <t>kilogram</t>
        </is>
      </c>
      <c r="F3003" t="inlineStr">
        <is>
          <t>technosphere</t>
        </is>
      </c>
      <c r="G3003" t="inlineStr">
        <is>
          <t>Electricity-only proxy: source amount / 0.29; 100% burden to electricity, before STEM efficiency adjustment.</t>
        </is>
      </c>
      <c r="H3003" t="inlineStr">
        <is>
          <t>titanium dioxide</t>
        </is>
      </c>
    </row>
    <row r="3004">
      <c r="A3004" t="inlineStr">
        <is>
          <t>market for transport, freight, lorry, unspecified</t>
        </is>
      </c>
      <c r="B3004">
        <v>0.05667981673498915</v>
      </c>
      <c r="C3004" t="inlineStr">
        <is>
          <t>RER</t>
        </is>
      </c>
      <c r="D3004" t="inlineStr">
        <is>
          <t>ton kilometer</t>
        </is>
      </c>
      <c r="F3004" t="inlineStr">
        <is>
          <t>technosphere</t>
        </is>
      </c>
      <c r="G3004" t="inlineStr">
        <is>
          <t>Electricity-only proxy: source amount / 0.29; 100% burden to electricity, before STEM efficiency adjustment.</t>
        </is>
      </c>
      <c r="H3004" t="inlineStr">
        <is>
          <t>transport, freight, lorry, unspecified</t>
        </is>
      </c>
    </row>
    <row r="3005">
      <c r="A3005" t="inlineStr">
        <is>
          <t>market for waste cement, hydrated</t>
        </is>
      </c>
      <c r="B3005">
        <v>-0.1146322642874367</v>
      </c>
      <c r="C3005" t="inlineStr">
        <is>
          <t>CH</t>
        </is>
      </c>
      <c r="D3005" t="inlineStr">
        <is>
          <t>kilogram</t>
        </is>
      </c>
      <c r="F3005" t="inlineStr">
        <is>
          <t>technosphere</t>
        </is>
      </c>
      <c r="G3005" t="inlineStr">
        <is>
          <t>Electricity-only proxy: source amount / 0.29; 100% burden to electricity, before STEM efficiency adjustment.</t>
        </is>
      </c>
      <c r="H3005" t="inlineStr">
        <is>
          <t>waste cement, hydrated</t>
        </is>
      </c>
    </row>
    <row r="3006">
      <c r="A3006" t="inlineStr">
        <is>
          <t>market for water, decarbonised</t>
        </is>
      </c>
      <c r="B3006">
        <v>7.458953460332771</v>
      </c>
      <c r="C3006" t="inlineStr">
        <is>
          <t>CH</t>
        </is>
      </c>
      <c r="D3006" t="inlineStr">
        <is>
          <t>kilogram</t>
        </is>
      </c>
      <c r="F3006" t="inlineStr">
        <is>
          <t>technosphere</t>
        </is>
      </c>
      <c r="G3006" t="inlineStr">
        <is>
          <t>Electricity-only proxy: source amount / 0.29; 100% burden to electricity, before STEM efficiency adjustment.</t>
        </is>
      </c>
      <c r="H3006" t="inlineStr">
        <is>
          <t>water, decarbonised</t>
        </is>
      </c>
    </row>
    <row r="3007">
      <c r="A3007" t="inlineStr">
        <is>
          <t>Aluminium III</t>
        </is>
      </c>
      <c r="B3007">
        <v>6.170349650349651e-08</v>
      </c>
      <c r="D3007" t="inlineStr">
        <is>
          <t>kilogram</t>
        </is>
      </c>
      <c r="E3007" t="inlineStr">
        <is>
          <t>air::urban air close to ground</t>
        </is>
      </c>
      <c r="F3007" t="inlineStr">
        <is>
          <t>biosphere</t>
        </is>
      </c>
      <c r="G3007" t="inlineStr">
        <is>
          <t>Electricity-only proxy: source amount / 0.29; 100% burden to electricity, before STEM efficiency adjustment.</t>
        </is>
      </c>
    </row>
    <row r="3008">
      <c r="A3008" t="inlineStr">
        <is>
          <t>Ammonia</t>
        </is>
      </c>
      <c r="B3008">
        <v>5.475784904750423e-06</v>
      </c>
      <c r="D3008" t="inlineStr">
        <is>
          <t>kilogram</t>
        </is>
      </c>
      <c r="E3008" t="inlineStr">
        <is>
          <t>air::urban air close to ground</t>
        </is>
      </c>
      <c r="F3008" t="inlineStr">
        <is>
          <t>biosphere</t>
        </is>
      </c>
      <c r="G3008" t="inlineStr">
        <is>
          <t>Electricity-only proxy: source amount / 0.29; 100% burden to electricity, before STEM efficiency adjustment.</t>
        </is>
      </c>
    </row>
    <row r="3009">
      <c r="A3009" t="inlineStr">
        <is>
          <t>Arsenic ion</t>
        </is>
      </c>
      <c r="B3009">
        <v>1.1862551241861587e-07</v>
      </c>
      <c r="D3009" t="inlineStr">
        <is>
          <t>kilogram</t>
        </is>
      </c>
      <c r="E3009" t="inlineStr">
        <is>
          <t>air::urban air close to ground</t>
        </is>
      </c>
      <c r="F3009" t="inlineStr">
        <is>
          <t>biosphere</t>
        </is>
      </c>
      <c r="G3009" t="inlineStr">
        <is>
          <t>Electricity-only proxy: source amount / 0.29; 100% burden to electricity, before STEM efficiency adjustment.</t>
        </is>
      </c>
    </row>
    <row r="3010">
      <c r="A3010" t="inlineStr">
        <is>
          <t>Benzene</t>
        </is>
      </c>
      <c r="B3010">
        <v>3.61284784181336e-07</v>
      </c>
      <c r="D3010" t="inlineStr">
        <is>
          <t>kilogram</t>
        </is>
      </c>
      <c r="E3010" t="inlineStr">
        <is>
          <t>air::urban air close to ground</t>
        </is>
      </c>
      <c r="F3010" t="inlineStr">
        <is>
          <t>biosphere</t>
        </is>
      </c>
      <c r="G3010" t="inlineStr">
        <is>
          <t>Electricity-only proxy: source amount / 0.29; 100% burden to electricity, before STEM efficiency adjustment.</t>
        </is>
      </c>
    </row>
    <row r="3011">
      <c r="A3011" t="inlineStr">
        <is>
          <t>Benzene, hexachloro-</t>
        </is>
      </c>
      <c r="B3011">
        <v>7.554270557029178e-10</v>
      </c>
      <c r="D3011" t="inlineStr">
        <is>
          <t>kilogram</t>
        </is>
      </c>
      <c r="E3011" t="inlineStr">
        <is>
          <t>air::urban air close to ground</t>
        </is>
      </c>
      <c r="F3011" t="inlineStr">
        <is>
          <t>biosphere</t>
        </is>
      </c>
      <c r="G3011" t="inlineStr">
        <is>
          <t>Electricity-only proxy: source amount / 0.29; 100% burden to electricity, before STEM efficiency adjustment.</t>
        </is>
      </c>
    </row>
    <row r="3012">
      <c r="A3012" t="inlineStr">
        <is>
          <t>Pentachlorobenzene</t>
        </is>
      </c>
      <c r="B3012">
        <v>1.9087726067036415e-09</v>
      </c>
      <c r="D3012" t="inlineStr">
        <is>
          <t>kilogram</t>
        </is>
      </c>
      <c r="E3012" t="inlineStr">
        <is>
          <t>air::urban air close to ground</t>
        </is>
      </c>
      <c r="F3012" t="inlineStr">
        <is>
          <t>biosphere</t>
        </is>
      </c>
      <c r="G3012" t="inlineStr">
        <is>
          <t>Electricity-only proxy: source amount / 0.29; 100% burden to electricity, before STEM efficiency adjustment.</t>
        </is>
      </c>
    </row>
    <row r="3013">
      <c r="A3013" t="inlineStr">
        <is>
          <t>Benzo(a)pyrene</t>
        </is>
      </c>
      <c r="B3013">
        <v>8.039710634193394e-12</v>
      </c>
      <c r="D3013" t="inlineStr">
        <is>
          <t>kilogram</t>
        </is>
      </c>
      <c r="E3013" t="inlineStr">
        <is>
          <t>air::urban air close to ground</t>
        </is>
      </c>
      <c r="F3013" t="inlineStr">
        <is>
          <t>biosphere</t>
        </is>
      </c>
      <c r="G3013" t="inlineStr">
        <is>
          <t>Electricity-only proxy: source amount / 0.29; 100% burden to electricity, before STEM efficiency adjustment.</t>
        </is>
      </c>
    </row>
    <row r="3014">
      <c r="A3014" t="inlineStr">
        <is>
          <t>Bromine</t>
        </is>
      </c>
      <c r="B3014">
        <v>2.2692066554135522e-08</v>
      </c>
      <c r="D3014" t="inlineStr">
        <is>
          <t>kilogram</t>
        </is>
      </c>
      <c r="E3014" t="inlineStr">
        <is>
          <t>air::urban air close to ground</t>
        </is>
      </c>
      <c r="F3014" t="inlineStr">
        <is>
          <t>biosphere</t>
        </is>
      </c>
      <c r="G3014" t="inlineStr">
        <is>
          <t>Electricity-only proxy: source amount / 0.29; 100% burden to electricity, before STEM efficiency adjustment.</t>
        </is>
      </c>
    </row>
    <row r="3015">
      <c r="A3015" t="inlineStr">
        <is>
          <t>Cadmium II</t>
        </is>
      </c>
      <c r="B3015">
        <v>5.325951290089222e-10</v>
      </c>
      <c r="D3015" t="inlineStr">
        <is>
          <t>kilogram</t>
        </is>
      </c>
      <c r="E3015" t="inlineStr">
        <is>
          <t>air::urban air close to ground</t>
        </is>
      </c>
      <c r="F3015" t="inlineStr">
        <is>
          <t>biosphere</t>
        </is>
      </c>
      <c r="G3015" t="inlineStr">
        <is>
          <t>Electricity-only proxy: source amount / 0.29; 100% burden to electricity, before STEM efficiency adjustment.</t>
        </is>
      </c>
    </row>
    <row r="3016">
      <c r="A3016" t="inlineStr">
        <is>
          <t>Calcium</t>
        </is>
      </c>
      <c r="B3016">
        <v>0.0012990209790209792</v>
      </c>
      <c r="D3016" t="inlineStr">
        <is>
          <t>kilogram</t>
        </is>
      </c>
      <c r="E3016" t="inlineStr">
        <is>
          <t>air::urban air close to ground</t>
        </is>
      </c>
      <c r="F3016" t="inlineStr">
        <is>
          <t>biosphere</t>
        </is>
      </c>
      <c r="G3016" t="inlineStr">
        <is>
          <t>Electricity-only proxy: source amount / 0.29; 100% burden to electricity, before STEM efficiency adjustment.</t>
        </is>
      </c>
    </row>
    <row r="3017">
      <c r="A3017" t="inlineStr">
        <is>
          <t>Carbon dioxide, non-fossil</t>
        </is>
      </c>
      <c r="B3017">
        <v>4.480598022666989</v>
      </c>
      <c r="D3017" t="inlineStr">
        <is>
          <t>kilogram</t>
        </is>
      </c>
      <c r="E3017" t="inlineStr">
        <is>
          <t>air::urban air close to ground</t>
        </is>
      </c>
      <c r="F3017" t="inlineStr">
        <is>
          <t>biosphere</t>
        </is>
      </c>
      <c r="G3017" t="inlineStr">
        <is>
          <t>Electricity-only proxy: source amount / 0.29; 100% burden to electricity, before STEM efficiency adjustment.</t>
        </is>
      </c>
    </row>
    <row r="3018">
      <c r="A3018" t="inlineStr">
        <is>
          <t>Carbon monoxide, non-fossil</t>
        </is>
      </c>
      <c r="B3018">
        <v>0.0006141355196527611</v>
      </c>
      <c r="D3018" t="inlineStr">
        <is>
          <t>kilogram</t>
        </is>
      </c>
      <c r="E3018" t="inlineStr">
        <is>
          <t>air::urban air close to ground</t>
        </is>
      </c>
      <c r="F3018" t="inlineStr">
        <is>
          <t>biosphere</t>
        </is>
      </c>
      <c r="G3018" t="inlineStr">
        <is>
          <t>Electricity-only proxy: source amount / 0.29; 100% burden to electricity, before STEM efficiency adjustment.</t>
        </is>
      </c>
    </row>
    <row r="3019">
      <c r="A3019" t="inlineStr">
        <is>
          <t>Chromium III</t>
        </is>
      </c>
      <c r="B3019">
        <v>5.289404388714734e-08</v>
      </c>
      <c r="D3019" t="inlineStr">
        <is>
          <t>kilogram</t>
        </is>
      </c>
      <c r="E3019" t="inlineStr">
        <is>
          <t>air::urban air close to ground</t>
        </is>
      </c>
      <c r="F3019" t="inlineStr">
        <is>
          <t>biosphere</t>
        </is>
      </c>
      <c r="G3019" t="inlineStr">
        <is>
          <t>Electricity-only proxy: source amount / 0.29; 100% burden to electricity, before STEM efficiency adjustment.</t>
        </is>
      </c>
    </row>
    <row r="3020">
      <c r="A3020" t="inlineStr">
        <is>
          <t>Cobalt II</t>
        </is>
      </c>
      <c r="B3020">
        <v>6.885227875572703e-08</v>
      </c>
      <c r="D3020" t="inlineStr">
        <is>
          <t>kilogram</t>
        </is>
      </c>
      <c r="E3020" t="inlineStr">
        <is>
          <t>air::urban air close to ground</t>
        </is>
      </c>
      <c r="F3020" t="inlineStr">
        <is>
          <t>biosphere</t>
        </is>
      </c>
      <c r="G3020" t="inlineStr">
        <is>
          <t>Electricity-only proxy: source amount / 0.29; 100% burden to electricity, before STEM efficiency adjustment.</t>
        </is>
      </c>
    </row>
    <row r="3021">
      <c r="A3021" t="inlineStr">
        <is>
          <t>Copper ion</t>
        </is>
      </c>
      <c r="B3021">
        <v>1.2483240897034e-08</v>
      </c>
      <c r="D3021" t="inlineStr">
        <is>
          <t>kilogram</t>
        </is>
      </c>
      <c r="E3021" t="inlineStr">
        <is>
          <t>air::urban air close to ground</t>
        </is>
      </c>
      <c r="F3021" t="inlineStr">
        <is>
          <t>biosphere</t>
        </is>
      </c>
      <c r="G3021" t="inlineStr">
        <is>
          <t>Electricity-only proxy: source amount / 0.29; 100% burden to electricity, before STEM efficiency adjustment.</t>
        </is>
      </c>
    </row>
    <row r="3022">
      <c r="A3022" t="inlineStr">
        <is>
          <t>Cyanide</t>
        </is>
      </c>
      <c r="B3022">
        <v>9.704461056185195e-05</v>
      </c>
      <c r="D3022" t="inlineStr">
        <is>
          <t>kilogram</t>
        </is>
      </c>
      <c r="E3022" t="inlineStr">
        <is>
          <t>air::urban air close to ground</t>
        </is>
      </c>
      <c r="F3022" t="inlineStr">
        <is>
          <t>biosphere</t>
        </is>
      </c>
      <c r="G3022" t="inlineStr">
        <is>
          <t>Electricity-only proxy: source amount / 0.29; 100% burden to electricity, before STEM efficiency adjustment.</t>
        </is>
      </c>
    </row>
    <row r="3023">
      <c r="A3023" t="inlineStr">
        <is>
          <t>Dinitrogen monoxide</t>
        </is>
      </c>
      <c r="B3023">
        <v>0.0004517231733783458</v>
      </c>
      <c r="D3023" t="inlineStr">
        <is>
          <t>kilogram</t>
        </is>
      </c>
      <c r="E3023" t="inlineStr">
        <is>
          <t>air::urban air close to ground</t>
        </is>
      </c>
      <c r="F3023" t="inlineStr">
        <is>
          <t>biosphere</t>
        </is>
      </c>
      <c r="G3023" t="inlineStr">
        <is>
          <t>Electricity-only proxy: source amount / 0.29; 100% burden to electricity, before STEM efficiency adjustment.</t>
        </is>
      </c>
    </row>
    <row r="3024">
      <c r="A3024" t="inlineStr">
        <is>
          <t>Dioxins, measured as 2,3,7,8-tetrachlorodibenzo-p-dioxin</t>
        </is>
      </c>
      <c r="B3024">
        <v>7.225174825174826e-13</v>
      </c>
      <c r="D3024" t="inlineStr">
        <is>
          <t>kilogram</t>
        </is>
      </c>
      <c r="E3024" t="inlineStr">
        <is>
          <t>air::urban air close to ground</t>
        </is>
      </c>
      <c r="F3024" t="inlineStr">
        <is>
          <t>biosphere</t>
        </is>
      </c>
      <c r="G3024" t="inlineStr">
        <is>
          <t>Electricity-only proxy: source amount / 0.29; 100% burden to electricity, before STEM efficiency adjustment.</t>
        </is>
      </c>
    </row>
    <row r="3025">
      <c r="A3025" t="inlineStr">
        <is>
          <t>Heat, waste</t>
        </is>
      </c>
      <c r="B3025">
        <v>38.57477694719074</v>
      </c>
      <c r="D3025" t="inlineStr">
        <is>
          <t>megajoule</t>
        </is>
      </c>
      <c r="E3025" t="inlineStr">
        <is>
          <t>air::urban air close to ground</t>
        </is>
      </c>
      <c r="F3025" t="inlineStr">
        <is>
          <t>biosphere</t>
        </is>
      </c>
      <c r="G3025" t="inlineStr">
        <is>
          <t>Electricity-only proxy: source amount / 0.29; 100% burden to electricity, before STEM efficiency adjustment.</t>
        </is>
      </c>
    </row>
    <row r="3026">
      <c r="A3026" t="inlineStr">
        <is>
          <t>Hydrochloric acid</t>
        </is>
      </c>
      <c r="B3026">
        <v>1.7282951531227395e-05</v>
      </c>
      <c r="D3026" t="inlineStr">
        <is>
          <t>kilogram</t>
        </is>
      </c>
      <c r="E3026" t="inlineStr">
        <is>
          <t>air::urban air close to ground</t>
        </is>
      </c>
      <c r="F3026" t="inlineStr">
        <is>
          <t>biosphere</t>
        </is>
      </c>
      <c r="G3026" t="inlineStr">
        <is>
          <t>Electricity-only proxy: source amount / 0.29; 100% burden to electricity, before STEM efficiency adjustment.</t>
        </is>
      </c>
    </row>
    <row r="3027">
      <c r="A3027" t="inlineStr">
        <is>
          <t>Hydrogen fluoride</t>
        </is>
      </c>
      <c r="B3027">
        <v>1.0216638533879914e-05</v>
      </c>
      <c r="D3027" t="inlineStr">
        <is>
          <t>kilogram</t>
        </is>
      </c>
      <c r="E3027" t="inlineStr">
        <is>
          <t>air::urban air close to ground</t>
        </is>
      </c>
      <c r="F3027" t="inlineStr">
        <is>
          <t>biosphere</t>
        </is>
      </c>
      <c r="G3027" t="inlineStr">
        <is>
          <t>Electricity-only proxy: source amount / 0.29; 100% burden to electricity, before STEM efficiency adjustment.</t>
        </is>
      </c>
    </row>
    <row r="3028">
      <c r="A3028" t="inlineStr">
        <is>
          <t>Iodine</t>
        </is>
      </c>
      <c r="B3028">
        <v>2.3113093802748974e-10</v>
      </c>
      <c r="D3028" t="inlineStr">
        <is>
          <t>kilogram</t>
        </is>
      </c>
      <c r="E3028" t="inlineStr">
        <is>
          <t>air::urban air close to ground</t>
        </is>
      </c>
      <c r="F3028" t="inlineStr">
        <is>
          <t>biosphere</t>
        </is>
      </c>
      <c r="G3028" t="inlineStr">
        <is>
          <t>Electricity-only proxy: source amount / 0.29; 100% burden to electricity, before STEM efficiency adjustment.</t>
        </is>
      </c>
    </row>
    <row r="3029">
      <c r="A3029" t="inlineStr">
        <is>
          <t>Iron ion</t>
        </is>
      </c>
      <c r="B3029">
        <v>8.141885700506391e-09</v>
      </c>
      <c r="D3029" t="inlineStr">
        <is>
          <t>kilogram</t>
        </is>
      </c>
      <c r="E3029" t="inlineStr">
        <is>
          <t>air::urban air close to ground</t>
        </is>
      </c>
      <c r="F3029" t="inlineStr">
        <is>
          <t>biosphere</t>
        </is>
      </c>
      <c r="G3029" t="inlineStr">
        <is>
          <t>Electricity-only proxy: source amount / 0.29; 100% burden to electricity, before STEM efficiency adjustment.</t>
        </is>
      </c>
    </row>
    <row r="3030">
      <c r="A3030" t="inlineStr">
        <is>
          <t>Lead II</t>
        </is>
      </c>
      <c r="B3030">
        <v>1.1577815288160117e-08</v>
      </c>
      <c r="D3030" t="inlineStr">
        <is>
          <t>kilogram</t>
        </is>
      </c>
      <c r="E3030" t="inlineStr">
        <is>
          <t>air::urban air close to ground</t>
        </is>
      </c>
      <c r="F3030" t="inlineStr">
        <is>
          <t>biosphere</t>
        </is>
      </c>
      <c r="G3030" t="inlineStr">
        <is>
          <t>Electricity-only proxy: source amount / 0.29; 100% burden to electricity, before STEM efficiency adjustment.</t>
        </is>
      </c>
    </row>
    <row r="3031">
      <c r="A3031" t="inlineStr">
        <is>
          <t>Magnesium</t>
        </is>
      </c>
      <c r="B3031">
        <v>2.2521919459850495e-05</v>
      </c>
      <c r="D3031" t="inlineStr">
        <is>
          <t>kilogram</t>
        </is>
      </c>
      <c r="E3031" t="inlineStr">
        <is>
          <t>air::urban air close to ground</t>
        </is>
      </c>
      <c r="F3031" t="inlineStr">
        <is>
          <t>biosphere</t>
        </is>
      </c>
      <c r="G3031" t="inlineStr">
        <is>
          <t>Electricity-only proxy: source amount / 0.29; 100% burden to electricity, before STEM efficiency adjustment.</t>
        </is>
      </c>
    </row>
    <row r="3032">
      <c r="A3032" t="inlineStr">
        <is>
          <t>Manganese II</t>
        </is>
      </c>
      <c r="B3032">
        <v>6.217921388955873e-09</v>
      </c>
      <c r="D3032" t="inlineStr">
        <is>
          <t>kilogram</t>
        </is>
      </c>
      <c r="E3032" t="inlineStr">
        <is>
          <t>air::urban air close to ground</t>
        </is>
      </c>
      <c r="F3032" t="inlineStr">
        <is>
          <t>biosphere</t>
        </is>
      </c>
      <c r="G3032" t="inlineStr">
        <is>
          <t>Electricity-only proxy: source amount / 0.29; 100% burden to electricity, before STEM efficiency adjustment.</t>
        </is>
      </c>
    </row>
    <row r="3033">
      <c r="A3033" t="inlineStr">
        <is>
          <t>Mercury II</t>
        </is>
      </c>
      <c r="B3033">
        <v>1.5027634434530985e-08</v>
      </c>
      <c r="D3033" t="inlineStr">
        <is>
          <t>kilogram</t>
        </is>
      </c>
      <c r="E3033" t="inlineStr">
        <is>
          <t>air::urban air close to ground</t>
        </is>
      </c>
      <c r="F3033" t="inlineStr">
        <is>
          <t>biosphere</t>
        </is>
      </c>
      <c r="G3033" t="inlineStr">
        <is>
          <t>Electricity-only proxy: source amount / 0.29; 100% burden to electricity, before STEM efficiency adjustment.</t>
        </is>
      </c>
    </row>
    <row r="3034">
      <c r="A3034" t="inlineStr">
        <is>
          <t>Methane, non-fossil</t>
        </is>
      </c>
      <c r="B3034">
        <v>5.419271762720039e-06</v>
      </c>
      <c r="D3034" t="inlineStr">
        <is>
          <t>kilogram</t>
        </is>
      </c>
      <c r="E3034" t="inlineStr">
        <is>
          <t>air::urban air close to ground</t>
        </is>
      </c>
      <c r="F3034" t="inlineStr">
        <is>
          <t>biosphere</t>
        </is>
      </c>
      <c r="G3034" t="inlineStr">
        <is>
          <t>Electricity-only proxy: source amount / 0.29; 100% burden to electricity, before STEM efficiency adjustment.</t>
        </is>
      </c>
    </row>
    <row r="3035">
      <c r="A3035" t="inlineStr">
        <is>
          <t>Molybdenum VI</t>
        </is>
      </c>
      <c r="B3035">
        <v>3.985088015432844e-09</v>
      </c>
      <c r="D3035" t="inlineStr">
        <is>
          <t>kilogram</t>
        </is>
      </c>
      <c r="E3035" t="inlineStr">
        <is>
          <t>air::urban air close to ground</t>
        </is>
      </c>
      <c r="F3035" t="inlineStr">
        <is>
          <t>biosphere</t>
        </is>
      </c>
      <c r="G3035" t="inlineStr">
        <is>
          <t>Electricity-only proxy: source amount / 0.29; 100% burden to electricity, before STEM efficiency adjustment.</t>
        </is>
      </c>
    </row>
    <row r="3036">
      <c r="A3036" t="inlineStr">
        <is>
          <t>NMVOC, non-methane volatile organic compounds</t>
        </is>
      </c>
      <c r="B3036">
        <v>1.6441765131420306e-05</v>
      </c>
      <c r="D3036" t="inlineStr">
        <is>
          <t>kilogram</t>
        </is>
      </c>
      <c r="E3036" t="inlineStr">
        <is>
          <t>air::urban air close to ground</t>
        </is>
      </c>
      <c r="F3036" t="inlineStr">
        <is>
          <t>biosphere</t>
        </is>
      </c>
      <c r="G3036" t="inlineStr">
        <is>
          <t>Electricity-only proxy: source amount / 0.29; 100% burden to electricity, before STEM efficiency adjustment.</t>
        </is>
      </c>
    </row>
    <row r="3037">
      <c r="A3037" t="inlineStr">
        <is>
          <t>Nickel II</t>
        </is>
      </c>
      <c r="B3037">
        <v>5.1553701470942854e-08</v>
      </c>
      <c r="D3037" t="inlineStr">
        <is>
          <t>kilogram</t>
        </is>
      </c>
      <c r="E3037" t="inlineStr">
        <is>
          <t>air::urban air close to ground</t>
        </is>
      </c>
      <c r="F3037" t="inlineStr">
        <is>
          <t>biosphere</t>
        </is>
      </c>
      <c r="G3037" t="inlineStr">
        <is>
          <t>Electricity-only proxy: source amount / 0.29; 100% burden to electricity, before STEM efficiency adjustment.</t>
        </is>
      </c>
    </row>
    <row r="3038">
      <c r="A3038" t="inlineStr">
        <is>
          <t>Nitrogen oxides</t>
        </is>
      </c>
      <c r="B3038">
        <v>0.001734024596093562</v>
      </c>
      <c r="D3038" t="inlineStr">
        <is>
          <t>kilogram</t>
        </is>
      </c>
      <c r="E3038" t="inlineStr">
        <is>
          <t>air::urban air close to ground</t>
        </is>
      </c>
      <c r="F3038" t="inlineStr">
        <is>
          <t>biosphere</t>
        </is>
      </c>
      <c r="G3038" t="inlineStr">
        <is>
          <t>Electricity-only proxy: source amount / 0.29; 100% burden to electricity, before STEM efficiency adjustment.</t>
        </is>
      </c>
    </row>
    <row r="3039">
      <c r="A3039" t="inlineStr">
        <is>
          <t>Particulate Matter, &lt; 2.5 um</t>
        </is>
      </c>
      <c r="B3039">
        <v>4.3134024596093565e-05</v>
      </c>
      <c r="D3039" t="inlineStr">
        <is>
          <t>kilogram</t>
        </is>
      </c>
      <c r="E3039" t="inlineStr">
        <is>
          <t>air::urban air close to ground</t>
        </is>
      </c>
      <c r="F3039" t="inlineStr">
        <is>
          <t>biosphere</t>
        </is>
      </c>
      <c r="G3039" t="inlineStr">
        <is>
          <t>Electricity-only proxy: source amount / 0.29; 100% burden to electricity, before STEM efficiency adjustment.</t>
        </is>
      </c>
    </row>
    <row r="3040">
      <c r="A3040" t="inlineStr">
        <is>
          <t>Particulate Matter, &gt; 2.5 um and &lt; 10um</t>
        </is>
      </c>
      <c r="B3040">
        <v>2.1675524475524477e-07</v>
      </c>
      <c r="D3040" t="inlineStr">
        <is>
          <t>kilogram</t>
        </is>
      </c>
      <c r="E3040" t="inlineStr">
        <is>
          <t>air::urban air close to ground</t>
        </is>
      </c>
      <c r="F3040" t="inlineStr">
        <is>
          <t>biosphere</t>
        </is>
      </c>
      <c r="G3040" t="inlineStr">
        <is>
          <t>Electricity-only proxy: source amount / 0.29; 100% burden to electricity, before STEM efficiency adjustment.</t>
        </is>
      </c>
    </row>
    <row r="3041">
      <c r="A3041" t="inlineStr">
        <is>
          <t>Phenol, pentachloro-</t>
        </is>
      </c>
      <c r="B3041">
        <v>1.5733397636845913e-10</v>
      </c>
      <c r="D3041" t="inlineStr">
        <is>
          <t>kilogram</t>
        </is>
      </c>
      <c r="E3041" t="inlineStr">
        <is>
          <t>air::urban air close to ground</t>
        </is>
      </c>
      <c r="F3041" t="inlineStr">
        <is>
          <t>biosphere</t>
        </is>
      </c>
      <c r="G3041" t="inlineStr">
        <is>
          <t>Electricity-only proxy: source amount / 0.29; 100% burden to electricity, before STEM efficiency adjustment.</t>
        </is>
      </c>
    </row>
    <row r="3042">
      <c r="A3042" t="inlineStr">
        <is>
          <t>Phosphorus</t>
        </is>
      </c>
      <c r="B3042">
        <v>8.694863756932724e-06</v>
      </c>
      <c r="D3042" t="inlineStr">
        <is>
          <t>kilogram</t>
        </is>
      </c>
      <c r="E3042" t="inlineStr">
        <is>
          <t>air::urban air close to ground</t>
        </is>
      </c>
      <c r="F3042" t="inlineStr">
        <is>
          <t>biosphere</t>
        </is>
      </c>
      <c r="G3042" t="inlineStr">
        <is>
          <t>Electricity-only proxy: source amount / 0.29; 100% burden to electricity, before STEM efficiency adjustment.</t>
        </is>
      </c>
    </row>
    <row r="3043">
      <c r="A3043" t="inlineStr">
        <is>
          <t>Potassium I</t>
        </is>
      </c>
      <c r="B3043">
        <v>0.00013092645285748736</v>
      </c>
      <c r="D3043" t="inlineStr">
        <is>
          <t>kilogram</t>
        </is>
      </c>
      <c r="E3043" t="inlineStr">
        <is>
          <t>air::urban air close to ground</t>
        </is>
      </c>
      <c r="F3043" t="inlineStr">
        <is>
          <t>biosphere</t>
        </is>
      </c>
      <c r="G3043" t="inlineStr">
        <is>
          <t>Electricity-only proxy: source amount / 0.29; 100% burden to electricity, before STEM efficiency adjustment.</t>
        </is>
      </c>
    </row>
    <row r="3044">
      <c r="A3044" t="inlineStr">
        <is>
          <t>Selenium IV</t>
        </is>
      </c>
      <c r="B3044">
        <v>4.5142802025560654e-08</v>
      </c>
      <c r="D3044" t="inlineStr">
        <is>
          <t>kilogram</t>
        </is>
      </c>
      <c r="E3044" t="inlineStr">
        <is>
          <t>air::urban air close to ground</t>
        </is>
      </c>
      <c r="F3044" t="inlineStr">
        <is>
          <t>biosphere</t>
        </is>
      </c>
      <c r="G3044" t="inlineStr">
        <is>
          <t>Electricity-only proxy: source amount / 0.29; 100% burden to electricity, before STEM efficiency adjustment.</t>
        </is>
      </c>
    </row>
    <row r="3045">
      <c r="A3045" t="inlineStr">
        <is>
          <t>Silicon</t>
        </is>
      </c>
      <c r="B3045">
        <v>4.7148975162768264e-07</v>
      </c>
      <c r="D3045" t="inlineStr">
        <is>
          <t>kilogram</t>
        </is>
      </c>
      <c r="E3045" t="inlineStr">
        <is>
          <t>air::urban air close to ground</t>
        </is>
      </c>
      <c r="F3045" t="inlineStr">
        <is>
          <t>biosphere</t>
        </is>
      </c>
      <c r="G3045" t="inlineStr">
        <is>
          <t>Electricity-only proxy: source amount / 0.29; 100% burden to electricity, before STEM efficiency adjustment.</t>
        </is>
      </c>
    </row>
    <row r="3046">
      <c r="A3046" t="inlineStr">
        <is>
          <t>Sodium</t>
        </is>
      </c>
      <c r="B3046">
        <v>9.325102483723175e-05</v>
      </c>
      <c r="D3046" t="inlineStr">
        <is>
          <t>kilogram</t>
        </is>
      </c>
      <c r="E3046" t="inlineStr">
        <is>
          <t>air::urban air close to ground</t>
        </is>
      </c>
      <c r="F3046" t="inlineStr">
        <is>
          <t>biosphere</t>
        </is>
      </c>
      <c r="G3046" t="inlineStr">
        <is>
          <t>Electricity-only proxy: source amount / 0.29; 100% burden to electricity, before STEM efficiency adjustment.</t>
        </is>
      </c>
    </row>
    <row r="3047">
      <c r="A3047" t="inlineStr">
        <is>
          <t>Sulfur dioxide</t>
        </is>
      </c>
      <c r="B3047">
        <v>0.00012072630817458403</v>
      </c>
      <c r="D3047" t="inlineStr">
        <is>
          <t>kilogram</t>
        </is>
      </c>
      <c r="E3047" t="inlineStr">
        <is>
          <t>air::urban air close to ground</t>
        </is>
      </c>
      <c r="F3047" t="inlineStr">
        <is>
          <t>biosphere</t>
        </is>
      </c>
      <c r="G3047" t="inlineStr">
        <is>
          <t>Electricity-only proxy: source amount / 0.29; 100% burden to electricity, before STEM efficiency adjustment.</t>
        </is>
      </c>
    </row>
    <row r="3048">
      <c r="A3048" t="inlineStr">
        <is>
          <t>Tin ion</t>
        </is>
      </c>
      <c r="B3048">
        <v>3.954791415481071e-11</v>
      </c>
      <c r="D3048" t="inlineStr">
        <is>
          <t>kilogram</t>
        </is>
      </c>
      <c r="E3048" t="inlineStr">
        <is>
          <t>air::urban air close to ground</t>
        </is>
      </c>
      <c r="F3048" t="inlineStr">
        <is>
          <t>biosphere</t>
        </is>
      </c>
      <c r="G3048" t="inlineStr">
        <is>
          <t>Electricity-only proxy: source amount / 0.29; 100% burden to electricity, before STEM efficiency adjustment.</t>
        </is>
      </c>
    </row>
    <row r="3049">
      <c r="A3049" t="inlineStr">
        <is>
          <t>Toluene</t>
        </is>
      </c>
      <c r="B3049">
        <v>7.225608873884736e-07</v>
      </c>
      <c r="D3049" t="inlineStr">
        <is>
          <t>kilogram</t>
        </is>
      </c>
      <c r="E3049" t="inlineStr">
        <is>
          <t>air::urban air close to ground</t>
        </is>
      </c>
      <c r="F3049" t="inlineStr">
        <is>
          <t>biosphere</t>
        </is>
      </c>
      <c r="G3049" t="inlineStr">
        <is>
          <t>Electricity-only proxy: source amount / 0.29; 100% burden to electricity, before STEM efficiency adjustment.</t>
        </is>
      </c>
    </row>
    <row r="3050">
      <c r="A3050" t="inlineStr">
        <is>
          <t>Vanadium V</t>
        </is>
      </c>
      <c r="B3050">
        <v>4.815249578008199e-07</v>
      </c>
      <c r="D3050" t="inlineStr">
        <is>
          <t>kilogram</t>
        </is>
      </c>
      <c r="E3050" t="inlineStr">
        <is>
          <t>air::urban air close to ground</t>
        </is>
      </c>
      <c r="F3050" t="inlineStr">
        <is>
          <t>biosphere</t>
        </is>
      </c>
      <c r="G3050" t="inlineStr">
        <is>
          <t>Electricity-only proxy: source amount / 0.29; 100% burden to electricity, before STEM efficiency adjustment.</t>
        </is>
      </c>
    </row>
    <row r="3051">
      <c r="A3051" t="inlineStr">
        <is>
          <t>Water</t>
        </is>
      </c>
      <c r="B3051">
        <v>0.011761235591994214</v>
      </c>
      <c r="D3051" t="inlineStr">
        <is>
          <t>cubic meter</t>
        </is>
      </c>
      <c r="E3051" t="inlineStr">
        <is>
          <t>air::urban air close to ground</t>
        </is>
      </c>
      <c r="F3051" t="inlineStr">
        <is>
          <t>biosphere</t>
        </is>
      </c>
      <c r="G3051" t="inlineStr">
        <is>
          <t>Electricity-only proxy: source amount / 0.29; 100% burden to electricity, before STEM efficiency adjustment.</t>
        </is>
      </c>
    </row>
    <row r="3052">
      <c r="A3052" t="inlineStr">
        <is>
          <t>Zinc II</t>
        </is>
      </c>
      <c r="B3052">
        <v>2.95569809500844e-07</v>
      </c>
      <c r="D3052" t="inlineStr">
        <is>
          <t>kilogram</t>
        </is>
      </c>
      <c r="E3052" t="inlineStr">
        <is>
          <t>air::urban air close to ground</t>
        </is>
      </c>
      <c r="F3052" t="inlineStr">
        <is>
          <t>biosphere</t>
        </is>
      </c>
      <c r="G3052" t="inlineStr">
        <is>
          <t>Electricity-only proxy: source amount / 0.29; 100% burden to electricity, before STEM efficiency adjustment.</t>
        </is>
      </c>
    </row>
    <row r="3053">
      <c r="A3053" t="inlineStr">
        <is>
          <t>Aluminium III</t>
        </is>
      </c>
      <c r="B3053">
        <v>0.058423824451410665</v>
      </c>
      <c r="D3053" t="inlineStr">
        <is>
          <t>kilogram</t>
        </is>
      </c>
      <c r="E3053" t="inlineStr">
        <is>
          <t>water::ground-, long-term</t>
        </is>
      </c>
      <c r="F3053" t="inlineStr">
        <is>
          <t>biosphere</t>
        </is>
      </c>
      <c r="G3053" t="inlineStr">
        <is>
          <t>Electricity-only proxy: source amount / 0.29; 100% burden to electricity, before STEM efficiency adjustment.</t>
        </is>
      </c>
    </row>
    <row r="3054">
      <c r="A3054" t="inlineStr">
        <is>
          <t>Aluminium III</t>
        </is>
      </c>
      <c r="B3054">
        <v>5.621191222570534e-06</v>
      </c>
      <c r="D3054" t="inlineStr">
        <is>
          <t>kilogram</t>
        </is>
      </c>
      <c r="E3054" t="inlineStr">
        <is>
          <t>water::surface water</t>
        </is>
      </c>
      <c r="F3054" t="inlineStr">
        <is>
          <t>biosphere</t>
        </is>
      </c>
      <c r="G3054" t="inlineStr">
        <is>
          <t>Electricity-only proxy: source amount / 0.29; 100% burden to electricity, before STEM efficiency adjustment.</t>
        </is>
      </c>
    </row>
    <row r="3055">
      <c r="A3055" t="inlineStr">
        <is>
          <t>Antimony ion</t>
        </is>
      </c>
      <c r="B3055">
        <v>7.009278996865204e-09</v>
      </c>
      <c r="D3055" t="inlineStr">
        <is>
          <t>kilogram</t>
        </is>
      </c>
      <c r="E3055" t="inlineStr">
        <is>
          <t>water::ground-, long-term</t>
        </is>
      </c>
      <c r="F3055" t="inlineStr">
        <is>
          <t>biosphere</t>
        </is>
      </c>
      <c r="G3055" t="inlineStr">
        <is>
          <t>Electricity-only proxy: source amount / 0.29; 100% burden to electricity, before STEM efficiency adjustment.</t>
        </is>
      </c>
    </row>
    <row r="3056">
      <c r="A3056" t="inlineStr">
        <is>
          <t>Antimony ion</t>
        </is>
      </c>
      <c r="B3056">
        <v>3.818500120569086e-09</v>
      </c>
      <c r="D3056" t="inlineStr">
        <is>
          <t>kilogram</t>
        </is>
      </c>
      <c r="E3056" t="inlineStr">
        <is>
          <t>water::surface water</t>
        </is>
      </c>
      <c r="F3056" t="inlineStr">
        <is>
          <t>biosphere</t>
        </is>
      </c>
      <c r="G3056" t="inlineStr">
        <is>
          <t>Electricity-only proxy: source amount / 0.29; 100% burden to electricity, before STEM efficiency adjustment.</t>
        </is>
      </c>
    </row>
    <row r="3057">
      <c r="A3057" t="inlineStr">
        <is>
          <t>Arsenic ion</t>
        </is>
      </c>
      <c r="B3057">
        <v>9.23221605980227e-06</v>
      </c>
      <c r="D3057" t="inlineStr">
        <is>
          <t>kilogram</t>
        </is>
      </c>
      <c r="E3057" t="inlineStr">
        <is>
          <t>water::ground-, long-term</t>
        </is>
      </c>
      <c r="F3057" t="inlineStr">
        <is>
          <t>biosphere</t>
        </is>
      </c>
      <c r="G3057" t="inlineStr">
        <is>
          <t>Electricity-only proxy: source amount / 0.29; 100% burden to electricity, before STEM efficiency adjustment.</t>
        </is>
      </c>
    </row>
    <row r="3058">
      <c r="A3058" t="inlineStr">
        <is>
          <t>Arsenic ion</t>
        </is>
      </c>
      <c r="B3058">
        <v>6.082324571979745e-06</v>
      </c>
      <c r="D3058" t="inlineStr">
        <is>
          <t>kilogram</t>
        </is>
      </c>
      <c r="E3058" t="inlineStr">
        <is>
          <t>water::surface water</t>
        </is>
      </c>
      <c r="F3058" t="inlineStr">
        <is>
          <t>biosphere</t>
        </is>
      </c>
      <c r="G3058" t="inlineStr">
        <is>
          <t>Electricity-only proxy: source amount / 0.29; 100% burden to electricity, before STEM efficiency adjustment.</t>
        </is>
      </c>
    </row>
    <row r="3059">
      <c r="A3059" t="inlineStr">
        <is>
          <t>BOD5, Biological Oxygen Demand</t>
        </is>
      </c>
      <c r="B3059">
        <v>0.002980612490957319</v>
      </c>
      <c r="D3059" t="inlineStr">
        <is>
          <t>kilogram</t>
        </is>
      </c>
      <c r="E3059" t="inlineStr">
        <is>
          <t>water::ground-, long-term</t>
        </is>
      </c>
      <c r="F3059" t="inlineStr">
        <is>
          <t>biosphere</t>
        </is>
      </c>
      <c r="G3059" t="inlineStr">
        <is>
          <t>Electricity-only proxy: source amount / 0.29; 100% burden to electricity, before STEM efficiency adjustment.</t>
        </is>
      </c>
    </row>
    <row r="3060">
      <c r="A3060" t="inlineStr">
        <is>
          <t>BOD5, Biological Oxygen Demand</t>
        </is>
      </c>
      <c r="B3060">
        <v>0.0009148010610079576</v>
      </c>
      <c r="D3060" t="inlineStr">
        <is>
          <t>kilogram</t>
        </is>
      </c>
      <c r="E3060" t="inlineStr">
        <is>
          <t>water::surface water</t>
        </is>
      </c>
      <c r="F3060" t="inlineStr">
        <is>
          <t>biosphere</t>
        </is>
      </c>
      <c r="G3060" t="inlineStr">
        <is>
          <t>Electricity-only proxy: source amount / 0.29; 100% burden to electricity, before STEM efficiency adjustment.</t>
        </is>
      </c>
    </row>
    <row r="3061">
      <c r="A3061" t="inlineStr">
        <is>
          <t>Boron</t>
        </is>
      </c>
      <c r="B3061">
        <v>6.402826139377864e-05</v>
      </c>
      <c r="D3061" t="inlineStr">
        <is>
          <t>kilogram</t>
        </is>
      </c>
      <c r="E3061" t="inlineStr">
        <is>
          <t>water::ground-, long-term</t>
        </is>
      </c>
      <c r="F3061" t="inlineStr">
        <is>
          <t>biosphere</t>
        </is>
      </c>
      <c r="G3061" t="inlineStr">
        <is>
          <t>Electricity-only proxy: source amount / 0.29; 100% burden to electricity, before STEM efficiency adjustment.</t>
        </is>
      </c>
    </row>
    <row r="3062">
      <c r="A3062" t="inlineStr">
        <is>
          <t>Boron</t>
        </is>
      </c>
      <c r="B3062">
        <v>8.030769230769231e-07</v>
      </c>
      <c r="D3062" t="inlineStr">
        <is>
          <t>kilogram</t>
        </is>
      </c>
      <c r="E3062" t="inlineStr">
        <is>
          <t>water::surface water</t>
        </is>
      </c>
      <c r="F3062" t="inlineStr">
        <is>
          <t>biosphere</t>
        </is>
      </c>
      <c r="G3062" t="inlineStr">
        <is>
          <t>Electricity-only proxy: source amount / 0.29; 100% burden to electricity, before STEM efficiency adjustment.</t>
        </is>
      </c>
    </row>
    <row r="3063">
      <c r="A3063" t="inlineStr">
        <is>
          <t>Bromine</t>
        </is>
      </c>
      <c r="B3063">
        <v>2.3551482999758862e-06</v>
      </c>
      <c r="D3063" t="inlineStr">
        <is>
          <t>kilogram</t>
        </is>
      </c>
      <c r="E3063" t="inlineStr">
        <is>
          <t>water::ground-, long-term</t>
        </is>
      </c>
      <c r="F3063" t="inlineStr">
        <is>
          <t>biosphere</t>
        </is>
      </c>
      <c r="G3063" t="inlineStr">
        <is>
          <t>Electricity-only proxy: source amount / 0.29; 100% burden to electricity, before STEM efficiency adjustment.</t>
        </is>
      </c>
    </row>
    <row r="3064">
      <c r="A3064" t="inlineStr">
        <is>
          <t>Bromine</t>
        </is>
      </c>
      <c r="B3064">
        <v>4.215567880395467e-05</v>
      </c>
      <c r="D3064" t="inlineStr">
        <is>
          <t>kilogram</t>
        </is>
      </c>
      <c r="E3064" t="inlineStr">
        <is>
          <t>water::surface water</t>
        </is>
      </c>
      <c r="F3064" t="inlineStr">
        <is>
          <t>biosphere</t>
        </is>
      </c>
      <c r="G3064" t="inlineStr">
        <is>
          <t>Electricity-only proxy: source amount / 0.29; 100% burden to electricity, before STEM efficiency adjustment.</t>
        </is>
      </c>
    </row>
    <row r="3065">
      <c r="A3065" t="inlineStr">
        <is>
          <t>COD, Chemical Oxygen Demand</t>
        </is>
      </c>
      <c r="B3065">
        <v>0.009112418615866891</v>
      </c>
      <c r="D3065" t="inlineStr">
        <is>
          <t>kilogram</t>
        </is>
      </c>
      <c r="E3065" t="inlineStr">
        <is>
          <t>water::ground-, long-term</t>
        </is>
      </c>
      <c r="F3065" t="inlineStr">
        <is>
          <t>biosphere</t>
        </is>
      </c>
      <c r="G3065" t="inlineStr">
        <is>
          <t>Electricity-only proxy: source amount / 0.29; 100% burden to electricity, before STEM efficiency adjustment.</t>
        </is>
      </c>
    </row>
    <row r="3066">
      <c r="A3066" t="inlineStr">
        <is>
          <t>COD, Chemical Oxygen Demand</t>
        </is>
      </c>
      <c r="B3066">
        <v>0.0009347673016638534</v>
      </c>
      <c r="D3066" t="inlineStr">
        <is>
          <t>kilogram</t>
        </is>
      </c>
      <c r="E3066" t="inlineStr">
        <is>
          <t>water::surface water</t>
        </is>
      </c>
      <c r="F3066" t="inlineStr">
        <is>
          <t>biosphere</t>
        </is>
      </c>
      <c r="G3066" t="inlineStr">
        <is>
          <t>Electricity-only proxy: source amount / 0.29; 100% burden to electricity, before STEM efficiency adjustment.</t>
        </is>
      </c>
    </row>
    <row r="3067">
      <c r="A3067" t="inlineStr">
        <is>
          <t>Cadmium II</t>
        </is>
      </c>
      <c r="B3067">
        <v>1.6758620689655172e-07</v>
      </c>
      <c r="D3067" t="inlineStr">
        <is>
          <t>kilogram</t>
        </is>
      </c>
      <c r="E3067" t="inlineStr">
        <is>
          <t>water::ground-, long-term</t>
        </is>
      </c>
      <c r="F3067" t="inlineStr">
        <is>
          <t>biosphere</t>
        </is>
      </c>
      <c r="G3067" t="inlineStr">
        <is>
          <t>Electricity-only proxy: source amount / 0.29; 100% burden to electricity, before STEM efficiency adjustment.</t>
        </is>
      </c>
    </row>
    <row r="3068">
      <c r="A3068" t="inlineStr">
        <is>
          <t>Cadmium II</t>
        </is>
      </c>
      <c r="B3068">
        <v>1.8582493368700267e-10</v>
      </c>
      <c r="D3068" t="inlineStr">
        <is>
          <t>kilogram</t>
        </is>
      </c>
      <c r="E3068" t="inlineStr">
        <is>
          <t>water::surface water</t>
        </is>
      </c>
      <c r="F3068" t="inlineStr">
        <is>
          <t>biosphere</t>
        </is>
      </c>
      <c r="G3068" t="inlineStr">
        <is>
          <t>Electricity-only proxy: source amount / 0.29; 100% burden to electricity, before STEM efficiency adjustment.</t>
        </is>
      </c>
    </row>
    <row r="3069">
      <c r="A3069" t="inlineStr">
        <is>
          <t>Calcium II</t>
        </is>
      </c>
      <c r="B3069">
        <v>0.14011960453339764</v>
      </c>
      <c r="D3069" t="inlineStr">
        <is>
          <t>kilogram</t>
        </is>
      </c>
      <c r="E3069" t="inlineStr">
        <is>
          <t>water::ground-, long-term</t>
        </is>
      </c>
      <c r="F3069" t="inlineStr">
        <is>
          <t>biosphere</t>
        </is>
      </c>
      <c r="G3069" t="inlineStr">
        <is>
          <t>Electricity-only proxy: source amount / 0.29; 100% burden to electricity, before STEM efficiency adjustment.</t>
        </is>
      </c>
    </row>
    <row r="3070">
      <c r="A3070" t="inlineStr">
        <is>
          <t>Calcium II</t>
        </is>
      </c>
      <c r="B3070">
        <v>0.002966809741982156</v>
      </c>
      <c r="D3070" t="inlineStr">
        <is>
          <t>kilogram</t>
        </is>
      </c>
      <c r="E3070" t="inlineStr">
        <is>
          <t>water::surface water</t>
        </is>
      </c>
      <c r="F3070" t="inlineStr">
        <is>
          <t>biosphere</t>
        </is>
      </c>
      <c r="G3070" t="inlineStr">
        <is>
          <t>Electricity-only proxy: source amount / 0.29; 100% burden to electricity, before STEM efficiency adjustment.</t>
        </is>
      </c>
    </row>
    <row r="3071">
      <c r="A3071" t="inlineStr">
        <is>
          <t>Chloride</t>
        </is>
      </c>
      <c r="B3071">
        <v>0.0038150277308898004</v>
      </c>
      <c r="D3071" t="inlineStr">
        <is>
          <t>kilogram</t>
        </is>
      </c>
      <c r="E3071" t="inlineStr">
        <is>
          <t>water::ground-, long-term</t>
        </is>
      </c>
      <c r="F3071" t="inlineStr">
        <is>
          <t>biosphere</t>
        </is>
      </c>
      <c r="G3071" t="inlineStr">
        <is>
          <t>Electricity-only proxy: source amount / 0.29; 100% burden to electricity, before STEM efficiency adjustment.</t>
        </is>
      </c>
    </row>
    <row r="3072">
      <c r="A3072" t="inlineStr">
        <is>
          <t>Chloride</t>
        </is>
      </c>
      <c r="B3072">
        <v>0.02572519893899205</v>
      </c>
      <c r="D3072" t="inlineStr">
        <is>
          <t>kilogram</t>
        </is>
      </c>
      <c r="E3072" t="inlineStr">
        <is>
          <t>water::surface water</t>
        </is>
      </c>
      <c r="F3072" t="inlineStr">
        <is>
          <t>biosphere</t>
        </is>
      </c>
      <c r="G3072" t="inlineStr">
        <is>
          <t>Electricity-only proxy: source amount / 0.29; 100% burden to electricity, before STEM efficiency adjustment.</t>
        </is>
      </c>
    </row>
    <row r="3073">
      <c r="A3073" t="inlineStr">
        <is>
          <t>Chromium III</t>
        </is>
      </c>
      <c r="B3073">
        <v>7.86400771642151e-09</v>
      </c>
      <c r="D3073" t="inlineStr">
        <is>
          <t>kilogram</t>
        </is>
      </c>
      <c r="E3073" t="inlineStr">
        <is>
          <t>water::surface water</t>
        </is>
      </c>
      <c r="F3073" t="inlineStr">
        <is>
          <t>biosphere</t>
        </is>
      </c>
      <c r="G3073" t="inlineStr">
        <is>
          <t>Electricity-only proxy: source amount / 0.29; 100% burden to electricity, before STEM efficiency adjustment.</t>
        </is>
      </c>
    </row>
    <row r="3074">
      <c r="A3074" t="inlineStr">
        <is>
          <t>Chromium VI</t>
        </is>
      </c>
      <c r="B3074">
        <v>3.4524234386303355e-06</v>
      </c>
      <c r="D3074" t="inlineStr">
        <is>
          <t>kilogram</t>
        </is>
      </c>
      <c r="E3074" t="inlineStr">
        <is>
          <t>water::ground-, long-term</t>
        </is>
      </c>
      <c r="F3074" t="inlineStr">
        <is>
          <t>biosphere</t>
        </is>
      </c>
      <c r="G3074" t="inlineStr">
        <is>
          <t>Electricity-only proxy: source amount / 0.29; 100% burden to electricity, before STEM efficiency adjustment.</t>
        </is>
      </c>
    </row>
    <row r="3075">
      <c r="A3075" t="inlineStr">
        <is>
          <t>Chromium VI</t>
        </is>
      </c>
      <c r="B3075">
        <v>1.000829515312274e-06</v>
      </c>
      <c r="D3075" t="inlineStr">
        <is>
          <t>kilogram</t>
        </is>
      </c>
      <c r="E3075" t="inlineStr">
        <is>
          <t>water::surface water</t>
        </is>
      </c>
      <c r="F3075" t="inlineStr">
        <is>
          <t>biosphere</t>
        </is>
      </c>
      <c r="G3075" t="inlineStr">
        <is>
          <t>Electricity-only proxy: source amount / 0.29; 100% burden to electricity, before STEM efficiency adjustment.</t>
        </is>
      </c>
    </row>
    <row r="3076">
      <c r="A3076" t="inlineStr">
        <is>
          <t>Cobalt II</t>
        </is>
      </c>
      <c r="B3076">
        <v>3.3151772365565475e-05</v>
      </c>
      <c r="D3076" t="inlineStr">
        <is>
          <t>kilogram</t>
        </is>
      </c>
      <c r="E3076" t="inlineStr">
        <is>
          <t>water::ground-, long-term</t>
        </is>
      </c>
      <c r="F3076" t="inlineStr">
        <is>
          <t>biosphere</t>
        </is>
      </c>
      <c r="G3076" t="inlineStr">
        <is>
          <t>Electricity-only proxy: source amount / 0.29; 100% burden to electricity, before STEM efficiency adjustment.</t>
        </is>
      </c>
    </row>
    <row r="3077">
      <c r="A3077" t="inlineStr">
        <is>
          <t>Cobalt II</t>
        </is>
      </c>
      <c r="B3077">
        <v>6.2914492404147584e-09</v>
      </c>
      <c r="D3077" t="inlineStr">
        <is>
          <t>kilogram</t>
        </is>
      </c>
      <c r="E3077" t="inlineStr">
        <is>
          <t>water::surface water</t>
        </is>
      </c>
      <c r="F3077" t="inlineStr">
        <is>
          <t>biosphere</t>
        </is>
      </c>
      <c r="G3077" t="inlineStr">
        <is>
          <t>Electricity-only proxy: source amount / 0.29; 100% burden to electricity, before STEM efficiency adjustment.</t>
        </is>
      </c>
    </row>
    <row r="3078">
      <c r="A3078" t="inlineStr">
        <is>
          <t>Copper ion</t>
        </is>
      </c>
      <c r="B3078">
        <v>0.00012841765131420304</v>
      </c>
      <c r="D3078" t="inlineStr">
        <is>
          <t>kilogram</t>
        </is>
      </c>
      <c r="E3078" t="inlineStr">
        <is>
          <t>water::ground-, long-term</t>
        </is>
      </c>
      <c r="F3078" t="inlineStr">
        <is>
          <t>biosphere</t>
        </is>
      </c>
      <c r="G3078" t="inlineStr">
        <is>
          <t>Electricity-only proxy: source amount / 0.29; 100% burden to electricity, before STEM efficiency adjustment.</t>
        </is>
      </c>
    </row>
    <row r="3079">
      <c r="A3079" t="inlineStr">
        <is>
          <t>Copper ion</t>
        </is>
      </c>
      <c r="B3079">
        <v>1.1820882565710152e-08</v>
      </c>
      <c r="D3079" t="inlineStr">
        <is>
          <t>kilogram</t>
        </is>
      </c>
      <c r="E3079" t="inlineStr">
        <is>
          <t>water::surface water</t>
        </is>
      </c>
      <c r="F3079" t="inlineStr">
        <is>
          <t>biosphere</t>
        </is>
      </c>
      <c r="G3079" t="inlineStr">
        <is>
          <t>Electricity-only proxy: source amount / 0.29; 100% burden to electricity, before STEM efficiency adjustment.</t>
        </is>
      </c>
    </row>
    <row r="3080">
      <c r="A3080" t="inlineStr">
        <is>
          <t>DOC, Dissolved Organic Carbon</t>
        </is>
      </c>
      <c r="B3080">
        <v>0.003605729442970822</v>
      </c>
      <c r="D3080" t="inlineStr">
        <is>
          <t>kilogram</t>
        </is>
      </c>
      <c r="E3080" t="inlineStr">
        <is>
          <t>water::ground-, long-term</t>
        </is>
      </c>
      <c r="F3080" t="inlineStr">
        <is>
          <t>biosphere</t>
        </is>
      </c>
      <c r="G3080" t="inlineStr">
        <is>
          <t>Electricity-only proxy: source amount / 0.29; 100% burden to electricity, before STEM efficiency adjustment.</t>
        </is>
      </c>
    </row>
    <row r="3081">
      <c r="A3081" t="inlineStr">
        <is>
          <t>DOC, Dissolved Organic Carbon</t>
        </is>
      </c>
      <c r="B3081">
        <v>0.0004077366771159875</v>
      </c>
      <c r="D3081" t="inlineStr">
        <is>
          <t>kilogram</t>
        </is>
      </c>
      <c r="E3081" t="inlineStr">
        <is>
          <t>water::surface water</t>
        </is>
      </c>
      <c r="F3081" t="inlineStr">
        <is>
          <t>biosphere</t>
        </is>
      </c>
      <c r="G3081" t="inlineStr">
        <is>
          <t>Electricity-only proxy: source amount / 0.29; 100% burden to electricity, before STEM efficiency adjustment.</t>
        </is>
      </c>
    </row>
    <row r="3082">
      <c r="A3082" t="inlineStr">
        <is>
          <t>Fluoride</t>
        </is>
      </c>
      <c r="B3082">
        <v>0.0010102917771883289</v>
      </c>
      <c r="D3082" t="inlineStr">
        <is>
          <t>kilogram</t>
        </is>
      </c>
      <c r="E3082" t="inlineStr">
        <is>
          <t>water::ground-, long-term</t>
        </is>
      </c>
      <c r="F3082" t="inlineStr">
        <is>
          <t>biosphere</t>
        </is>
      </c>
      <c r="G3082" t="inlineStr">
        <is>
          <t>Electricity-only proxy: source amount / 0.29; 100% burden to electricity, before STEM efficiency adjustment.</t>
        </is>
      </c>
    </row>
    <row r="3083">
      <c r="A3083" t="inlineStr">
        <is>
          <t>Fluoride</t>
        </is>
      </c>
      <c r="B3083">
        <v>0.00044074174101760315</v>
      </c>
      <c r="D3083" t="inlineStr">
        <is>
          <t>kilogram</t>
        </is>
      </c>
      <c r="E3083" t="inlineStr">
        <is>
          <t>water::surface water</t>
        </is>
      </c>
      <c r="F3083" t="inlineStr">
        <is>
          <t>biosphere</t>
        </is>
      </c>
      <c r="G3083" t="inlineStr">
        <is>
          <t>Electricity-only proxy: source amount / 0.29; 100% burden to electricity, before STEM efficiency adjustment.</t>
        </is>
      </c>
    </row>
    <row r="3084">
      <c r="A3084" t="inlineStr">
        <is>
          <t>Heat, waste</t>
        </is>
      </c>
      <c r="B3084">
        <v>12.94420062695925</v>
      </c>
      <c r="D3084" t="inlineStr">
        <is>
          <t>megajoule</t>
        </is>
      </c>
      <c r="E3084" t="inlineStr">
        <is>
          <t>water::surface water</t>
        </is>
      </c>
      <c r="F3084" t="inlineStr">
        <is>
          <t>biosphere</t>
        </is>
      </c>
      <c r="G3084" t="inlineStr">
        <is>
          <t>Electricity-only proxy: source amount / 0.29; 100% burden to electricity, before STEM efficiency adjustment.</t>
        </is>
      </c>
    </row>
    <row r="3085">
      <c r="A3085" t="inlineStr">
        <is>
          <t>Iodide</t>
        </is>
      </c>
      <c r="B3085">
        <v>7.81001205690861e-15</v>
      </c>
      <c r="D3085" t="inlineStr">
        <is>
          <t>kilogram</t>
        </is>
      </c>
      <c r="E3085" t="inlineStr">
        <is>
          <t>water::ground-, long-term</t>
        </is>
      </c>
      <c r="F3085" t="inlineStr">
        <is>
          <t>biosphere</t>
        </is>
      </c>
      <c r="G3085" t="inlineStr">
        <is>
          <t>Electricity-only proxy: source amount / 0.29; 100% burden to electricity, before STEM efficiency adjustment.</t>
        </is>
      </c>
    </row>
    <row r="3086">
      <c r="A3086" t="inlineStr">
        <is>
          <t>Iodide</t>
        </is>
      </c>
      <c r="B3086">
        <v>4.0617410176030873e-07</v>
      </c>
      <c r="D3086" t="inlineStr">
        <is>
          <t>kilogram</t>
        </is>
      </c>
      <c r="E3086" t="inlineStr">
        <is>
          <t>water::surface water</t>
        </is>
      </c>
      <c r="F3086" t="inlineStr">
        <is>
          <t>biosphere</t>
        </is>
      </c>
      <c r="G3086" t="inlineStr">
        <is>
          <t>Electricity-only proxy: source amount / 0.29; 100% burden to electricity, before STEM efficiency adjustment.</t>
        </is>
      </c>
    </row>
    <row r="3087">
      <c r="A3087" t="inlineStr">
        <is>
          <t>Iron ion</t>
        </is>
      </c>
      <c r="B3087">
        <v>0.002329886665059079</v>
      </c>
      <c r="D3087" t="inlineStr">
        <is>
          <t>kilogram</t>
        </is>
      </c>
      <c r="E3087" t="inlineStr">
        <is>
          <t>water::ground-, long-term</t>
        </is>
      </c>
      <c r="F3087" t="inlineStr">
        <is>
          <t>biosphere</t>
        </is>
      </c>
      <c r="G3087" t="inlineStr">
        <is>
          <t>Electricity-only proxy: source amount / 0.29; 100% burden to electricity, before STEM efficiency adjustment.</t>
        </is>
      </c>
    </row>
    <row r="3088">
      <c r="A3088" t="inlineStr">
        <is>
          <t>Iron ion</t>
        </is>
      </c>
      <c r="B3088">
        <v>9.563829274174102e-08</v>
      </c>
      <c r="D3088" t="inlineStr">
        <is>
          <t>kilogram</t>
        </is>
      </c>
      <c r="E3088" t="inlineStr">
        <is>
          <t>water::surface water</t>
        </is>
      </c>
      <c r="F3088" t="inlineStr">
        <is>
          <t>biosphere</t>
        </is>
      </c>
      <c r="G3088" t="inlineStr">
        <is>
          <t>Electricity-only proxy: source amount / 0.29; 100% burden to electricity, before STEM efficiency adjustment.</t>
        </is>
      </c>
    </row>
    <row r="3089">
      <c r="A3089" t="inlineStr">
        <is>
          <t>Lead II</t>
        </is>
      </c>
      <c r="B3089">
        <v>9.894574391126116e-05</v>
      </c>
      <c r="D3089" t="inlineStr">
        <is>
          <t>kilogram</t>
        </is>
      </c>
      <c r="E3089" t="inlineStr">
        <is>
          <t>water::ground-, long-term</t>
        </is>
      </c>
      <c r="F3089" t="inlineStr">
        <is>
          <t>biosphere</t>
        </is>
      </c>
      <c r="G3089" t="inlineStr">
        <is>
          <t>Electricity-only proxy: source amount / 0.29; 100% burden to electricity, before STEM efficiency adjustment.</t>
        </is>
      </c>
    </row>
    <row r="3090">
      <c r="A3090" t="inlineStr">
        <is>
          <t>Lead II</t>
        </is>
      </c>
      <c r="B3090">
        <v>9.575114540631783e-09</v>
      </c>
      <c r="D3090" t="inlineStr">
        <is>
          <t>kilogram</t>
        </is>
      </c>
      <c r="E3090" t="inlineStr">
        <is>
          <t>water::surface water</t>
        </is>
      </c>
      <c r="F3090" t="inlineStr">
        <is>
          <t>biosphere</t>
        </is>
      </c>
      <c r="G3090" t="inlineStr">
        <is>
          <t>Electricity-only proxy: source amount / 0.29; 100% burden to electricity, before STEM efficiency adjustment.</t>
        </is>
      </c>
    </row>
    <row r="3091">
      <c r="A3091" t="inlineStr">
        <is>
          <t>Magnesium</t>
        </is>
      </c>
      <c r="B3091">
        <v>0.019886375693272246</v>
      </c>
      <c r="D3091" t="inlineStr">
        <is>
          <t>kilogram</t>
        </is>
      </c>
      <c r="E3091" t="inlineStr">
        <is>
          <t>water::ground-, long-term</t>
        </is>
      </c>
      <c r="F3091" t="inlineStr">
        <is>
          <t>biosphere</t>
        </is>
      </c>
      <c r="G3091" t="inlineStr">
        <is>
          <t>Electricity-only proxy: source amount / 0.29; 100% burden to electricity, before STEM efficiency adjustment.</t>
        </is>
      </c>
    </row>
    <row r="3092">
      <c r="A3092" t="inlineStr">
        <is>
          <t>Magnesium</t>
        </is>
      </c>
      <c r="B3092">
        <v>0.00016166578249336873</v>
      </c>
      <c r="D3092" t="inlineStr">
        <is>
          <t>kilogram</t>
        </is>
      </c>
      <c r="E3092" t="inlineStr">
        <is>
          <t>water::surface water</t>
        </is>
      </c>
      <c r="F3092" t="inlineStr">
        <is>
          <t>biosphere</t>
        </is>
      </c>
      <c r="G3092" t="inlineStr">
        <is>
          <t>Electricity-only proxy: source amount / 0.29; 100% burden to electricity, before STEM efficiency adjustment.</t>
        </is>
      </c>
    </row>
    <row r="3093">
      <c r="A3093" t="inlineStr">
        <is>
          <t>Manganese II</t>
        </is>
      </c>
      <c r="B3093">
        <v>2.587451169520135e-05</v>
      </c>
      <c r="D3093" t="inlineStr">
        <is>
          <t>kilogram</t>
        </is>
      </c>
      <c r="E3093" t="inlineStr">
        <is>
          <t>water::ground-, long-term</t>
        </is>
      </c>
      <c r="F3093" t="inlineStr">
        <is>
          <t>biosphere</t>
        </is>
      </c>
      <c r="G3093" t="inlineStr">
        <is>
          <t>Electricity-only proxy: source amount / 0.29; 100% burden to electricity, before STEM efficiency adjustment.</t>
        </is>
      </c>
    </row>
    <row r="3094">
      <c r="A3094" t="inlineStr">
        <is>
          <t>Manganese II</t>
        </is>
      </c>
      <c r="B3094">
        <v>4.079450204967447e-09</v>
      </c>
      <c r="D3094" t="inlineStr">
        <is>
          <t>kilogram</t>
        </is>
      </c>
      <c r="E3094" t="inlineStr">
        <is>
          <t>water::surface water</t>
        </is>
      </c>
      <c r="F3094" t="inlineStr">
        <is>
          <t>biosphere</t>
        </is>
      </c>
      <c r="G3094" t="inlineStr">
        <is>
          <t>Electricity-only proxy: source amount / 0.29; 100% burden to electricity, before STEM efficiency adjustment.</t>
        </is>
      </c>
    </row>
    <row r="3095">
      <c r="A3095" t="inlineStr">
        <is>
          <t>Mercury II</t>
        </is>
      </c>
      <c r="B3095">
        <v>1.1135953701470944e-07</v>
      </c>
      <c r="D3095" t="inlineStr">
        <is>
          <t>kilogram</t>
        </is>
      </c>
      <c r="E3095" t="inlineStr">
        <is>
          <t>water::ground-, long-term</t>
        </is>
      </c>
      <c r="F3095" t="inlineStr">
        <is>
          <t>biosphere</t>
        </is>
      </c>
      <c r="G3095" t="inlineStr">
        <is>
          <t>Electricity-only proxy: source amount / 0.29; 100% burden to electricity, before STEM efficiency adjustment.</t>
        </is>
      </c>
    </row>
    <row r="3096">
      <c r="A3096" t="inlineStr">
        <is>
          <t>Mercury II</t>
        </is>
      </c>
      <c r="B3096">
        <v>2.8203617072582593e-09</v>
      </c>
      <c r="D3096" t="inlineStr">
        <is>
          <t>kilogram</t>
        </is>
      </c>
      <c r="E3096" t="inlineStr">
        <is>
          <t>water::surface water</t>
        </is>
      </c>
      <c r="F3096" t="inlineStr">
        <is>
          <t>biosphere</t>
        </is>
      </c>
      <c r="G3096" t="inlineStr">
        <is>
          <t>Electricity-only proxy: source amount / 0.29; 100% burden to electricity, before STEM efficiency adjustment.</t>
        </is>
      </c>
    </row>
    <row r="3097">
      <c r="A3097" t="inlineStr">
        <is>
          <t>Molybdenum VI</t>
        </is>
      </c>
      <c r="B3097">
        <v>2.335095249578008e-06</v>
      </c>
      <c r="D3097" t="inlineStr">
        <is>
          <t>kilogram</t>
        </is>
      </c>
      <c r="E3097" t="inlineStr">
        <is>
          <t>water::ground-, long-term</t>
        </is>
      </c>
      <c r="F3097" t="inlineStr">
        <is>
          <t>biosphere</t>
        </is>
      </c>
      <c r="G3097" t="inlineStr">
        <is>
          <t>Electricity-only proxy: source amount / 0.29; 100% burden to electricity, before STEM efficiency adjustment.</t>
        </is>
      </c>
    </row>
    <row r="3098">
      <c r="A3098" t="inlineStr">
        <is>
          <t>Molybdenum VI</t>
        </is>
      </c>
      <c r="B3098">
        <v>5.03956595129009e-07</v>
      </c>
      <c r="D3098" t="inlineStr">
        <is>
          <t>kilogram</t>
        </is>
      </c>
      <c r="E3098" t="inlineStr">
        <is>
          <t>water::surface water</t>
        </is>
      </c>
      <c r="F3098" t="inlineStr">
        <is>
          <t>biosphere</t>
        </is>
      </c>
      <c r="G3098" t="inlineStr">
        <is>
          <t>Electricity-only proxy: source amount / 0.29; 100% burden to electricity, before STEM efficiency adjustment.</t>
        </is>
      </c>
    </row>
    <row r="3099">
      <c r="A3099" t="inlineStr">
        <is>
          <t>Nickel II</t>
        </is>
      </c>
      <c r="B3099">
        <v>4.050021702435496e-05</v>
      </c>
      <c r="D3099" t="inlineStr">
        <is>
          <t>kilogram</t>
        </is>
      </c>
      <c r="E3099" t="inlineStr">
        <is>
          <t>water::ground-, long-term</t>
        </is>
      </c>
      <c r="F3099" t="inlineStr">
        <is>
          <t>biosphere</t>
        </is>
      </c>
      <c r="G3099" t="inlineStr">
        <is>
          <t>Electricity-only proxy: source amount / 0.29; 100% burden to electricity, before STEM efficiency adjustment.</t>
        </is>
      </c>
    </row>
    <row r="3100">
      <c r="A3100" t="inlineStr">
        <is>
          <t>Nickel II</t>
        </is>
      </c>
      <c r="B3100">
        <v>2.7793006993006997e-08</v>
      </c>
      <c r="D3100" t="inlineStr">
        <is>
          <t>kilogram</t>
        </is>
      </c>
      <c r="E3100" t="inlineStr">
        <is>
          <t>water::surface water</t>
        </is>
      </c>
      <c r="F3100" t="inlineStr">
        <is>
          <t>biosphere</t>
        </is>
      </c>
      <c r="G3100" t="inlineStr">
        <is>
          <t>Electricity-only proxy: source amount / 0.29; 100% burden to electricity, before STEM efficiency adjustment.</t>
        </is>
      </c>
    </row>
    <row r="3101">
      <c r="A3101" t="inlineStr">
        <is>
          <t>Nitrate</t>
        </is>
      </c>
      <c r="B3101">
        <v>0.0010862503014227153</v>
      </c>
      <c r="D3101" t="inlineStr">
        <is>
          <t>kilogram</t>
        </is>
      </c>
      <c r="E3101" t="inlineStr">
        <is>
          <t>water::ground-, long-term</t>
        </is>
      </c>
      <c r="F3101" t="inlineStr">
        <is>
          <t>biosphere</t>
        </is>
      </c>
      <c r="G3101" t="inlineStr">
        <is>
          <t>Electricity-only proxy: source amount / 0.29; 100% burden to electricity, before STEM efficiency adjustment.</t>
        </is>
      </c>
    </row>
    <row r="3102">
      <c r="A3102" t="inlineStr">
        <is>
          <t>Nitrate</t>
        </is>
      </c>
      <c r="B3102">
        <v>0.00038911598746081515</v>
      </c>
      <c r="D3102" t="inlineStr">
        <is>
          <t>kilogram</t>
        </is>
      </c>
      <c r="E3102" t="inlineStr">
        <is>
          <t>water::surface water</t>
        </is>
      </c>
      <c r="F3102" t="inlineStr">
        <is>
          <t>biosphere</t>
        </is>
      </c>
      <c r="G3102" t="inlineStr">
        <is>
          <t>Electricity-only proxy: source amount / 0.29; 100% burden to electricity, before STEM efficiency adjustment.</t>
        </is>
      </c>
    </row>
    <row r="3103">
      <c r="A3103" t="inlineStr">
        <is>
          <t>Phosphate</t>
        </is>
      </c>
      <c r="B3103">
        <v>0.0007694902339040271</v>
      </c>
      <c r="D3103" t="inlineStr">
        <is>
          <t>kilogram</t>
        </is>
      </c>
      <c r="E3103" t="inlineStr">
        <is>
          <t>water::ground-, long-term</t>
        </is>
      </c>
      <c r="F3103" t="inlineStr">
        <is>
          <t>biosphere</t>
        </is>
      </c>
      <c r="G3103" t="inlineStr">
        <is>
          <t>Electricity-only proxy: source amount / 0.29; 100% burden to electricity, before STEM efficiency adjustment.</t>
        </is>
      </c>
    </row>
    <row r="3104">
      <c r="A3104" t="inlineStr">
        <is>
          <t>Phosphate</t>
        </is>
      </c>
      <c r="B3104">
        <v>1.2739329635881362e-05</v>
      </c>
      <c r="D3104" t="inlineStr">
        <is>
          <t>kilogram</t>
        </is>
      </c>
      <c r="E3104" t="inlineStr">
        <is>
          <t>water::surface water</t>
        </is>
      </c>
      <c r="F3104" t="inlineStr">
        <is>
          <t>biosphere</t>
        </is>
      </c>
      <c r="G3104" t="inlineStr">
        <is>
          <t>Electricity-only proxy: source amount / 0.29; 100% burden to electricity, before STEM efficiency adjustment.</t>
        </is>
      </c>
    </row>
    <row r="3105">
      <c r="A3105" t="inlineStr">
        <is>
          <t>Potassium I</t>
        </is>
      </c>
      <c r="B3105">
        <v>0.019015673981191226</v>
      </c>
      <c r="D3105" t="inlineStr">
        <is>
          <t>kilogram</t>
        </is>
      </c>
      <c r="E3105" t="inlineStr">
        <is>
          <t>water::ground-, long-term</t>
        </is>
      </c>
      <c r="F3105" t="inlineStr">
        <is>
          <t>biosphere</t>
        </is>
      </c>
      <c r="G3105" t="inlineStr">
        <is>
          <t>Electricity-only proxy: source amount / 0.29; 100% burden to electricity, before STEM efficiency adjustment.</t>
        </is>
      </c>
    </row>
    <row r="3106">
      <c r="A3106" t="inlineStr">
        <is>
          <t>Potassium I</t>
        </is>
      </c>
      <c r="B3106">
        <v>0.007186197251024838</v>
      </c>
      <c r="D3106" t="inlineStr">
        <is>
          <t>kilogram</t>
        </is>
      </c>
      <c r="E3106" t="inlineStr">
        <is>
          <t>water::surface water</t>
        </is>
      </c>
      <c r="F3106" t="inlineStr">
        <is>
          <t>biosphere</t>
        </is>
      </c>
      <c r="G3106" t="inlineStr">
        <is>
          <t>Electricity-only proxy: source amount / 0.29; 100% burden to electricity, before STEM efficiency adjustment.</t>
        </is>
      </c>
    </row>
    <row r="3107">
      <c r="A3107" t="inlineStr">
        <is>
          <t>Selenium IV</t>
        </is>
      </c>
      <c r="B3107">
        <v>2.9037858693031107e-06</v>
      </c>
      <c r="D3107" t="inlineStr">
        <is>
          <t>kilogram</t>
        </is>
      </c>
      <c r="E3107" t="inlineStr">
        <is>
          <t>water::ground-, long-term</t>
        </is>
      </c>
      <c r="F3107" t="inlineStr">
        <is>
          <t>biosphere</t>
        </is>
      </c>
      <c r="G3107" t="inlineStr">
        <is>
          <t>Electricity-only proxy: source amount / 0.29; 100% burden to electricity, before STEM efficiency adjustment.</t>
        </is>
      </c>
    </row>
    <row r="3108">
      <c r="A3108" t="inlineStr">
        <is>
          <t>Selenium IV</t>
        </is>
      </c>
      <c r="B3108">
        <v>7.539252471666265e-07</v>
      </c>
      <c r="D3108" t="inlineStr">
        <is>
          <t>kilogram</t>
        </is>
      </c>
      <c r="E3108" t="inlineStr">
        <is>
          <t>water::surface water</t>
        </is>
      </c>
      <c r="F3108" t="inlineStr">
        <is>
          <t>biosphere</t>
        </is>
      </c>
      <c r="G3108" t="inlineStr">
        <is>
          <t>Electricity-only proxy: source amount / 0.29; 100% burden to electricity, before STEM efficiency adjustment.</t>
        </is>
      </c>
    </row>
    <row r="3109">
      <c r="A3109" t="inlineStr">
        <is>
          <t>Silicon</t>
        </is>
      </c>
      <c r="B3109">
        <v>0.022353508560405116</v>
      </c>
      <c r="D3109" t="inlineStr">
        <is>
          <t>kilogram</t>
        </is>
      </c>
      <c r="E3109" t="inlineStr">
        <is>
          <t>water::ground-, long-term</t>
        </is>
      </c>
      <c r="F3109" t="inlineStr">
        <is>
          <t>biosphere</t>
        </is>
      </c>
      <c r="G3109" t="inlineStr">
        <is>
          <t>Electricity-only proxy: source amount / 0.29; 100% burden to electricity, before STEM efficiency adjustment.</t>
        </is>
      </c>
    </row>
    <row r="3110">
      <c r="A3110" t="inlineStr">
        <is>
          <t>Silicon</t>
        </is>
      </c>
      <c r="B3110">
        <v>7.17378345792139e-05</v>
      </c>
      <c r="D3110" t="inlineStr">
        <is>
          <t>kilogram</t>
        </is>
      </c>
      <c r="E3110" t="inlineStr">
        <is>
          <t>water::surface water</t>
        </is>
      </c>
      <c r="F3110" t="inlineStr">
        <is>
          <t>biosphere</t>
        </is>
      </c>
      <c r="G3110" t="inlineStr">
        <is>
          <t>Electricity-only proxy: source amount / 0.29; 100% burden to electricity, before STEM efficiency adjustment.</t>
        </is>
      </c>
    </row>
    <row r="3111">
      <c r="A3111" t="inlineStr">
        <is>
          <t>Sodium I</t>
        </is>
      </c>
      <c r="B3111">
        <v>0.007433344586448036</v>
      </c>
      <c r="D3111" t="inlineStr">
        <is>
          <t>kilogram</t>
        </is>
      </c>
      <c r="E3111" t="inlineStr">
        <is>
          <t>water::ground-, long-term</t>
        </is>
      </c>
      <c r="F3111" t="inlineStr">
        <is>
          <t>biosphere</t>
        </is>
      </c>
      <c r="G3111" t="inlineStr">
        <is>
          <t>Electricity-only proxy: source amount / 0.29; 100% burden to electricity, before STEM efficiency adjustment.</t>
        </is>
      </c>
    </row>
    <row r="3112">
      <c r="A3112" t="inlineStr">
        <is>
          <t>Sodium I</t>
        </is>
      </c>
      <c r="B3112">
        <v>0.0037377670605256816</v>
      </c>
      <c r="D3112" t="inlineStr">
        <is>
          <t>kilogram</t>
        </is>
      </c>
      <c r="E3112" t="inlineStr">
        <is>
          <t>water::surface water</t>
        </is>
      </c>
      <c r="F3112" t="inlineStr">
        <is>
          <t>biosphere</t>
        </is>
      </c>
      <c r="G3112" t="inlineStr">
        <is>
          <t>Electricity-only proxy: source amount / 0.29; 100% burden to electricity, before STEM efficiency adjustment.</t>
        </is>
      </c>
    </row>
    <row r="3113">
      <c r="A3113" t="inlineStr">
        <is>
          <t>Sulfate</t>
        </is>
      </c>
      <c r="B3113">
        <v>0.027141933928140828</v>
      </c>
      <c r="D3113" t="inlineStr">
        <is>
          <t>kilogram</t>
        </is>
      </c>
      <c r="E3113" t="inlineStr">
        <is>
          <t>water::ground-, long-term</t>
        </is>
      </c>
      <c r="F3113" t="inlineStr">
        <is>
          <t>biosphere</t>
        </is>
      </c>
      <c r="G3113" t="inlineStr">
        <is>
          <t>Electricity-only proxy: source amount / 0.29; 100% burden to electricity, before STEM efficiency adjustment.</t>
        </is>
      </c>
    </row>
    <row r="3114">
      <c r="A3114" t="inlineStr">
        <is>
          <t>Sulfate</t>
        </is>
      </c>
      <c r="B3114">
        <v>0.004638938992042441</v>
      </c>
      <c r="D3114" t="inlineStr">
        <is>
          <t>kilogram</t>
        </is>
      </c>
      <c r="E3114" t="inlineStr">
        <is>
          <t>water::surface water</t>
        </is>
      </c>
      <c r="F3114" t="inlineStr">
        <is>
          <t>biosphere</t>
        </is>
      </c>
      <c r="G3114" t="inlineStr">
        <is>
          <t>Electricity-only proxy: source amount / 0.29; 100% burden to electricity, before STEM efficiency adjustment.</t>
        </is>
      </c>
    </row>
    <row r="3115">
      <c r="A3115" t="inlineStr">
        <is>
          <t>TOC, Total Organic Carbon</t>
        </is>
      </c>
      <c r="B3115">
        <v>0.003605729442970822</v>
      </c>
      <c r="D3115" t="inlineStr">
        <is>
          <t>kilogram</t>
        </is>
      </c>
      <c r="E3115" t="inlineStr">
        <is>
          <t>water::ground-, long-term</t>
        </is>
      </c>
      <c r="F3115" t="inlineStr">
        <is>
          <t>biosphere</t>
        </is>
      </c>
      <c r="G3115" t="inlineStr">
        <is>
          <t>Electricity-only proxy: source amount / 0.29; 100% burden to electricity, before STEM efficiency adjustment.</t>
        </is>
      </c>
    </row>
    <row r="3116">
      <c r="A3116" t="inlineStr">
        <is>
          <t>TOC, Total Organic Carbon</t>
        </is>
      </c>
      <c r="B3116">
        <v>0.0004077366771159875</v>
      </c>
      <c r="D3116" t="inlineStr">
        <is>
          <t>kilogram</t>
        </is>
      </c>
      <c r="E3116" t="inlineStr">
        <is>
          <t>water::surface water</t>
        </is>
      </c>
      <c r="F3116" t="inlineStr">
        <is>
          <t>biosphere</t>
        </is>
      </c>
      <c r="G3116" t="inlineStr">
        <is>
          <t>Electricity-only proxy: source amount / 0.29; 100% burden to electricity, before STEM efficiency adjustment.</t>
        </is>
      </c>
    </row>
    <row r="3117">
      <c r="A3117" t="inlineStr">
        <is>
          <t>Thallium I</t>
        </is>
      </c>
      <c r="B3117">
        <v>8.568208343380757e-09</v>
      </c>
      <c r="D3117" t="inlineStr">
        <is>
          <t>kilogram</t>
        </is>
      </c>
      <c r="E3117" t="inlineStr">
        <is>
          <t>water::ground-, long-term</t>
        </is>
      </c>
      <c r="F3117" t="inlineStr">
        <is>
          <t>biosphere</t>
        </is>
      </c>
      <c r="G3117" t="inlineStr">
        <is>
          <t>Electricity-only proxy: source amount / 0.29; 100% burden to electricity, before STEM efficiency adjustment.</t>
        </is>
      </c>
    </row>
    <row r="3118">
      <c r="A3118" t="inlineStr">
        <is>
          <t>Thallium I</t>
        </is>
      </c>
      <c r="B3118">
        <v>1.430450928381963e-11</v>
      </c>
      <c r="D3118" t="inlineStr">
        <is>
          <t>kilogram</t>
        </is>
      </c>
      <c r="E3118" t="inlineStr">
        <is>
          <t>water::surface water</t>
        </is>
      </c>
      <c r="F3118" t="inlineStr">
        <is>
          <t>biosphere</t>
        </is>
      </c>
      <c r="G3118" t="inlineStr">
        <is>
          <t>Electricity-only proxy: source amount / 0.29; 100% burden to electricity, before STEM efficiency adjustment.</t>
        </is>
      </c>
    </row>
    <row r="3119">
      <c r="A3119" t="inlineStr">
        <is>
          <t>Tin ion</t>
        </is>
      </c>
      <c r="B3119">
        <v>4.018422956353991e-05</v>
      </c>
      <c r="D3119" t="inlineStr">
        <is>
          <t>kilogram</t>
        </is>
      </c>
      <c r="E3119" t="inlineStr">
        <is>
          <t>water::ground-, long-term</t>
        </is>
      </c>
      <c r="F3119" t="inlineStr">
        <is>
          <t>biosphere</t>
        </is>
      </c>
      <c r="G3119" t="inlineStr">
        <is>
          <t>Electricity-only proxy: source amount / 0.29; 100% burden to electricity, before STEM efficiency adjustment.</t>
        </is>
      </c>
    </row>
    <row r="3120">
      <c r="A3120" t="inlineStr">
        <is>
          <t>Tin ion</t>
        </is>
      </c>
      <c r="B3120">
        <v>5.473267422232939e-08</v>
      </c>
      <c r="D3120" t="inlineStr">
        <is>
          <t>kilogram</t>
        </is>
      </c>
      <c r="E3120" t="inlineStr">
        <is>
          <t>water::surface water</t>
        </is>
      </c>
      <c r="F3120" t="inlineStr">
        <is>
          <t>biosphere</t>
        </is>
      </c>
      <c r="G3120" t="inlineStr">
        <is>
          <t>Electricity-only proxy: source amount / 0.29; 100% burden to electricity, before STEM efficiency adjustment.</t>
        </is>
      </c>
    </row>
    <row r="3121">
      <c r="A3121" t="inlineStr">
        <is>
          <t>Vanadium V</t>
        </is>
      </c>
      <c r="B3121">
        <v>8.868483240897036e-06</v>
      </c>
      <c r="D3121" t="inlineStr">
        <is>
          <t>kilogram</t>
        </is>
      </c>
      <c r="E3121" t="inlineStr">
        <is>
          <t>water::ground-, long-term</t>
        </is>
      </c>
      <c r="F3121" t="inlineStr">
        <is>
          <t>biosphere</t>
        </is>
      </c>
      <c r="G3121" t="inlineStr">
        <is>
          <t>Electricity-only proxy: source amount / 0.29; 100% burden to electricity, before STEM efficiency adjustment.</t>
        </is>
      </c>
    </row>
    <row r="3122">
      <c r="A3122" t="inlineStr">
        <is>
          <t>Vanadium V</t>
        </is>
      </c>
      <c r="B3122">
        <v>3.3347962382445146e-08</v>
      </c>
      <c r="D3122" t="inlineStr">
        <is>
          <t>kilogram</t>
        </is>
      </c>
      <c r="E3122" t="inlineStr">
        <is>
          <t>water::surface water</t>
        </is>
      </c>
      <c r="F3122" t="inlineStr">
        <is>
          <t>biosphere</t>
        </is>
      </c>
      <c r="G3122" t="inlineStr">
        <is>
          <t>Electricity-only proxy: source amount / 0.29; 100% burden to electricity, before STEM efficiency adjustment.</t>
        </is>
      </c>
    </row>
    <row r="3123">
      <c r="A3123" t="inlineStr">
        <is>
          <t>Water</t>
        </is>
      </c>
      <c r="B3123">
        <v>0.0025199652761032075</v>
      </c>
      <c r="D3123" t="inlineStr">
        <is>
          <t>cubic meter</t>
        </is>
      </c>
      <c r="E3123" t="inlineStr">
        <is>
          <t>water::surface water</t>
        </is>
      </c>
      <c r="F3123" t="inlineStr">
        <is>
          <t>biosphere</t>
        </is>
      </c>
      <c r="G3123" t="inlineStr">
        <is>
          <t>Electricity-only proxy: source amount / 0.29; 100% burden to electricity, before STEM efficiency adjustment.</t>
        </is>
      </c>
    </row>
    <row r="3124">
      <c r="A3124" t="inlineStr">
        <is>
          <t>Zinc II</t>
        </is>
      </c>
      <c r="B3124">
        <v>0.00019803038340969378</v>
      </c>
      <c r="D3124" t="inlineStr">
        <is>
          <t>kilogram</t>
        </is>
      </c>
      <c r="E3124" t="inlineStr">
        <is>
          <t>water::ground-, long-term</t>
        </is>
      </c>
      <c r="F3124" t="inlineStr">
        <is>
          <t>biosphere</t>
        </is>
      </c>
      <c r="G3124" t="inlineStr">
        <is>
          <t>Electricity-only proxy: source amount / 0.29; 100% burden to electricity, before STEM efficiency adjustment.</t>
        </is>
      </c>
    </row>
    <row r="3125">
      <c r="A3125" t="inlineStr">
        <is>
          <t>Zinc II</t>
        </is>
      </c>
      <c r="B3125">
        <v>2.6979599710634195e-08</v>
      </c>
      <c r="D3125" t="inlineStr">
        <is>
          <t>kilogram</t>
        </is>
      </c>
      <c r="E3125" t="inlineStr">
        <is>
          <t>water::surface water</t>
        </is>
      </c>
      <c r="F3125" t="inlineStr">
        <is>
          <t>biosphere</t>
        </is>
      </c>
      <c r="G3125" t="inlineStr">
        <is>
          <t>Electricity-only proxy: source amount / 0.29; 100% burden to electricity, before STEM efficiency adjustment.</t>
        </is>
      </c>
    </row>
    <row r="3126">
      <c r="A3126" t="inlineStr">
        <is>
          <t>Oxygen</t>
        </is>
      </c>
      <c r="B3126">
        <v>4.171902580178443</v>
      </c>
      <c r="D3126" t="inlineStr">
        <is>
          <t>kilogram</t>
        </is>
      </c>
      <c r="E3126" t="inlineStr">
        <is>
          <t>natural resource::in air</t>
        </is>
      </c>
      <c r="F3126" t="inlineStr">
        <is>
          <t>biosphere</t>
        </is>
      </c>
      <c r="G3126" t="inlineStr">
        <is>
          <t>Electricity-only proxy: source amount / 0.29; 100% burden to electricity, before STEM efficiency adjustment.</t>
        </is>
      </c>
    </row>
    <row r="3127">
      <c r="A3127" t="inlineStr">
        <is>
          <t>Energy, gross calorific value, in biomass</t>
        </is>
      </c>
      <c r="B3127">
        <v>14.500000000000002</v>
      </c>
      <c r="D3127" t="inlineStr">
        <is>
          <t>megajoule</t>
        </is>
      </c>
      <c r="E3127" t="inlineStr">
        <is>
          <t>natural resource::biotic</t>
        </is>
      </c>
      <c r="F3127" t="inlineStr">
        <is>
          <t>biosphere</t>
        </is>
      </c>
      <c r="G3127" t="inlineStr">
        <is>
          <t>Electricity-only proxy: source amount / 0.29; 100% burden to electricity, before STEM efficiency adjustment.</t>
        </is>
      </c>
    </row>
    <row r="3128"/>
    <row r="3129"/>
    <row r="3130">
      <c r="A3130" t="inlineStr">
        <is>
          <t>Activity</t>
        </is>
      </c>
      <c r="B3130" t="inlineStr">
        <is>
          <t>electricity production, from incineration of biowaste, electricity only, post, pipeline 200km, storage 1000m</t>
        </is>
      </c>
    </row>
    <row r="3131">
      <c r="A3131" t="inlineStr">
        <is>
          <t>location</t>
        </is>
      </c>
      <c r="B3131" t="inlineStr">
        <is>
          <t>CH</t>
        </is>
      </c>
    </row>
    <row r="3132">
      <c r="A3132" t="inlineStr">
        <is>
          <t>production amount</t>
        </is>
      </c>
      <c r="B3132">
        <v>1</v>
      </c>
    </row>
    <row r="3133">
      <c r="A3133" t="inlineStr">
        <is>
          <t>comment</t>
        </is>
      </c>
      <c r="B3133" t="inlineStr">
        <is>
          <t>Electricity-only proxy derived from 'electricity production, at co-generation biowaste-fired power plant, post, pipeline 200km, storage 1000m'. All energy-production burdens assigned to electricity: divide non-production exchanges by the source electricity allocation factor 0.29. No useful heat coproduct. Retain the source's declared physical electrical efficiency before applying the matching absolute STEM efficiency. CCS capture and storage, residual emissions and biomass uptake retain their source ratios. Source documentation: Grossly adapted from Volkart et al. 2013 to ecoinvent CHP datasets. 90% CO2 capture efficiency. Added 10% energy penalty based on Volkart et al. 2013.</t>
        </is>
      </c>
    </row>
    <row r="3134">
      <c r="A3134" t="inlineStr">
        <is>
          <t>reference product</t>
        </is>
      </c>
      <c r="B3134" t="inlineStr">
        <is>
          <t>electricity, from incineration of biowaste, electricity only, with CCS</t>
        </is>
      </c>
    </row>
    <row r="3135">
      <c r="A3135" t="inlineStr">
        <is>
          <t>type</t>
        </is>
      </c>
      <c r="B3135" t="inlineStr">
        <is>
          <t>process</t>
        </is>
      </c>
    </row>
    <row r="3136">
      <c r="A3136" t="inlineStr">
        <is>
          <t>current efficiency</t>
        </is>
      </c>
      <c r="B3136">
        <v>0.08613</v>
      </c>
    </row>
    <row r="3137">
      <c r="A3137" t="inlineStr">
        <is>
          <t>unit</t>
        </is>
      </c>
      <c r="B3137" t="inlineStr">
        <is>
          <t>kilowatt hour</t>
        </is>
      </c>
    </row>
    <row r="3138">
      <c r="A3138" t="inlineStr">
        <is>
          <t>Exchanges</t>
        </is>
      </c>
    </row>
    <row r="3139">
      <c r="A3139" t="inlineStr">
        <is>
          <t>name</t>
        </is>
      </c>
      <c r="B3139" t="inlineStr">
        <is>
          <t>amount</t>
        </is>
      </c>
      <c r="C3139" t="inlineStr">
        <is>
          <t>location</t>
        </is>
      </c>
      <c r="D3139" t="inlineStr">
        <is>
          <t>unit</t>
        </is>
      </c>
      <c r="E3139" t="inlineStr">
        <is>
          <t>categories</t>
        </is>
      </c>
      <c r="F3139" t="inlineStr">
        <is>
          <t>type</t>
        </is>
      </c>
      <c r="G3139" t="inlineStr">
        <is>
          <t>comment</t>
        </is>
      </c>
      <c r="H3139" t="inlineStr">
        <is>
          <t>reference product</t>
        </is>
      </c>
    </row>
    <row r="3140">
      <c r="A3140" t="inlineStr">
        <is>
          <t>electricity production, from incineration of biowaste, electricity only, post, pipeline 200km, storage 1000m</t>
        </is>
      </c>
      <c r="B3140">
        <v>1</v>
      </c>
      <c r="C3140" t="inlineStr">
        <is>
          <t>CH</t>
        </is>
      </c>
      <c r="D3140" t="inlineStr">
        <is>
          <t>kilowatt hour</t>
        </is>
      </c>
      <c r="F3140" t="inlineStr">
        <is>
          <t>production</t>
        </is>
      </c>
      <c r="G3140" t="inlineStr">
        <is>
          <t/>
        </is>
      </c>
      <c r="H3140" t="inlineStr">
        <is>
          <t>electricity, from incineration of biowaste, electricity only, with CCS</t>
        </is>
      </c>
    </row>
    <row r="3141">
      <c r="A3141" t="inlineStr">
        <is>
          <t>carbon dioxide, captured at wood burning power plant 20 MW post, pipeline 200km, storage 1000m</t>
        </is>
      </c>
      <c r="B3141">
        <v>4.435792042440322</v>
      </c>
      <c r="C3141" t="inlineStr">
        <is>
          <t>RER</t>
        </is>
      </c>
      <c r="D3141" t="inlineStr">
        <is>
          <t>kilogram</t>
        </is>
      </c>
      <c r="F3141" t="inlineStr">
        <is>
          <t>technosphere</t>
        </is>
      </c>
      <c r="G3141" t="inlineStr">
        <is>
          <t>Electricity-only proxy: source amount / 0.29; 100% burden to electricity, before STEM efficiency adjustment.</t>
        </is>
      </c>
      <c r="H3141" t="inlineStr">
        <is>
          <t>carbon dioxide, captured at wood burning power plant 20 MW post, pipeline 200km, storage 1000m</t>
        </is>
      </c>
    </row>
    <row r="3142">
      <c r="A3142" t="inlineStr">
        <is>
          <t>Carbon dioxide, in air</t>
        </is>
      </c>
      <c r="B3142">
        <v>4.9286578249336905</v>
      </c>
      <c r="D3142" t="inlineStr">
        <is>
          <t>kilogram</t>
        </is>
      </c>
      <c r="E3142" t="inlineStr">
        <is>
          <t>natural resource::in air</t>
        </is>
      </c>
      <c r="F3142" t="inlineStr">
        <is>
          <t>biosphere</t>
        </is>
      </c>
      <c r="G3142" t="inlineStr">
        <is>
          <t>Electricity-only proxy: source amount / 0.29; 100% burden to electricity, before STEM efficiency adjustment.</t>
        </is>
      </c>
    </row>
    <row r="3143">
      <c r="A3143" t="inlineStr">
        <is>
          <t>market for ammonia, anhydrous, liquid</t>
        </is>
      </c>
      <c r="B3143">
        <v>0.005122981432360743</v>
      </c>
      <c r="C3143" t="inlineStr">
        <is>
          <t>RER</t>
        </is>
      </c>
      <c r="D3143" t="inlineStr">
        <is>
          <t>kilogram</t>
        </is>
      </c>
      <c r="F3143" t="inlineStr">
        <is>
          <t>technosphere</t>
        </is>
      </c>
      <c r="G3143" t="inlineStr">
        <is>
          <t>Electricity-only proxy: source amount / 0.29; 100% burden to electricity, before STEM efficiency adjustment.</t>
        </is>
      </c>
      <c r="H3143" t="inlineStr">
        <is>
          <t>ammonia, anhydrous, liquid</t>
        </is>
      </c>
    </row>
    <row r="3144">
      <c r="A3144" t="inlineStr">
        <is>
          <t>market for cationic resin</t>
        </is>
      </c>
      <c r="B3144">
        <v>2.9548647214854114e-06</v>
      </c>
      <c r="C3144" t="inlineStr">
        <is>
          <t>RER</t>
        </is>
      </c>
      <c r="D3144" t="inlineStr">
        <is>
          <t>kilogram</t>
        </is>
      </c>
      <c r="F3144" t="inlineStr">
        <is>
          <t>technosphere</t>
        </is>
      </c>
      <c r="G3144" t="inlineStr">
        <is>
          <t>Electricity-only proxy: source amount / 0.29; 100% burden to electricity, before STEM efficiency adjustment.</t>
        </is>
      </c>
      <c r="H3144" t="inlineStr">
        <is>
          <t>cationic resin</t>
        </is>
      </c>
    </row>
    <row r="3145">
      <c r="A3145" t="inlineStr">
        <is>
          <t>market for cement, unspecified</t>
        </is>
      </c>
      <c r="B3145">
        <v>0.050437241379310355</v>
      </c>
      <c r="C3145" t="inlineStr">
        <is>
          <t>CH</t>
        </is>
      </c>
      <c r="D3145" t="inlineStr">
        <is>
          <t>kilogram</t>
        </is>
      </c>
      <c r="F3145" t="inlineStr">
        <is>
          <t>technosphere</t>
        </is>
      </c>
      <c r="G3145" t="inlineStr">
        <is>
          <t>Electricity-only proxy: source amount / 0.29; 100% burden to electricity, before STEM efficiency adjustment.</t>
        </is>
      </c>
      <c r="H3145" t="inlineStr">
        <is>
          <t>cement, unspecified</t>
        </is>
      </c>
    </row>
    <row r="3146">
      <c r="A3146" t="inlineStr">
        <is>
          <t>market for chemical, inorganic</t>
        </is>
      </c>
      <c r="B3146">
        <v>0.0006921071618037136</v>
      </c>
      <c r="C3146" t="inlineStr">
        <is>
          <t>GLO</t>
        </is>
      </c>
      <c r="D3146" t="inlineStr">
        <is>
          <t>kilogram</t>
        </is>
      </c>
      <c r="F3146" t="inlineStr">
        <is>
          <t>technosphere</t>
        </is>
      </c>
      <c r="G3146" t="inlineStr">
        <is>
          <t>Electricity-only proxy: source amount / 0.29; 100% burden to electricity, before STEM efficiency adjustment.</t>
        </is>
      </c>
      <c r="H3146" t="inlineStr">
        <is>
          <t>chemical, inorganic</t>
        </is>
      </c>
    </row>
    <row r="3147">
      <c r="A3147" t="inlineStr">
        <is>
          <t>market for chemical, organic</t>
        </is>
      </c>
      <c r="B3147">
        <v>5.353305039787799e-06</v>
      </c>
      <c r="C3147" t="inlineStr">
        <is>
          <t>GLO</t>
        </is>
      </c>
      <c r="D3147" t="inlineStr">
        <is>
          <t>kilogram</t>
        </is>
      </c>
      <c r="F3147" t="inlineStr">
        <is>
          <t>technosphere</t>
        </is>
      </c>
      <c r="G3147" t="inlineStr">
        <is>
          <t>Electricity-only proxy: source amount / 0.29; 100% burden to electricity, before STEM efficiency adjustment.</t>
        </is>
      </c>
      <c r="H3147" t="inlineStr">
        <is>
          <t>chemical, organic</t>
        </is>
      </c>
    </row>
    <row r="3148">
      <c r="A3148" t="inlineStr">
        <is>
          <t>market for chromium trioxide, flakes</t>
        </is>
      </c>
      <c r="B3148">
        <v>6.550376657824934e-06</v>
      </c>
      <c r="C3148" t="inlineStr">
        <is>
          <t>GLO</t>
        </is>
      </c>
      <c r="D3148" t="inlineStr">
        <is>
          <t>kilogram</t>
        </is>
      </c>
      <c r="F3148" t="inlineStr">
        <is>
          <t>technosphere</t>
        </is>
      </c>
      <c r="G3148" t="inlineStr">
        <is>
          <t>Electricity-only proxy: source amount / 0.29; 100% burden to electricity, before STEM efficiency adjustment.</t>
        </is>
      </c>
      <c r="H3148" t="inlineStr">
        <is>
          <t>chromium trioxide, flakes</t>
        </is>
      </c>
    </row>
    <row r="3149">
      <c r="A3149" t="inlineStr">
        <is>
          <t>market for heat, district or industrial, natural gas</t>
        </is>
      </c>
      <c r="B3149">
        <v>0.9579628647214856</v>
      </c>
      <c r="C3149" t="inlineStr">
        <is>
          <t>CH</t>
        </is>
      </c>
      <c r="D3149" t="inlineStr">
        <is>
          <t>megajoule</t>
        </is>
      </c>
      <c r="F3149" t="inlineStr">
        <is>
          <t>technosphere</t>
        </is>
      </c>
      <c r="G3149" t="inlineStr">
        <is>
          <t>Electricity-only proxy: source amount / 0.29; 100% burden to electricity, before STEM efficiency adjustment.</t>
        </is>
      </c>
      <c r="H3149" t="inlineStr">
        <is>
          <t>heat, district or industrial, natural gas</t>
        </is>
      </c>
    </row>
    <row r="3150">
      <c r="A3150" t="inlineStr">
        <is>
          <t>market for hydrochloric acid, without water, in 30% solution state</t>
        </is>
      </c>
      <c r="B3150">
        <v>0.0036766790450928387</v>
      </c>
      <c r="C3150" t="inlineStr">
        <is>
          <t>RER</t>
        </is>
      </c>
      <c r="D3150" t="inlineStr">
        <is>
          <t>kilogram</t>
        </is>
      </c>
      <c r="F3150" t="inlineStr">
        <is>
          <t>technosphere</t>
        </is>
      </c>
      <c r="G3150" t="inlineStr">
        <is>
          <t>Electricity-only proxy: source amount / 0.29; 100% burden to electricity, before STEM efficiency adjustment.</t>
        </is>
      </c>
      <c r="H3150" t="inlineStr">
        <is>
          <t>hydrochloric acid, without water, in 30% solution state</t>
        </is>
      </c>
    </row>
    <row r="3151">
      <c r="A3151" t="inlineStr">
        <is>
          <t>market for hydrogen peroxide, without water, in 50% solution state</t>
        </is>
      </c>
      <c r="B3151">
        <v>0.008894769230769232</v>
      </c>
      <c r="C3151" t="inlineStr">
        <is>
          <t>RER</t>
        </is>
      </c>
      <c r="D3151" t="inlineStr">
        <is>
          <t>kilogram</t>
        </is>
      </c>
      <c r="F3151" t="inlineStr">
        <is>
          <t>technosphere</t>
        </is>
      </c>
      <c r="G3151" t="inlineStr">
        <is>
          <t>Electricity-only proxy: source amount / 0.29; 100% burden to electricity, before STEM efficiency adjustment.</t>
        </is>
      </c>
      <c r="H3151" t="inlineStr">
        <is>
          <t>hydrogen peroxide, without water, in 50% solution state</t>
        </is>
      </c>
    </row>
    <row r="3152">
      <c r="A3152" t="inlineStr">
        <is>
          <t>market for iron(III) chloride, without water, in 40% solution state</t>
        </is>
      </c>
      <c r="B3152">
        <v>1.0386525198938994e-05</v>
      </c>
      <c r="C3152" t="inlineStr">
        <is>
          <t>GLO</t>
        </is>
      </c>
      <c r="D3152" t="inlineStr">
        <is>
          <t>kilogram</t>
        </is>
      </c>
      <c r="F3152" t="inlineStr">
        <is>
          <t>technosphere</t>
        </is>
      </c>
      <c r="G3152" t="inlineStr">
        <is>
          <t>Electricity-only proxy: source amount / 0.29; 100% burden to electricity, before STEM efficiency adjustment.</t>
        </is>
      </c>
      <c r="H3152" t="inlineStr">
        <is>
          <t>iron(III) chloride, without water, in 40% solution state</t>
        </is>
      </c>
    </row>
    <row r="3153">
      <c r="A3153" t="inlineStr">
        <is>
          <t>metalliferous hydroxide sludge, Recycled Content cut-off</t>
        </is>
      </c>
      <c r="B3153">
        <v>-0.027672254641909817</v>
      </c>
      <c r="C3153" t="inlineStr">
        <is>
          <t>GLO</t>
        </is>
      </c>
      <c r="D3153" t="inlineStr">
        <is>
          <t>kilogram</t>
        </is>
      </c>
      <c r="F3153" t="inlineStr">
        <is>
          <t>technosphere</t>
        </is>
      </c>
      <c r="G3153" t="inlineStr">
        <is>
          <t>Electricity-only proxy: source amount / 0.29; 100% burden to electricity, before STEM efficiency adjustment.</t>
        </is>
      </c>
      <c r="H3153" t="inlineStr">
        <is>
          <t>metalliferous hydroxide sludge</t>
        </is>
      </c>
    </row>
    <row r="3154">
      <c r="A3154" t="inlineStr">
        <is>
          <t>municipal waste incineration facility construction</t>
        </is>
      </c>
      <c r="B3154">
        <v>2.387267904509284e-09</v>
      </c>
      <c r="C3154" t="inlineStr">
        <is>
          <t>CH</t>
        </is>
      </c>
      <c r="D3154" t="inlineStr">
        <is>
          <t>unit</t>
        </is>
      </c>
      <c r="F3154" t="inlineStr">
        <is>
          <t>technosphere</t>
        </is>
      </c>
      <c r="G3154" t="inlineStr">
        <is>
          <t>Electricity-only proxy: source amount / 0.29; 100% burden to electricity, before STEM efficiency adjustment.</t>
        </is>
      </c>
      <c r="H3154" t="inlineStr">
        <is>
          <t>municipal waste incineration facility</t>
        </is>
      </c>
    </row>
    <row r="3155">
      <c r="A3155" t="inlineStr">
        <is>
          <t>process-specific burdens, residual material landfill</t>
        </is>
      </c>
      <c r="B3155">
        <v>0.2513984084880637</v>
      </c>
      <c r="C3155" t="inlineStr">
        <is>
          <t>CH</t>
        </is>
      </c>
      <c r="D3155" t="inlineStr">
        <is>
          <t>kilogram</t>
        </is>
      </c>
      <c r="F3155" t="inlineStr">
        <is>
          <t>technosphere</t>
        </is>
      </c>
      <c r="G3155" t="inlineStr">
        <is>
          <t>Electricity-only proxy: source amount / 0.29; 100% burden to electricity, before STEM efficiency adjustment.</t>
        </is>
      </c>
      <c r="H3155" t="inlineStr">
        <is>
          <t>process-specific burdens, residual material landfill</t>
        </is>
      </c>
    </row>
    <row r="3156">
      <c r="A3156" t="inlineStr">
        <is>
          <t>process-specific burdens, slag landfill</t>
        </is>
      </c>
      <c r="B3156">
        <v>1.3623660477453583</v>
      </c>
      <c r="C3156" t="inlineStr">
        <is>
          <t>CH</t>
        </is>
      </c>
      <c r="D3156" t="inlineStr">
        <is>
          <t>kilogram</t>
        </is>
      </c>
      <c r="F3156" t="inlineStr">
        <is>
          <t>technosphere</t>
        </is>
      </c>
      <c r="G3156" t="inlineStr">
        <is>
          <t>Electricity-only proxy: source amount / 0.29; 100% burden to electricity, before STEM efficiency adjustment.</t>
        </is>
      </c>
      <c r="H3156" t="inlineStr">
        <is>
          <t>process-specific burdens, slag landfill</t>
        </is>
      </c>
    </row>
    <row r="3157">
      <c r="A3157" t="inlineStr">
        <is>
          <t>market for quicklime, milled, packed</t>
        </is>
      </c>
      <c r="B3157">
        <v>0.013177718832891249</v>
      </c>
      <c r="C3157" t="inlineStr">
        <is>
          <t>RER</t>
        </is>
      </c>
      <c r="D3157" t="inlineStr">
        <is>
          <t>kilogram</t>
        </is>
      </c>
      <c r="F3157" t="inlineStr">
        <is>
          <t>technosphere</t>
        </is>
      </c>
      <c r="G3157" t="inlineStr">
        <is>
          <t>Electricity-only proxy: source amount / 0.29; 100% burden to electricity, before STEM efficiency adjustment.</t>
        </is>
      </c>
      <c r="H3157" t="inlineStr">
        <is>
          <t>quicklime, milled, packed</t>
        </is>
      </c>
    </row>
    <row r="3158">
      <c r="A3158" t="inlineStr">
        <is>
          <t>residual material landfill construction</t>
        </is>
      </c>
      <c r="B3158">
        <v>5.237474801061009e-10</v>
      </c>
      <c r="C3158" t="inlineStr">
        <is>
          <t>CH</t>
        </is>
      </c>
      <c r="D3158" t="inlineStr">
        <is>
          <t>unit</t>
        </is>
      </c>
      <c r="F3158" t="inlineStr">
        <is>
          <t>technosphere</t>
        </is>
      </c>
      <c r="G3158" t="inlineStr">
        <is>
          <t>Electricity-only proxy: source amount / 0.29; 100% burden to electricity, before STEM efficiency adjustment.</t>
        </is>
      </c>
      <c r="H3158" t="inlineStr">
        <is>
          <t>residual material landfill</t>
        </is>
      </c>
    </row>
    <row r="3159">
      <c r="A3159" t="inlineStr">
        <is>
          <t>slag landfill construction</t>
        </is>
      </c>
      <c r="B3159">
        <v>2.421931034482759e-09</v>
      </c>
      <c r="C3159" t="inlineStr">
        <is>
          <t>CH</t>
        </is>
      </c>
      <c r="D3159" t="inlineStr">
        <is>
          <t>unit</t>
        </is>
      </c>
      <c r="F3159" t="inlineStr">
        <is>
          <t>technosphere</t>
        </is>
      </c>
      <c r="G3159" t="inlineStr">
        <is>
          <t>Electricity-only proxy: source amount / 0.29; 100% burden to electricity, before STEM efficiency adjustment.</t>
        </is>
      </c>
      <c r="H3159" t="inlineStr">
        <is>
          <t>slag landfill</t>
        </is>
      </c>
    </row>
    <row r="3160">
      <c r="A3160" t="inlineStr">
        <is>
          <t>market for sodium hydroxide, without water, in 50% solution state</t>
        </is>
      </c>
      <c r="B3160">
        <v>0.010321591511936342</v>
      </c>
      <c r="C3160" t="inlineStr">
        <is>
          <t>RoW</t>
        </is>
      </c>
      <c r="D3160" t="inlineStr">
        <is>
          <t>kilogram</t>
        </is>
      </c>
      <c r="F3160" t="inlineStr">
        <is>
          <t>technosphere</t>
        </is>
      </c>
      <c r="G3160" t="inlineStr">
        <is>
          <t>Electricity-only proxy: source amount / 0.29; 100% burden to electricity, before STEM efficiency adjustment.</t>
        </is>
      </c>
      <c r="H3160" t="inlineStr">
        <is>
          <t>sodium hydroxide, without water, in 50% solution state</t>
        </is>
      </c>
    </row>
    <row r="3161">
      <c r="A3161" t="inlineStr">
        <is>
          <t>market for spent activated carbon with mercury</t>
        </is>
      </c>
      <c r="B3161">
        <v>-3.110323607427056e-06</v>
      </c>
      <c r="C3161" t="inlineStr">
        <is>
          <t>GLO</t>
        </is>
      </c>
      <c r="D3161" t="inlineStr">
        <is>
          <t>kilogram</t>
        </is>
      </c>
      <c r="F3161" t="inlineStr">
        <is>
          <t>technosphere</t>
        </is>
      </c>
      <c r="G3161" t="inlineStr">
        <is>
          <t>Electricity-only proxy: source amount / 0.29; 100% burden to electricity, before STEM efficiency adjustment.</t>
        </is>
      </c>
      <c r="H3161" t="inlineStr">
        <is>
          <t>spent activated carbon with mercury</t>
        </is>
      </c>
    </row>
    <row r="3162">
      <c r="A3162" t="inlineStr">
        <is>
          <t>market for titanium dioxide</t>
        </is>
      </c>
      <c r="B3162">
        <v>0.00032097294429708225</v>
      </c>
      <c r="C3162" t="inlineStr">
        <is>
          <t>RER</t>
        </is>
      </c>
      <c r="D3162" t="inlineStr">
        <is>
          <t>kilogram</t>
        </is>
      </c>
      <c r="F3162" t="inlineStr">
        <is>
          <t>technosphere</t>
        </is>
      </c>
      <c r="G3162" t="inlineStr">
        <is>
          <t>Electricity-only proxy: source amount / 0.29; 100% burden to electricity, before STEM efficiency adjustment.</t>
        </is>
      </c>
      <c r="H3162" t="inlineStr">
        <is>
          <t>titanium dioxide</t>
        </is>
      </c>
    </row>
    <row r="3163">
      <c r="A3163" t="inlineStr">
        <is>
          <t>market for transport, freight, lorry, unspecified</t>
        </is>
      </c>
      <c r="B3163">
        <v>0.06234779840848807</v>
      </c>
      <c r="C3163" t="inlineStr">
        <is>
          <t>RER</t>
        </is>
      </c>
      <c r="D3163" t="inlineStr">
        <is>
          <t>ton kilometer</t>
        </is>
      </c>
      <c r="F3163" t="inlineStr">
        <is>
          <t>technosphere</t>
        </is>
      </c>
      <c r="G3163" t="inlineStr">
        <is>
          <t>Electricity-only proxy: source amount / 0.29; 100% burden to electricity, before STEM efficiency adjustment.</t>
        </is>
      </c>
      <c r="H3163" t="inlineStr">
        <is>
          <t>transport, freight, lorry, unspecified</t>
        </is>
      </c>
    </row>
    <row r="3164">
      <c r="A3164" t="inlineStr">
        <is>
          <t>market for waste cement, hydrated</t>
        </is>
      </c>
      <c r="B3164">
        <v>-0.12609549071618037</v>
      </c>
      <c r="C3164" t="inlineStr">
        <is>
          <t>CH</t>
        </is>
      </c>
      <c r="D3164" t="inlineStr">
        <is>
          <t>kilogram</t>
        </is>
      </c>
      <c r="F3164" t="inlineStr">
        <is>
          <t>technosphere</t>
        </is>
      </c>
      <c r="G3164" t="inlineStr">
        <is>
          <t>Electricity-only proxy: source amount / 0.29; 100% burden to electricity, before STEM efficiency adjustment.</t>
        </is>
      </c>
      <c r="H3164" t="inlineStr">
        <is>
          <t>waste cement, hydrated</t>
        </is>
      </c>
    </row>
    <row r="3165">
      <c r="A3165" t="inlineStr">
        <is>
          <t>market for water, decarbonised</t>
        </is>
      </c>
      <c r="B3165">
        <v>8.204848806366048</v>
      </c>
      <c r="C3165" t="inlineStr">
        <is>
          <t>CH</t>
        </is>
      </c>
      <c r="D3165" t="inlineStr">
        <is>
          <t>kilogram</t>
        </is>
      </c>
      <c r="F3165" t="inlineStr">
        <is>
          <t>technosphere</t>
        </is>
      </c>
      <c r="G3165" t="inlineStr">
        <is>
          <t>Electricity-only proxy: source amount / 0.29; 100% burden to electricity, before STEM efficiency adjustment.</t>
        </is>
      </c>
      <c r="H3165" t="inlineStr">
        <is>
          <t>water, decarbonised</t>
        </is>
      </c>
    </row>
    <row r="3166">
      <c r="A3166" t="inlineStr">
        <is>
          <t>Aluminium III</t>
        </is>
      </c>
      <c r="B3166">
        <v>6.787384615384616e-08</v>
      </c>
      <c r="D3166" t="inlineStr">
        <is>
          <t>kilogram</t>
        </is>
      </c>
      <c r="E3166" t="inlineStr">
        <is>
          <t>air::urban air close to ground</t>
        </is>
      </c>
      <c r="F3166" t="inlineStr">
        <is>
          <t>biosphere</t>
        </is>
      </c>
      <c r="G3166" t="inlineStr">
        <is>
          <t>Electricity-only proxy: source amount / 0.29; 100% burden to electricity, before STEM efficiency adjustment.</t>
        </is>
      </c>
    </row>
    <row r="3167">
      <c r="A3167" t="inlineStr">
        <is>
          <t>Ammonia</t>
        </is>
      </c>
      <c r="B3167">
        <v>6.023363395225466e-06</v>
      </c>
      <c r="D3167" t="inlineStr">
        <is>
          <t>kilogram</t>
        </is>
      </c>
      <c r="E3167" t="inlineStr">
        <is>
          <t>air::urban air close to ground</t>
        </is>
      </c>
      <c r="F3167" t="inlineStr">
        <is>
          <t>biosphere</t>
        </is>
      </c>
      <c r="G3167" t="inlineStr">
        <is>
          <t>Electricity-only proxy: source amount / 0.29; 100% burden to electricity, before STEM efficiency adjustment.</t>
        </is>
      </c>
    </row>
    <row r="3168">
      <c r="A3168" t="inlineStr">
        <is>
          <t>Arsenic ion</t>
        </is>
      </c>
      <c r="B3168">
        <v>1.3048806366047745e-07</v>
      </c>
      <c r="D3168" t="inlineStr">
        <is>
          <t>kilogram</t>
        </is>
      </c>
      <c r="E3168" t="inlineStr">
        <is>
          <t>air::urban air close to ground</t>
        </is>
      </c>
      <c r="F3168" t="inlineStr">
        <is>
          <t>biosphere</t>
        </is>
      </c>
      <c r="G3168" t="inlineStr">
        <is>
          <t>Electricity-only proxy: source amount / 0.29; 100% burden to electricity, before STEM efficiency adjustment.</t>
        </is>
      </c>
    </row>
    <row r="3169">
      <c r="A3169" t="inlineStr">
        <is>
          <t>Benzene</t>
        </is>
      </c>
      <c r="B3169">
        <v>3.974132625994696e-07</v>
      </c>
      <c r="D3169" t="inlineStr">
        <is>
          <t>kilogram</t>
        </is>
      </c>
      <c r="E3169" t="inlineStr">
        <is>
          <t>air::urban air close to ground</t>
        </is>
      </c>
      <c r="F3169" t="inlineStr">
        <is>
          <t>biosphere</t>
        </is>
      </c>
      <c r="G3169" t="inlineStr">
        <is>
          <t>Electricity-only proxy: source amount / 0.29; 100% burden to electricity, before STEM efficiency adjustment.</t>
        </is>
      </c>
    </row>
    <row r="3170">
      <c r="A3170" t="inlineStr">
        <is>
          <t>Benzene, hexachloro-</t>
        </is>
      </c>
      <c r="B3170">
        <v>8.309697612732097e-10</v>
      </c>
      <c r="D3170" t="inlineStr">
        <is>
          <t>kilogram</t>
        </is>
      </c>
      <c r="E3170" t="inlineStr">
        <is>
          <t>air::urban air close to ground</t>
        </is>
      </c>
      <c r="F3170" t="inlineStr">
        <is>
          <t>biosphere</t>
        </is>
      </c>
      <c r="G3170" t="inlineStr">
        <is>
          <t>Electricity-only proxy: source amount / 0.29; 100% burden to electricity, before STEM efficiency adjustment.</t>
        </is>
      </c>
    </row>
    <row r="3171">
      <c r="A3171" t="inlineStr">
        <is>
          <t>Pentachlorobenzene</t>
        </is>
      </c>
      <c r="B3171">
        <v>2.099649867374006e-09</v>
      </c>
      <c r="D3171" t="inlineStr">
        <is>
          <t>kilogram</t>
        </is>
      </c>
      <c r="E3171" t="inlineStr">
        <is>
          <t>air::urban air close to ground</t>
        </is>
      </c>
      <c r="F3171" t="inlineStr">
        <is>
          <t>biosphere</t>
        </is>
      </c>
      <c r="G3171" t="inlineStr">
        <is>
          <t>Electricity-only proxy: source amount / 0.29; 100% burden to electricity, before STEM efficiency adjustment.</t>
        </is>
      </c>
    </row>
    <row r="3172">
      <c r="A3172" t="inlineStr">
        <is>
          <t>Benzo(a)pyrene</t>
        </is>
      </c>
      <c r="B3172">
        <v>8.843681697612734e-12</v>
      </c>
      <c r="D3172" t="inlineStr">
        <is>
          <t>kilogram</t>
        </is>
      </c>
      <c r="E3172" t="inlineStr">
        <is>
          <t>air::urban air close to ground</t>
        </is>
      </c>
      <c r="F3172" t="inlineStr">
        <is>
          <t>biosphere</t>
        </is>
      </c>
      <c r="G3172" t="inlineStr">
        <is>
          <t>Electricity-only proxy: source amount / 0.29; 100% burden to electricity, before STEM efficiency adjustment.</t>
        </is>
      </c>
    </row>
    <row r="3173">
      <c r="A3173" t="inlineStr">
        <is>
          <t>Bromine</t>
        </is>
      </c>
      <c r="B3173">
        <v>2.4961273209549078e-08</v>
      </c>
      <c r="D3173" t="inlineStr">
        <is>
          <t>kilogram</t>
        </is>
      </c>
      <c r="E3173" t="inlineStr">
        <is>
          <t>air::urban air close to ground</t>
        </is>
      </c>
      <c r="F3173" t="inlineStr">
        <is>
          <t>biosphere</t>
        </is>
      </c>
      <c r="G3173" t="inlineStr">
        <is>
          <t>Electricity-only proxy: source amount / 0.29; 100% burden to electricity, before STEM efficiency adjustment.</t>
        </is>
      </c>
    </row>
    <row r="3174">
      <c r="A3174" t="inlineStr">
        <is>
          <t>Cadmium II</t>
        </is>
      </c>
      <c r="B3174">
        <v>5.858546419098144e-10</v>
      </c>
      <c r="D3174" t="inlineStr">
        <is>
          <t>kilogram</t>
        </is>
      </c>
      <c r="E3174" t="inlineStr">
        <is>
          <t>air::urban air close to ground</t>
        </is>
      </c>
      <c r="F3174" t="inlineStr">
        <is>
          <t>biosphere</t>
        </is>
      </c>
      <c r="G3174" t="inlineStr">
        <is>
          <t>Electricity-only proxy: source amount / 0.29; 100% burden to electricity, before STEM efficiency adjustment.</t>
        </is>
      </c>
    </row>
    <row r="3175">
      <c r="A3175" t="inlineStr">
        <is>
          <t>Calcium</t>
        </is>
      </c>
      <c r="B3175">
        <v>0.0014289230769230774</v>
      </c>
      <c r="D3175" t="inlineStr">
        <is>
          <t>kilogram</t>
        </is>
      </c>
      <c r="E3175" t="inlineStr">
        <is>
          <t>air::urban air close to ground</t>
        </is>
      </c>
      <c r="F3175" t="inlineStr">
        <is>
          <t>biosphere</t>
        </is>
      </c>
      <c r="G3175" t="inlineStr">
        <is>
          <t>Electricity-only proxy: source amount / 0.29; 100% burden to electricity, before STEM efficiency adjustment.</t>
        </is>
      </c>
    </row>
    <row r="3176">
      <c r="A3176" t="inlineStr">
        <is>
          <t>Carbon dioxide, non-fossil</t>
        </is>
      </c>
      <c r="B3176">
        <v>0.49286578249336876</v>
      </c>
      <c r="D3176" t="inlineStr">
        <is>
          <t>kilogram</t>
        </is>
      </c>
      <c r="E3176" t="inlineStr">
        <is>
          <t>air::urban air close to ground</t>
        </is>
      </c>
      <c r="F3176" t="inlineStr">
        <is>
          <t>biosphere</t>
        </is>
      </c>
      <c r="G3176" t="inlineStr">
        <is>
          <t>Electricity-only proxy: source amount / 0.29; 100% burden to electricity, before STEM efficiency adjustment.</t>
        </is>
      </c>
    </row>
    <row r="3177">
      <c r="A3177" t="inlineStr">
        <is>
          <t>Carbon monoxide, non-fossil</t>
        </is>
      </c>
      <c r="B3177">
        <v>0.0006755490716180372</v>
      </c>
      <c r="D3177" t="inlineStr">
        <is>
          <t>kilogram</t>
        </is>
      </c>
      <c r="E3177" t="inlineStr">
        <is>
          <t>air::urban air close to ground</t>
        </is>
      </c>
      <c r="F3177" t="inlineStr">
        <is>
          <t>biosphere</t>
        </is>
      </c>
      <c r="G3177" t="inlineStr">
        <is>
          <t>Electricity-only proxy: source amount / 0.29; 100% burden to electricity, before STEM efficiency adjustment.</t>
        </is>
      </c>
    </row>
    <row r="3178">
      <c r="A3178" t="inlineStr">
        <is>
          <t>Chromium III</t>
        </is>
      </c>
      <c r="B3178">
        <v>5.8183448275862083e-08</v>
      </c>
      <c r="D3178" t="inlineStr">
        <is>
          <t>kilogram</t>
        </is>
      </c>
      <c r="E3178" t="inlineStr">
        <is>
          <t>air::urban air close to ground</t>
        </is>
      </c>
      <c r="F3178" t="inlineStr">
        <is>
          <t>biosphere</t>
        </is>
      </c>
      <c r="G3178" t="inlineStr">
        <is>
          <t>Electricity-only proxy: source amount / 0.29; 100% burden to electricity, before STEM efficiency adjustment.</t>
        </is>
      </c>
    </row>
    <row r="3179">
      <c r="A3179" t="inlineStr">
        <is>
          <t>Cobalt II</t>
        </is>
      </c>
      <c r="B3179">
        <v>7.573750663129975e-08</v>
      </c>
      <c r="D3179" t="inlineStr">
        <is>
          <t>kilogram</t>
        </is>
      </c>
      <c r="E3179" t="inlineStr">
        <is>
          <t>air::urban air close to ground</t>
        </is>
      </c>
      <c r="F3179" t="inlineStr">
        <is>
          <t>biosphere</t>
        </is>
      </c>
      <c r="G3179" t="inlineStr">
        <is>
          <t>Electricity-only proxy: source amount / 0.29; 100% burden to electricity, before STEM efficiency adjustment.</t>
        </is>
      </c>
    </row>
    <row r="3180">
      <c r="A3180" t="inlineStr">
        <is>
          <t>Copper ion</t>
        </is>
      </c>
      <c r="B3180">
        <v>1.3731564986737403e-08</v>
      </c>
      <c r="D3180" t="inlineStr">
        <is>
          <t>kilogram</t>
        </is>
      </c>
      <c r="E3180" t="inlineStr">
        <is>
          <t>air::urban air close to ground</t>
        </is>
      </c>
      <c r="F3180" t="inlineStr">
        <is>
          <t>biosphere</t>
        </is>
      </c>
      <c r="G3180" t="inlineStr">
        <is>
          <t>Electricity-only proxy: source amount / 0.29; 100% burden to electricity, before STEM efficiency adjustment.</t>
        </is>
      </c>
    </row>
    <row r="3181">
      <c r="A3181" t="inlineStr">
        <is>
          <t>Cyanide</t>
        </is>
      </c>
      <c r="B3181">
        <v>0.00010674907161803713</v>
      </c>
      <c r="D3181" t="inlineStr">
        <is>
          <t>kilogram</t>
        </is>
      </c>
      <c r="E3181" t="inlineStr">
        <is>
          <t>air::urban air close to ground</t>
        </is>
      </c>
      <c r="F3181" t="inlineStr">
        <is>
          <t>biosphere</t>
        </is>
      </c>
      <c r="G3181" t="inlineStr">
        <is>
          <t>Electricity-only proxy: source amount / 0.29; 100% burden to electricity, before STEM efficiency adjustment.</t>
        </is>
      </c>
    </row>
    <row r="3182">
      <c r="A3182" t="inlineStr">
        <is>
          <t>Dinitrogen monoxide</t>
        </is>
      </c>
      <c r="B3182">
        <v>0.0004968954907161804</v>
      </c>
      <c r="D3182" t="inlineStr">
        <is>
          <t>kilogram</t>
        </is>
      </c>
      <c r="E3182" t="inlineStr">
        <is>
          <t>air::urban air close to ground</t>
        </is>
      </c>
      <c r="F3182" t="inlineStr">
        <is>
          <t>biosphere</t>
        </is>
      </c>
      <c r="G3182" t="inlineStr">
        <is>
          <t>Electricity-only proxy: source amount / 0.29; 100% burden to electricity, before STEM efficiency adjustment.</t>
        </is>
      </c>
    </row>
    <row r="3183">
      <c r="A3183" t="inlineStr">
        <is>
          <t>Dioxins, measured as 2,3,7,8-tetrachlorodibenzo-p-dioxin</t>
        </is>
      </c>
      <c r="B3183">
        <v>7.947692307692309e-13</v>
      </c>
      <c r="D3183" t="inlineStr">
        <is>
          <t>kilogram</t>
        </is>
      </c>
      <c r="E3183" t="inlineStr">
        <is>
          <t>air::urban air close to ground</t>
        </is>
      </c>
      <c r="F3183" t="inlineStr">
        <is>
          <t>biosphere</t>
        </is>
      </c>
      <c r="G3183" t="inlineStr">
        <is>
          <t>Electricity-only proxy: source amount / 0.29; 100% burden to electricity, before STEM efficiency adjustment.</t>
        </is>
      </c>
    </row>
    <row r="3184">
      <c r="A3184" t="inlineStr">
        <is>
          <t>Heat, waste</t>
        </is>
      </c>
      <c r="B3184">
        <v>42.43225464190982</v>
      </c>
      <c r="D3184" t="inlineStr">
        <is>
          <t>megajoule</t>
        </is>
      </c>
      <c r="E3184" t="inlineStr">
        <is>
          <t>air::urban air close to ground</t>
        </is>
      </c>
      <c r="F3184" t="inlineStr">
        <is>
          <t>biosphere</t>
        </is>
      </c>
      <c r="G3184" t="inlineStr">
        <is>
          <t>Electricity-only proxy: source amount / 0.29; 100% burden to electricity, before STEM efficiency adjustment.</t>
        </is>
      </c>
    </row>
    <row r="3185">
      <c r="A3185" t="inlineStr">
        <is>
          <t>Hydrochloric acid</t>
        </is>
      </c>
      <c r="B3185">
        <v>1.9011246684350137e-05</v>
      </c>
      <c r="D3185" t="inlineStr">
        <is>
          <t>kilogram</t>
        </is>
      </c>
      <c r="E3185" t="inlineStr">
        <is>
          <t>air::urban air close to ground</t>
        </is>
      </c>
      <c r="F3185" t="inlineStr">
        <is>
          <t>biosphere</t>
        </is>
      </c>
      <c r="G3185" t="inlineStr">
        <is>
          <t>Electricity-only proxy: source amount / 0.29; 100% burden to electricity, before STEM efficiency adjustment.</t>
        </is>
      </c>
    </row>
    <row r="3186">
      <c r="A3186" t="inlineStr">
        <is>
          <t>Hydrogen fluoride</t>
        </is>
      </c>
      <c r="B3186">
        <v>1.1238302387267906e-05</v>
      </c>
      <c r="D3186" t="inlineStr">
        <is>
          <t>kilogram</t>
        </is>
      </c>
      <c r="E3186" t="inlineStr">
        <is>
          <t>air::urban air close to ground</t>
        </is>
      </c>
      <c r="F3186" t="inlineStr">
        <is>
          <t>biosphere</t>
        </is>
      </c>
      <c r="G3186" t="inlineStr">
        <is>
          <t>Electricity-only proxy: source amount / 0.29; 100% burden to electricity, before STEM efficiency adjustment.</t>
        </is>
      </c>
    </row>
    <row r="3187">
      <c r="A3187" t="inlineStr">
        <is>
          <t>Iodine</t>
        </is>
      </c>
      <c r="B3187">
        <v>2.5424403183023875e-10</v>
      </c>
      <c r="D3187" t="inlineStr">
        <is>
          <t>kilogram</t>
        </is>
      </c>
      <c r="E3187" t="inlineStr">
        <is>
          <t>air::urban air close to ground</t>
        </is>
      </c>
      <c r="F3187" t="inlineStr">
        <is>
          <t>biosphere</t>
        </is>
      </c>
      <c r="G3187" t="inlineStr">
        <is>
          <t>Electricity-only proxy: source amount / 0.29; 100% burden to electricity, before STEM efficiency adjustment.</t>
        </is>
      </c>
    </row>
    <row r="3188">
      <c r="A3188" t="inlineStr">
        <is>
          <t>Iron ion</t>
        </is>
      </c>
      <c r="B3188">
        <v>8.95607427055703e-09</v>
      </c>
      <c r="D3188" t="inlineStr">
        <is>
          <t>kilogram</t>
        </is>
      </c>
      <c r="E3188" t="inlineStr">
        <is>
          <t>air::urban air close to ground</t>
        </is>
      </c>
      <c r="F3188" t="inlineStr">
        <is>
          <t>biosphere</t>
        </is>
      </c>
      <c r="G3188" t="inlineStr">
        <is>
          <t>Electricity-only proxy: source amount / 0.29; 100% burden to electricity, before STEM efficiency adjustment.</t>
        </is>
      </c>
    </row>
    <row r="3189">
      <c r="A3189" t="inlineStr">
        <is>
          <t>Lead II</t>
        </is>
      </c>
      <c r="B3189">
        <v>1.273559681697613e-08</v>
      </c>
      <c r="D3189" t="inlineStr">
        <is>
          <t>kilogram</t>
        </is>
      </c>
      <c r="E3189" t="inlineStr">
        <is>
          <t>air::urban air close to ground</t>
        </is>
      </c>
      <c r="F3189" t="inlineStr">
        <is>
          <t>biosphere</t>
        </is>
      </c>
      <c r="G3189" t="inlineStr">
        <is>
          <t>Electricity-only proxy: source amount / 0.29; 100% burden to electricity, before STEM efficiency adjustment.</t>
        </is>
      </c>
    </row>
    <row r="3190">
      <c r="A3190" t="inlineStr">
        <is>
          <t>Magnesium</t>
        </is>
      </c>
      <c r="B3190">
        <v>2.477411140583555e-05</v>
      </c>
      <c r="D3190" t="inlineStr">
        <is>
          <t>kilogram</t>
        </is>
      </c>
      <c r="E3190" t="inlineStr">
        <is>
          <t>air::urban air close to ground</t>
        </is>
      </c>
      <c r="F3190" t="inlineStr">
        <is>
          <t>biosphere</t>
        </is>
      </c>
      <c r="G3190" t="inlineStr">
        <is>
          <t>Electricity-only proxy: source amount / 0.29; 100% burden to electricity, before STEM efficiency adjustment.</t>
        </is>
      </c>
    </row>
    <row r="3191">
      <c r="A3191" t="inlineStr">
        <is>
          <t>Manganese II</t>
        </is>
      </c>
      <c r="B3191">
        <v>6.839713527851461e-09</v>
      </c>
      <c r="D3191" t="inlineStr">
        <is>
          <t>kilogram</t>
        </is>
      </c>
      <c r="E3191" t="inlineStr">
        <is>
          <t>air::urban air close to ground</t>
        </is>
      </c>
      <c r="F3191" t="inlineStr">
        <is>
          <t>biosphere</t>
        </is>
      </c>
      <c r="G3191" t="inlineStr">
        <is>
          <t>Electricity-only proxy: source amount / 0.29; 100% burden to electricity, before STEM efficiency adjustment.</t>
        </is>
      </c>
    </row>
    <row r="3192">
      <c r="A3192" t="inlineStr">
        <is>
          <t>Mercury II</t>
        </is>
      </c>
      <c r="B3192">
        <v>1.6530397877984088e-08</v>
      </c>
      <c r="D3192" t="inlineStr">
        <is>
          <t>kilogram</t>
        </is>
      </c>
      <c r="E3192" t="inlineStr">
        <is>
          <t>air::urban air close to ground</t>
        </is>
      </c>
      <c r="F3192" t="inlineStr">
        <is>
          <t>biosphere</t>
        </is>
      </c>
      <c r="G3192" t="inlineStr">
        <is>
          <t>Electricity-only proxy: source amount / 0.29; 100% burden to electricity, before STEM efficiency adjustment.</t>
        </is>
      </c>
    </row>
    <row r="3193">
      <c r="A3193" t="inlineStr">
        <is>
          <t>Methane, non-fossil</t>
        </is>
      </c>
      <c r="B3193">
        <v>5.961198938992043e-06</v>
      </c>
      <c r="D3193" t="inlineStr">
        <is>
          <t>kilogram</t>
        </is>
      </c>
      <c r="E3193" t="inlineStr">
        <is>
          <t>air::urban air close to ground</t>
        </is>
      </c>
      <c r="F3193" t="inlineStr">
        <is>
          <t>biosphere</t>
        </is>
      </c>
      <c r="G3193" t="inlineStr">
        <is>
          <t>Electricity-only proxy: source amount / 0.29; 100% burden to electricity, before STEM efficiency adjustment.</t>
        </is>
      </c>
    </row>
    <row r="3194">
      <c r="A3194" t="inlineStr">
        <is>
          <t>Molybdenum VI</t>
        </is>
      </c>
      <c r="B3194">
        <v>4.383596816976128e-09</v>
      </c>
      <c r="D3194" t="inlineStr">
        <is>
          <t>kilogram</t>
        </is>
      </c>
      <c r="E3194" t="inlineStr">
        <is>
          <t>air::urban air close to ground</t>
        </is>
      </c>
      <c r="F3194" t="inlineStr">
        <is>
          <t>biosphere</t>
        </is>
      </c>
      <c r="G3194" t="inlineStr">
        <is>
          <t>Electricity-only proxy: source amount / 0.29; 100% burden to electricity, before STEM efficiency adjustment.</t>
        </is>
      </c>
    </row>
    <row r="3195">
      <c r="A3195" t="inlineStr">
        <is>
          <t>NMVOC, non-methane volatile organic compounds</t>
        </is>
      </c>
      <c r="B3195">
        <v>1.8085941644562336e-05</v>
      </c>
      <c r="D3195" t="inlineStr">
        <is>
          <t>kilogram</t>
        </is>
      </c>
      <c r="E3195" t="inlineStr">
        <is>
          <t>air::urban air close to ground</t>
        </is>
      </c>
      <c r="F3195" t="inlineStr">
        <is>
          <t>biosphere</t>
        </is>
      </c>
      <c r="G3195" t="inlineStr">
        <is>
          <t>Electricity-only proxy: source amount / 0.29; 100% burden to electricity, before STEM efficiency adjustment.</t>
        </is>
      </c>
    </row>
    <row r="3196">
      <c r="A3196" t="inlineStr">
        <is>
          <t>Nickel II</t>
        </is>
      </c>
      <c r="B3196">
        <v>5.670907161803715e-08</v>
      </c>
      <c r="D3196" t="inlineStr">
        <is>
          <t>kilogram</t>
        </is>
      </c>
      <c r="E3196" t="inlineStr">
        <is>
          <t>air::urban air close to ground</t>
        </is>
      </c>
      <c r="F3196" t="inlineStr">
        <is>
          <t>biosphere</t>
        </is>
      </c>
      <c r="G3196" t="inlineStr">
        <is>
          <t>Electricity-only proxy: source amount / 0.29; 100% burden to electricity, before STEM efficiency adjustment.</t>
        </is>
      </c>
    </row>
    <row r="3197">
      <c r="A3197" t="inlineStr">
        <is>
          <t>Nitrogen oxides</t>
        </is>
      </c>
      <c r="B3197">
        <v>0.0019074270557029181</v>
      </c>
      <c r="D3197" t="inlineStr">
        <is>
          <t>kilogram</t>
        </is>
      </c>
      <c r="E3197" t="inlineStr">
        <is>
          <t>air::urban air close to ground</t>
        </is>
      </c>
      <c r="F3197" t="inlineStr">
        <is>
          <t>biosphere</t>
        </is>
      </c>
      <c r="G3197" t="inlineStr">
        <is>
          <t>Electricity-only proxy: source amount / 0.29; 100% burden to electricity, before STEM efficiency adjustment.</t>
        </is>
      </c>
    </row>
    <row r="3198">
      <c r="A3198" t="inlineStr">
        <is>
          <t>Particulate Matter, &lt; 2.5 um</t>
        </is>
      </c>
      <c r="B3198">
        <v>4.744742705570292e-05</v>
      </c>
      <c r="D3198" t="inlineStr">
        <is>
          <t>kilogram</t>
        </is>
      </c>
      <c r="E3198" t="inlineStr">
        <is>
          <t>air::urban air close to ground</t>
        </is>
      </c>
      <c r="F3198" t="inlineStr">
        <is>
          <t>biosphere</t>
        </is>
      </c>
      <c r="G3198" t="inlineStr">
        <is>
          <t>Electricity-only proxy: source amount / 0.29; 100% burden to electricity, before STEM efficiency adjustment.</t>
        </is>
      </c>
    </row>
    <row r="3199">
      <c r="A3199" t="inlineStr">
        <is>
          <t>Particulate Matter, &gt; 2.5 um and &lt; 10um</t>
        </is>
      </c>
      <c r="B3199">
        <v>2.384307692307693e-07</v>
      </c>
      <c r="D3199" t="inlineStr">
        <is>
          <t>kilogram</t>
        </is>
      </c>
      <c r="E3199" t="inlineStr">
        <is>
          <t>air::urban air close to ground</t>
        </is>
      </c>
      <c r="F3199" t="inlineStr">
        <is>
          <t>biosphere</t>
        </is>
      </c>
      <c r="G3199" t="inlineStr">
        <is>
          <t>Electricity-only proxy: source amount / 0.29; 100% burden to electricity, before STEM efficiency adjustment.</t>
        </is>
      </c>
    </row>
    <row r="3200">
      <c r="A3200" t="inlineStr">
        <is>
          <t>Phenol, pentachloro-</t>
        </is>
      </c>
      <c r="B3200">
        <v>1.7306737400530507e-10</v>
      </c>
      <c r="D3200" t="inlineStr">
        <is>
          <t>kilogram</t>
        </is>
      </c>
      <c r="E3200" t="inlineStr">
        <is>
          <t>air::urban air close to ground</t>
        </is>
      </c>
      <c r="F3200" t="inlineStr">
        <is>
          <t>biosphere</t>
        </is>
      </c>
      <c r="G3200" t="inlineStr">
        <is>
          <t>Electricity-only proxy: source amount / 0.29; 100% burden to electricity, before STEM efficiency adjustment.</t>
        </is>
      </c>
    </row>
    <row r="3201">
      <c r="A3201" t="inlineStr">
        <is>
          <t>Phosphorus</t>
        </is>
      </c>
      <c r="B3201">
        <v>9.564350132625996e-06</v>
      </c>
      <c r="D3201" t="inlineStr">
        <is>
          <t>kilogram</t>
        </is>
      </c>
      <c r="E3201" t="inlineStr">
        <is>
          <t>air::urban air close to ground</t>
        </is>
      </c>
      <c r="F3201" t="inlineStr">
        <is>
          <t>biosphere</t>
        </is>
      </c>
      <c r="G3201" t="inlineStr">
        <is>
          <t>Electricity-only proxy: source amount / 0.29; 100% burden to electricity, before STEM efficiency adjustment.</t>
        </is>
      </c>
    </row>
    <row r="3202">
      <c r="A3202" t="inlineStr">
        <is>
          <t>Potassium I</t>
        </is>
      </c>
      <c r="B3202">
        <v>0.00014401909814323608</v>
      </c>
      <c r="D3202" t="inlineStr">
        <is>
          <t>kilogram</t>
        </is>
      </c>
      <c r="E3202" t="inlineStr">
        <is>
          <t>air::urban air close to ground</t>
        </is>
      </c>
      <c r="F3202" t="inlineStr">
        <is>
          <t>biosphere</t>
        </is>
      </c>
      <c r="G3202" t="inlineStr">
        <is>
          <t>Electricity-only proxy: source amount / 0.29; 100% burden to electricity, before STEM efficiency adjustment.</t>
        </is>
      </c>
    </row>
    <row r="3203">
      <c r="A3203" t="inlineStr">
        <is>
          <t>Selenium IV</t>
        </is>
      </c>
      <c r="B3203">
        <v>4.9657082228116725e-08</v>
      </c>
      <c r="D3203" t="inlineStr">
        <is>
          <t>kilogram</t>
        </is>
      </c>
      <c r="E3203" t="inlineStr">
        <is>
          <t>air::urban air close to ground</t>
        </is>
      </c>
      <c r="F3203" t="inlineStr">
        <is>
          <t>biosphere</t>
        </is>
      </c>
      <c r="G3203" t="inlineStr">
        <is>
          <t>Electricity-only proxy: source amount / 0.29; 100% burden to electricity, before STEM efficiency adjustment.</t>
        </is>
      </c>
    </row>
    <row r="3204">
      <c r="A3204" t="inlineStr">
        <is>
          <t>Silicon</t>
        </is>
      </c>
      <c r="B3204">
        <v>5.186387267904509e-07</v>
      </c>
      <c r="D3204" t="inlineStr">
        <is>
          <t>kilogram</t>
        </is>
      </c>
      <c r="E3204" t="inlineStr">
        <is>
          <t>air::urban air close to ground</t>
        </is>
      </c>
      <c r="F3204" t="inlineStr">
        <is>
          <t>biosphere</t>
        </is>
      </c>
      <c r="G3204" t="inlineStr">
        <is>
          <t>Electricity-only proxy: source amount / 0.29; 100% burden to electricity, before STEM efficiency adjustment.</t>
        </is>
      </c>
    </row>
    <row r="3205">
      <c r="A3205" t="inlineStr">
        <is>
          <t>Sodium</t>
        </is>
      </c>
      <c r="B3205">
        <v>0.00010257612732095493</v>
      </c>
      <c r="D3205" t="inlineStr">
        <is>
          <t>kilogram</t>
        </is>
      </c>
      <c r="E3205" t="inlineStr">
        <is>
          <t>air::urban air close to ground</t>
        </is>
      </c>
      <c r="F3205" t="inlineStr">
        <is>
          <t>biosphere</t>
        </is>
      </c>
      <c r="G3205" t="inlineStr">
        <is>
          <t>Electricity-only proxy: source amount / 0.29; 100% burden to electricity, before STEM efficiency adjustment.</t>
        </is>
      </c>
    </row>
    <row r="3206">
      <c r="A3206" t="inlineStr">
        <is>
          <t>Sulfur dioxide</t>
        </is>
      </c>
      <c r="B3206">
        <v>0.00013279893899204246</v>
      </c>
      <c r="D3206" t="inlineStr">
        <is>
          <t>kilogram</t>
        </is>
      </c>
      <c r="E3206" t="inlineStr">
        <is>
          <t>air::urban air close to ground</t>
        </is>
      </c>
      <c r="F3206" t="inlineStr">
        <is>
          <t>biosphere</t>
        </is>
      </c>
      <c r="G3206" t="inlineStr">
        <is>
          <t>Electricity-only proxy: source amount / 0.29; 100% burden to electricity, before STEM efficiency adjustment.</t>
        </is>
      </c>
    </row>
    <row r="3207">
      <c r="A3207" t="inlineStr">
        <is>
          <t>Tin ion</t>
        </is>
      </c>
      <c r="B3207">
        <v>4.3502705570291785e-11</v>
      </c>
      <c r="D3207" t="inlineStr">
        <is>
          <t>kilogram</t>
        </is>
      </c>
      <c r="E3207" t="inlineStr">
        <is>
          <t>air::urban air close to ground</t>
        </is>
      </c>
      <c r="F3207" t="inlineStr">
        <is>
          <t>biosphere</t>
        </is>
      </c>
      <c r="G3207" t="inlineStr">
        <is>
          <t>Electricity-only proxy: source amount / 0.29; 100% burden to electricity, before STEM efficiency adjustment.</t>
        </is>
      </c>
    </row>
    <row r="3208">
      <c r="A3208" t="inlineStr">
        <is>
          <t>Toluene</t>
        </is>
      </c>
      <c r="B3208">
        <v>7.948169761273211e-07</v>
      </c>
      <c r="D3208" t="inlineStr">
        <is>
          <t>kilogram</t>
        </is>
      </c>
      <c r="E3208" t="inlineStr">
        <is>
          <t>air::urban air close to ground</t>
        </is>
      </c>
      <c r="F3208" t="inlineStr">
        <is>
          <t>biosphere</t>
        </is>
      </c>
      <c r="G3208" t="inlineStr">
        <is>
          <t>Electricity-only proxy: source amount / 0.29; 100% burden to electricity, before STEM efficiency adjustment.</t>
        </is>
      </c>
    </row>
    <row r="3209">
      <c r="A3209" t="inlineStr">
        <is>
          <t>Vanadium V</t>
        </is>
      </c>
      <c r="B3209">
        <v>5.296774535809019e-07</v>
      </c>
      <c r="D3209" t="inlineStr">
        <is>
          <t>kilogram</t>
        </is>
      </c>
      <c r="E3209" t="inlineStr">
        <is>
          <t>air::urban air close to ground</t>
        </is>
      </c>
      <c r="F3209" t="inlineStr">
        <is>
          <t>biosphere</t>
        </is>
      </c>
      <c r="G3209" t="inlineStr">
        <is>
          <t>Electricity-only proxy: source amount / 0.29; 100% burden to electricity, before STEM efficiency adjustment.</t>
        </is>
      </c>
    </row>
    <row r="3210">
      <c r="A3210" t="inlineStr">
        <is>
          <t>Water</t>
        </is>
      </c>
      <c r="B3210">
        <v>0.012937359151193636</v>
      </c>
      <c r="D3210" t="inlineStr">
        <is>
          <t>cubic meter</t>
        </is>
      </c>
      <c r="E3210" t="inlineStr">
        <is>
          <t>air::urban air close to ground</t>
        </is>
      </c>
      <c r="F3210" t="inlineStr">
        <is>
          <t>biosphere</t>
        </is>
      </c>
      <c r="G3210" t="inlineStr">
        <is>
          <t>Electricity-only proxy: source amount / 0.29; 100% burden to electricity, before STEM efficiency adjustment.</t>
        </is>
      </c>
    </row>
    <row r="3211">
      <c r="A3211" t="inlineStr">
        <is>
          <t>Zinc II</t>
        </is>
      </c>
      <c r="B3211">
        <v>3.251267904509284e-07</v>
      </c>
      <c r="D3211" t="inlineStr">
        <is>
          <t>kilogram</t>
        </is>
      </c>
      <c r="E3211" t="inlineStr">
        <is>
          <t>air::urban air close to ground</t>
        </is>
      </c>
      <c r="F3211" t="inlineStr">
        <is>
          <t>biosphere</t>
        </is>
      </c>
      <c r="G3211" t="inlineStr">
        <is>
          <t>Electricity-only proxy: source amount / 0.29; 100% burden to electricity, before STEM efficiency adjustment.</t>
        </is>
      </c>
    </row>
    <row r="3212">
      <c r="A3212" t="inlineStr">
        <is>
          <t>Aluminium III</t>
        </is>
      </c>
      <c r="B3212">
        <v>0.06426620689655174</v>
      </c>
      <c r="D3212" t="inlineStr">
        <is>
          <t>kilogram</t>
        </is>
      </c>
      <c r="E3212" t="inlineStr">
        <is>
          <t>water::ground-, long-term</t>
        </is>
      </c>
      <c r="F3212" t="inlineStr">
        <is>
          <t>biosphere</t>
        </is>
      </c>
      <c r="G3212" t="inlineStr">
        <is>
          <t>Electricity-only proxy: source amount / 0.29; 100% burden to electricity, before STEM efficiency adjustment.</t>
        </is>
      </c>
    </row>
    <row r="3213">
      <c r="A3213" t="inlineStr">
        <is>
          <t>Aluminium III</t>
        </is>
      </c>
      <c r="B3213">
        <v>6.183310344827588e-06</v>
      </c>
      <c r="D3213" t="inlineStr">
        <is>
          <t>kilogram</t>
        </is>
      </c>
      <c r="E3213" t="inlineStr">
        <is>
          <t>water::surface water</t>
        </is>
      </c>
      <c r="F3213" t="inlineStr">
        <is>
          <t>biosphere</t>
        </is>
      </c>
      <c r="G3213" t="inlineStr">
        <is>
          <t>Electricity-only proxy: source amount / 0.29; 100% burden to electricity, before STEM efficiency adjustment.</t>
        </is>
      </c>
    </row>
    <row r="3214">
      <c r="A3214" t="inlineStr">
        <is>
          <t>Antimony ion</t>
        </is>
      </c>
      <c r="B3214">
        <v>7.710206896551725e-09</v>
      </c>
      <c r="D3214" t="inlineStr">
        <is>
          <t>kilogram</t>
        </is>
      </c>
      <c r="E3214" t="inlineStr">
        <is>
          <t>water::ground-, long-term</t>
        </is>
      </c>
      <c r="F3214" t="inlineStr">
        <is>
          <t>biosphere</t>
        </is>
      </c>
      <c r="G3214" t="inlineStr">
        <is>
          <t>Electricity-only proxy: source amount / 0.29; 100% burden to electricity, before STEM efficiency adjustment.</t>
        </is>
      </c>
    </row>
    <row r="3215">
      <c r="A3215" t="inlineStr">
        <is>
          <t>Antimony ion</t>
        </is>
      </c>
      <c r="B3215">
        <v>4.2003501326259955e-09</v>
      </c>
      <c r="D3215" t="inlineStr">
        <is>
          <t>kilogram</t>
        </is>
      </c>
      <c r="E3215" t="inlineStr">
        <is>
          <t>water::surface water</t>
        </is>
      </c>
      <c r="F3215" t="inlineStr">
        <is>
          <t>biosphere</t>
        </is>
      </c>
      <c r="G3215" t="inlineStr">
        <is>
          <t>Electricity-only proxy: source amount / 0.29; 100% burden to electricity, before STEM efficiency adjustment.</t>
        </is>
      </c>
    </row>
    <row r="3216">
      <c r="A3216" t="inlineStr">
        <is>
          <t>Arsenic ion</t>
        </is>
      </c>
      <c r="B3216">
        <v>1.0155437665782495e-05</v>
      </c>
      <c r="D3216" t="inlineStr">
        <is>
          <t>kilogram</t>
        </is>
      </c>
      <c r="E3216" t="inlineStr">
        <is>
          <t>water::ground-, long-term</t>
        </is>
      </c>
      <c r="F3216" t="inlineStr">
        <is>
          <t>biosphere</t>
        </is>
      </c>
      <c r="G3216" t="inlineStr">
        <is>
          <t>Electricity-only proxy: source amount / 0.29; 100% burden to electricity, before STEM efficiency adjustment.</t>
        </is>
      </c>
    </row>
    <row r="3217">
      <c r="A3217" t="inlineStr">
        <is>
          <t>Arsenic ion</t>
        </is>
      </c>
      <c r="B3217">
        <v>6.690557029177721e-06</v>
      </c>
      <c r="D3217" t="inlineStr">
        <is>
          <t>kilogram</t>
        </is>
      </c>
      <c r="E3217" t="inlineStr">
        <is>
          <t>water::surface water</t>
        </is>
      </c>
      <c r="F3217" t="inlineStr">
        <is>
          <t>biosphere</t>
        </is>
      </c>
      <c r="G3217" t="inlineStr">
        <is>
          <t>Electricity-only proxy: source amount / 0.29; 100% burden to electricity, before STEM efficiency adjustment.</t>
        </is>
      </c>
    </row>
    <row r="3218">
      <c r="A3218" t="inlineStr">
        <is>
          <t>BOD5, Biological Oxygen Demand</t>
        </is>
      </c>
      <c r="B3218">
        <v>0.003278673740053051</v>
      </c>
      <c r="D3218" t="inlineStr">
        <is>
          <t>kilogram</t>
        </is>
      </c>
      <c r="E3218" t="inlineStr">
        <is>
          <t>water::ground-, long-term</t>
        </is>
      </c>
      <c r="F3218" t="inlineStr">
        <is>
          <t>biosphere</t>
        </is>
      </c>
      <c r="G3218" t="inlineStr">
        <is>
          <t>Electricity-only proxy: source amount / 0.29; 100% burden to electricity, before STEM efficiency adjustment.</t>
        </is>
      </c>
    </row>
    <row r="3219">
      <c r="A3219" t="inlineStr">
        <is>
          <t>BOD5, Biological Oxygen Demand</t>
        </is>
      </c>
      <c r="B3219">
        <v>0.0010062811671087534</v>
      </c>
      <c r="D3219" t="inlineStr">
        <is>
          <t>kilogram</t>
        </is>
      </c>
      <c r="E3219" t="inlineStr">
        <is>
          <t>water::surface water</t>
        </is>
      </c>
      <c r="F3219" t="inlineStr">
        <is>
          <t>biosphere</t>
        </is>
      </c>
      <c r="G3219" t="inlineStr">
        <is>
          <t>Electricity-only proxy: source amount / 0.29; 100% burden to electricity, before STEM efficiency adjustment.</t>
        </is>
      </c>
    </row>
    <row r="3220">
      <c r="A3220" t="inlineStr">
        <is>
          <t>Boron</t>
        </is>
      </c>
      <c r="B3220">
        <v>7.043108753315652e-05</v>
      </c>
      <c r="D3220" t="inlineStr">
        <is>
          <t>kilogram</t>
        </is>
      </c>
      <c r="E3220" t="inlineStr">
        <is>
          <t>water::ground-, long-term</t>
        </is>
      </c>
      <c r="F3220" t="inlineStr">
        <is>
          <t>biosphere</t>
        </is>
      </c>
      <c r="G3220" t="inlineStr">
        <is>
          <t>Electricity-only proxy: source amount / 0.29; 100% burden to electricity, before STEM efficiency adjustment.</t>
        </is>
      </c>
    </row>
    <row r="3221">
      <c r="A3221" t="inlineStr">
        <is>
          <t>Boron</t>
        </is>
      </c>
      <c r="B3221">
        <v>8.833846153846155e-07</v>
      </c>
      <c r="D3221" t="inlineStr">
        <is>
          <t>kilogram</t>
        </is>
      </c>
      <c r="E3221" t="inlineStr">
        <is>
          <t>water::surface water</t>
        </is>
      </c>
      <c r="F3221" t="inlineStr">
        <is>
          <t>biosphere</t>
        </is>
      </c>
      <c r="G3221" t="inlineStr">
        <is>
          <t>Electricity-only proxy: source amount / 0.29; 100% burden to electricity, before STEM efficiency adjustment.</t>
        </is>
      </c>
    </row>
    <row r="3222">
      <c r="A3222" t="inlineStr">
        <is>
          <t>Bromine</t>
        </is>
      </c>
      <c r="B3222">
        <v>2.590663129973475e-06</v>
      </c>
      <c r="D3222" t="inlineStr">
        <is>
          <t>kilogram</t>
        </is>
      </c>
      <c r="E3222" t="inlineStr">
        <is>
          <t>water::ground-, long-term</t>
        </is>
      </c>
      <c r="F3222" t="inlineStr">
        <is>
          <t>biosphere</t>
        </is>
      </c>
      <c r="G3222" t="inlineStr">
        <is>
          <t>Electricity-only proxy: source amount / 0.29; 100% burden to electricity, before STEM efficiency adjustment.</t>
        </is>
      </c>
    </row>
    <row r="3223">
      <c r="A3223" t="inlineStr">
        <is>
          <t>Bromine</t>
        </is>
      </c>
      <c r="B3223">
        <v>4.637124668435014e-05</v>
      </c>
      <c r="D3223" t="inlineStr">
        <is>
          <t>kilogram</t>
        </is>
      </c>
      <c r="E3223" t="inlineStr">
        <is>
          <t>water::surface water</t>
        </is>
      </c>
      <c r="F3223" t="inlineStr">
        <is>
          <t>biosphere</t>
        </is>
      </c>
      <c r="G3223" t="inlineStr">
        <is>
          <t>Electricity-only proxy: source amount / 0.29; 100% burden to electricity, before STEM efficiency adjustment.</t>
        </is>
      </c>
    </row>
    <row r="3224">
      <c r="A3224" t="inlineStr">
        <is>
          <t>COD, Chemical Oxygen Demand</t>
        </is>
      </c>
      <c r="B3224">
        <v>0.010023660477453582</v>
      </c>
      <c r="D3224" t="inlineStr">
        <is>
          <t>kilogram</t>
        </is>
      </c>
      <c r="E3224" t="inlineStr">
        <is>
          <t>water::ground-, long-term</t>
        </is>
      </c>
      <c r="F3224" t="inlineStr">
        <is>
          <t>biosphere</t>
        </is>
      </c>
      <c r="G3224" t="inlineStr">
        <is>
          <t>Electricity-only proxy: source amount / 0.29; 100% burden to electricity, before STEM efficiency adjustment.</t>
        </is>
      </c>
    </row>
    <row r="3225">
      <c r="A3225" t="inlineStr">
        <is>
          <t>COD, Chemical Oxygen Demand</t>
        </is>
      </c>
      <c r="B3225">
        <v>0.0010282440318302387</v>
      </c>
      <c r="D3225" t="inlineStr">
        <is>
          <t>kilogram</t>
        </is>
      </c>
      <c r="E3225" t="inlineStr">
        <is>
          <t>water::surface water</t>
        </is>
      </c>
      <c r="F3225" t="inlineStr">
        <is>
          <t>biosphere</t>
        </is>
      </c>
      <c r="G3225" t="inlineStr">
        <is>
          <t>Electricity-only proxy: source amount / 0.29; 100% burden to electricity, before STEM efficiency adjustment.</t>
        </is>
      </c>
    </row>
    <row r="3226">
      <c r="A3226" t="inlineStr">
        <is>
          <t>Cadmium II</t>
        </is>
      </c>
      <c r="B3226">
        <v>1.8434482758620692e-07</v>
      </c>
      <c r="D3226" t="inlineStr">
        <is>
          <t>kilogram</t>
        </is>
      </c>
      <c r="E3226" t="inlineStr">
        <is>
          <t>water::ground-, long-term</t>
        </is>
      </c>
      <c r="F3226" t="inlineStr">
        <is>
          <t>biosphere</t>
        </is>
      </c>
      <c r="G3226" t="inlineStr">
        <is>
          <t>Electricity-only proxy: source amount / 0.29; 100% burden to electricity, before STEM efficiency adjustment.</t>
        </is>
      </c>
    </row>
    <row r="3227">
      <c r="A3227" t="inlineStr">
        <is>
          <t>Cadmium II</t>
        </is>
      </c>
      <c r="B3227">
        <v>2.0440742705570295e-10</v>
      </c>
      <c r="D3227" t="inlineStr">
        <is>
          <t>kilogram</t>
        </is>
      </c>
      <c r="E3227" t="inlineStr">
        <is>
          <t>water::surface water</t>
        </is>
      </c>
      <c r="F3227" t="inlineStr">
        <is>
          <t>biosphere</t>
        </is>
      </c>
      <c r="G3227" t="inlineStr">
        <is>
          <t>Electricity-only proxy: source amount / 0.29; 100% burden to electricity, before STEM efficiency adjustment.</t>
        </is>
      </c>
    </row>
    <row r="3228">
      <c r="A3228" t="inlineStr">
        <is>
          <t>Calcium II</t>
        </is>
      </c>
      <c r="B3228">
        <v>0.1541315649867374</v>
      </c>
      <c r="D3228" t="inlineStr">
        <is>
          <t>kilogram</t>
        </is>
      </c>
      <c r="E3228" t="inlineStr">
        <is>
          <t>water::ground-, long-term</t>
        </is>
      </c>
      <c r="F3228" t="inlineStr">
        <is>
          <t>biosphere</t>
        </is>
      </c>
      <c r="G3228" t="inlineStr">
        <is>
          <t>Electricity-only proxy: source amount / 0.29; 100% burden to electricity, before STEM efficiency adjustment.</t>
        </is>
      </c>
    </row>
    <row r="3229">
      <c r="A3229" t="inlineStr">
        <is>
          <t>Calcium II</t>
        </is>
      </c>
      <c r="B3229">
        <v>0.003263490716180372</v>
      </c>
      <c r="D3229" t="inlineStr">
        <is>
          <t>kilogram</t>
        </is>
      </c>
      <c r="E3229" t="inlineStr">
        <is>
          <t>water::surface water</t>
        </is>
      </c>
      <c r="F3229" t="inlineStr">
        <is>
          <t>biosphere</t>
        </is>
      </c>
      <c r="G3229" t="inlineStr">
        <is>
          <t>Electricity-only proxy: source amount / 0.29; 100% burden to electricity, before STEM efficiency adjustment.</t>
        </is>
      </c>
    </row>
    <row r="3230">
      <c r="A3230" t="inlineStr">
        <is>
          <t>Chloride</t>
        </is>
      </c>
      <c r="B3230">
        <v>0.004196530503978781</v>
      </c>
      <c r="D3230" t="inlineStr">
        <is>
          <t>kilogram</t>
        </is>
      </c>
      <c r="E3230" t="inlineStr">
        <is>
          <t>water::ground-, long-term</t>
        </is>
      </c>
      <c r="F3230" t="inlineStr">
        <is>
          <t>biosphere</t>
        </is>
      </c>
      <c r="G3230" t="inlineStr">
        <is>
          <t>Electricity-only proxy: source amount / 0.29; 100% burden to electricity, before STEM efficiency adjustment.</t>
        </is>
      </c>
    </row>
    <row r="3231">
      <c r="A3231" t="inlineStr">
        <is>
          <t>Chloride</t>
        </is>
      </c>
      <c r="B3231">
        <v>0.028297718832891252</v>
      </c>
      <c r="D3231" t="inlineStr">
        <is>
          <t>kilogram</t>
        </is>
      </c>
      <c r="E3231" t="inlineStr">
        <is>
          <t>water::surface water</t>
        </is>
      </c>
      <c r="F3231" t="inlineStr">
        <is>
          <t>biosphere</t>
        </is>
      </c>
      <c r="G3231" t="inlineStr">
        <is>
          <t>Electricity-only proxy: source amount / 0.29; 100% burden to electricity, before STEM efficiency adjustment.</t>
        </is>
      </c>
    </row>
    <row r="3232">
      <c r="A3232" t="inlineStr">
        <is>
          <t>Chromium III</t>
        </is>
      </c>
      <c r="B3232">
        <v>8.650408488063662e-09</v>
      </c>
      <c r="D3232" t="inlineStr">
        <is>
          <t>kilogram</t>
        </is>
      </c>
      <c r="E3232" t="inlineStr">
        <is>
          <t>water::surface water</t>
        </is>
      </c>
      <c r="F3232" t="inlineStr">
        <is>
          <t>biosphere</t>
        </is>
      </c>
      <c r="G3232" t="inlineStr">
        <is>
          <t>Electricity-only proxy: source amount / 0.29; 100% burden to electricity, before STEM efficiency adjustment.</t>
        </is>
      </c>
    </row>
    <row r="3233">
      <c r="A3233" t="inlineStr">
        <is>
          <t>Chromium VI</t>
        </is>
      </c>
      <c r="B3233">
        <v>3.7976657824933694e-06</v>
      </c>
      <c r="D3233" t="inlineStr">
        <is>
          <t>kilogram</t>
        </is>
      </c>
      <c r="E3233" t="inlineStr">
        <is>
          <t>water::ground-, long-term</t>
        </is>
      </c>
      <c r="F3233" t="inlineStr">
        <is>
          <t>biosphere</t>
        </is>
      </c>
      <c r="G3233" t="inlineStr">
        <is>
          <t>Electricity-only proxy: source amount / 0.29; 100% burden to electricity, before STEM efficiency adjustment.</t>
        </is>
      </c>
    </row>
    <row r="3234">
      <c r="A3234" t="inlineStr">
        <is>
          <t>Chromium VI</t>
        </is>
      </c>
      <c r="B3234">
        <v>1.1009124668435015e-06</v>
      </c>
      <c r="D3234" t="inlineStr">
        <is>
          <t>kilogram</t>
        </is>
      </c>
      <c r="E3234" t="inlineStr">
        <is>
          <t>water::surface water</t>
        </is>
      </c>
      <c r="F3234" t="inlineStr">
        <is>
          <t>biosphere</t>
        </is>
      </c>
      <c r="G3234" t="inlineStr">
        <is>
          <t>Electricity-only proxy: source amount / 0.29; 100% burden to electricity, before STEM efficiency adjustment.</t>
        </is>
      </c>
    </row>
    <row r="3235">
      <c r="A3235" t="inlineStr">
        <is>
          <t>Cobalt II</t>
        </is>
      </c>
      <c r="B3235">
        <v>3.6466949602122026e-05</v>
      </c>
      <c r="D3235" t="inlineStr">
        <is>
          <t>kilogram</t>
        </is>
      </c>
      <c r="E3235" t="inlineStr">
        <is>
          <t>water::ground-, long-term</t>
        </is>
      </c>
      <c r="F3235" t="inlineStr">
        <is>
          <t>biosphere</t>
        </is>
      </c>
      <c r="G3235" t="inlineStr">
        <is>
          <t>Electricity-only proxy: source amount / 0.29; 100% burden to electricity, before STEM efficiency adjustment.</t>
        </is>
      </c>
    </row>
    <row r="3236">
      <c r="A3236" t="inlineStr">
        <is>
          <t>Cobalt II</t>
        </is>
      </c>
      <c r="B3236">
        <v>6.9205941644562344e-09</v>
      </c>
      <c r="D3236" t="inlineStr">
        <is>
          <t>kilogram</t>
        </is>
      </c>
      <c r="E3236" t="inlineStr">
        <is>
          <t>water::surface water</t>
        </is>
      </c>
      <c r="F3236" t="inlineStr">
        <is>
          <t>biosphere</t>
        </is>
      </c>
      <c r="G3236" t="inlineStr">
        <is>
          <t>Electricity-only proxy: source amount / 0.29; 100% burden to electricity, before STEM efficiency adjustment.</t>
        </is>
      </c>
    </row>
    <row r="3237">
      <c r="A3237" t="inlineStr">
        <is>
          <t>Copper ion</t>
        </is>
      </c>
      <c r="B3237">
        <v>0.00014125941644562337</v>
      </c>
      <c r="D3237" t="inlineStr">
        <is>
          <t>kilogram</t>
        </is>
      </c>
      <c r="E3237" t="inlineStr">
        <is>
          <t>water::ground-, long-term</t>
        </is>
      </c>
      <c r="F3237" t="inlineStr">
        <is>
          <t>biosphere</t>
        </is>
      </c>
      <c r="G3237" t="inlineStr">
        <is>
          <t>Electricity-only proxy: source amount / 0.29; 100% burden to electricity, before STEM efficiency adjustment.</t>
        </is>
      </c>
    </row>
    <row r="3238">
      <c r="A3238" t="inlineStr">
        <is>
          <t>Copper ion</t>
        </is>
      </c>
      <c r="B3238">
        <v>1.3002970822281168e-08</v>
      </c>
      <c r="D3238" t="inlineStr">
        <is>
          <t>kilogram</t>
        </is>
      </c>
      <c r="E3238" t="inlineStr">
        <is>
          <t>water::surface water</t>
        </is>
      </c>
      <c r="F3238" t="inlineStr">
        <is>
          <t>biosphere</t>
        </is>
      </c>
      <c r="G3238" t="inlineStr">
        <is>
          <t>Electricity-only proxy: source amount / 0.29; 100% burden to electricity, before STEM efficiency adjustment.</t>
        </is>
      </c>
    </row>
    <row r="3239">
      <c r="A3239" t="inlineStr">
        <is>
          <t>DOC, Dissolved Organic Carbon</t>
        </is>
      </c>
      <c r="B3239">
        <v>0.003966302387267905</v>
      </c>
      <c r="D3239" t="inlineStr">
        <is>
          <t>kilogram</t>
        </is>
      </c>
      <c r="E3239" t="inlineStr">
        <is>
          <t>water::ground-, long-term</t>
        </is>
      </c>
      <c r="F3239" t="inlineStr">
        <is>
          <t>biosphere</t>
        </is>
      </c>
      <c r="G3239" t="inlineStr">
        <is>
          <t>Electricity-only proxy: source amount / 0.29; 100% burden to electricity, before STEM efficiency adjustment.</t>
        </is>
      </c>
    </row>
    <row r="3240">
      <c r="A3240" t="inlineStr">
        <is>
          <t>DOC, Dissolved Organic Carbon</t>
        </is>
      </c>
      <c r="B3240">
        <v>0.00044851034482758624</v>
      </c>
      <c r="D3240" t="inlineStr">
        <is>
          <t>kilogram</t>
        </is>
      </c>
      <c r="E3240" t="inlineStr">
        <is>
          <t>water::surface water</t>
        </is>
      </c>
      <c r="F3240" t="inlineStr">
        <is>
          <t>biosphere</t>
        </is>
      </c>
      <c r="G3240" t="inlineStr">
        <is>
          <t>Electricity-only proxy: source amount / 0.29; 100% burden to electricity, before STEM efficiency adjustment.</t>
        </is>
      </c>
    </row>
    <row r="3241">
      <c r="A3241" t="inlineStr">
        <is>
          <t>Fluoride</t>
        </is>
      </c>
      <c r="B3241">
        <v>0.0011113209549071619</v>
      </c>
      <c r="D3241" t="inlineStr">
        <is>
          <t>kilogram</t>
        </is>
      </c>
      <c r="E3241" t="inlineStr">
        <is>
          <t>water::ground-, long-term</t>
        </is>
      </c>
      <c r="F3241" t="inlineStr">
        <is>
          <t>biosphere</t>
        </is>
      </c>
      <c r="G3241" t="inlineStr">
        <is>
          <t>Electricity-only proxy: source amount / 0.29; 100% burden to electricity, before STEM efficiency adjustment.</t>
        </is>
      </c>
    </row>
    <row r="3242">
      <c r="A3242" t="inlineStr">
        <is>
          <t>Fluoride</t>
        </is>
      </c>
      <c r="B3242">
        <v>0.0004848159151193635</v>
      </c>
      <c r="D3242" t="inlineStr">
        <is>
          <t>kilogram</t>
        </is>
      </c>
      <c r="E3242" t="inlineStr">
        <is>
          <t>water::surface water</t>
        </is>
      </c>
      <c r="F3242" t="inlineStr">
        <is>
          <t>biosphere</t>
        </is>
      </c>
      <c r="G3242" t="inlineStr">
        <is>
          <t>Electricity-only proxy: source amount / 0.29; 100% burden to electricity, before STEM efficiency adjustment.</t>
        </is>
      </c>
    </row>
    <row r="3243">
      <c r="A3243" t="inlineStr">
        <is>
          <t>Heat, waste</t>
        </is>
      </c>
      <c r="B3243">
        <v>14.238620689655177</v>
      </c>
      <c r="D3243" t="inlineStr">
        <is>
          <t>megajoule</t>
        </is>
      </c>
      <c r="E3243" t="inlineStr">
        <is>
          <t>water::surface water</t>
        </is>
      </c>
      <c r="F3243" t="inlineStr">
        <is>
          <t>biosphere</t>
        </is>
      </c>
      <c r="G3243" t="inlineStr">
        <is>
          <t>Electricity-only proxy: source amount / 0.29; 100% burden to electricity, before STEM efficiency adjustment.</t>
        </is>
      </c>
    </row>
    <row r="3244">
      <c r="A3244" t="inlineStr">
        <is>
          <t>Iodide</t>
        </is>
      </c>
      <c r="B3244">
        <v>8.591013262599472e-15</v>
      </c>
      <c r="D3244" t="inlineStr">
        <is>
          <t>kilogram</t>
        </is>
      </c>
      <c r="E3244" t="inlineStr">
        <is>
          <t>water::ground-, long-term</t>
        </is>
      </c>
      <c r="F3244" t="inlineStr">
        <is>
          <t>biosphere</t>
        </is>
      </c>
      <c r="G3244" t="inlineStr">
        <is>
          <t>Electricity-only proxy: source amount / 0.29; 100% burden to electricity, before STEM efficiency adjustment.</t>
        </is>
      </c>
    </row>
    <row r="3245">
      <c r="A3245" t="inlineStr">
        <is>
          <t>Iodide</t>
        </is>
      </c>
      <c r="B3245">
        <v>4.467915119363397e-07</v>
      </c>
      <c r="D3245" t="inlineStr">
        <is>
          <t>kilogram</t>
        </is>
      </c>
      <c r="E3245" t="inlineStr">
        <is>
          <t>water::surface water</t>
        </is>
      </c>
      <c r="F3245" t="inlineStr">
        <is>
          <t>biosphere</t>
        </is>
      </c>
      <c r="G3245" t="inlineStr">
        <is>
          <t>Electricity-only proxy: source amount / 0.29; 100% burden to electricity, before STEM efficiency adjustment.</t>
        </is>
      </c>
    </row>
    <row r="3246">
      <c r="A3246" t="inlineStr">
        <is>
          <t>Iron ion</t>
        </is>
      </c>
      <c r="B3246">
        <v>0.0025628753315649873</v>
      </c>
      <c r="D3246" t="inlineStr">
        <is>
          <t>kilogram</t>
        </is>
      </c>
      <c r="E3246" t="inlineStr">
        <is>
          <t>water::ground-, long-term</t>
        </is>
      </c>
      <c r="F3246" t="inlineStr">
        <is>
          <t>biosphere</t>
        </is>
      </c>
      <c r="G3246" t="inlineStr">
        <is>
          <t>Electricity-only proxy: source amount / 0.29; 100% burden to electricity, before STEM efficiency adjustment.</t>
        </is>
      </c>
    </row>
    <row r="3247">
      <c r="A3247" t="inlineStr">
        <is>
          <t>Iron ion</t>
        </is>
      </c>
      <c r="B3247">
        <v>1.0520212201591512e-07</v>
      </c>
      <c r="D3247" t="inlineStr">
        <is>
          <t>kilogram</t>
        </is>
      </c>
      <c r="E3247" t="inlineStr">
        <is>
          <t>water::surface water</t>
        </is>
      </c>
      <c r="F3247" t="inlineStr">
        <is>
          <t>biosphere</t>
        </is>
      </c>
      <c r="G3247" t="inlineStr">
        <is>
          <t>Electricity-only proxy: source amount / 0.29; 100% burden to electricity, before STEM efficiency adjustment.</t>
        </is>
      </c>
    </row>
    <row r="3248">
      <c r="A3248" t="inlineStr">
        <is>
          <t>Lead II</t>
        </is>
      </c>
      <c r="B3248">
        <v>0.00010884031830238728</v>
      </c>
      <c r="D3248" t="inlineStr">
        <is>
          <t>kilogram</t>
        </is>
      </c>
      <c r="E3248" t="inlineStr">
        <is>
          <t>water::ground-, long-term</t>
        </is>
      </c>
      <c r="F3248" t="inlineStr">
        <is>
          <t>biosphere</t>
        </is>
      </c>
      <c r="G3248" t="inlineStr">
        <is>
          <t>Electricity-only proxy: source amount / 0.29; 100% burden to electricity, before STEM efficiency adjustment.</t>
        </is>
      </c>
    </row>
    <row r="3249">
      <c r="A3249" t="inlineStr">
        <is>
          <t>Lead II</t>
        </is>
      </c>
      <c r="B3249">
        <v>1.0532625994694962e-08</v>
      </c>
      <c r="D3249" t="inlineStr">
        <is>
          <t>kilogram</t>
        </is>
      </c>
      <c r="E3249" t="inlineStr">
        <is>
          <t>water::surface water</t>
        </is>
      </c>
      <c r="F3249" t="inlineStr">
        <is>
          <t>biosphere</t>
        </is>
      </c>
      <c r="G3249" t="inlineStr">
        <is>
          <t>Electricity-only proxy: source amount / 0.29; 100% burden to electricity, before STEM efficiency adjustment.</t>
        </is>
      </c>
    </row>
    <row r="3250">
      <c r="A3250" t="inlineStr">
        <is>
          <t>Magnesium</t>
        </is>
      </c>
      <c r="B3250">
        <v>0.021875013262599472</v>
      </c>
      <c r="D3250" t="inlineStr">
        <is>
          <t>kilogram</t>
        </is>
      </c>
      <c r="E3250" t="inlineStr">
        <is>
          <t>water::ground-, long-term</t>
        </is>
      </c>
      <c r="F3250" t="inlineStr">
        <is>
          <t>biosphere</t>
        </is>
      </c>
      <c r="G3250" t="inlineStr">
        <is>
          <t>Electricity-only proxy: source amount / 0.29; 100% burden to electricity, before STEM efficiency adjustment.</t>
        </is>
      </c>
    </row>
    <row r="3251">
      <c r="A3251" t="inlineStr">
        <is>
          <t>Magnesium</t>
        </is>
      </c>
      <c r="B3251">
        <v>0.00017783236074270562</v>
      </c>
      <c r="D3251" t="inlineStr">
        <is>
          <t>kilogram</t>
        </is>
      </c>
      <c r="E3251" t="inlineStr">
        <is>
          <t>water::surface water</t>
        </is>
      </c>
      <c r="F3251" t="inlineStr">
        <is>
          <t>biosphere</t>
        </is>
      </c>
      <c r="G3251" t="inlineStr">
        <is>
          <t>Electricity-only proxy: source amount / 0.29; 100% burden to electricity, before STEM efficiency adjustment.</t>
        </is>
      </c>
    </row>
    <row r="3252">
      <c r="A3252" t="inlineStr">
        <is>
          <t>Manganese II</t>
        </is>
      </c>
      <c r="B3252">
        <v>2.846196286472149e-05</v>
      </c>
      <c r="D3252" t="inlineStr">
        <is>
          <t>kilogram</t>
        </is>
      </c>
      <c r="E3252" t="inlineStr">
        <is>
          <t>water::ground-, long-term</t>
        </is>
      </c>
      <c r="F3252" t="inlineStr">
        <is>
          <t>biosphere</t>
        </is>
      </c>
      <c r="G3252" t="inlineStr">
        <is>
          <t>Electricity-only proxy: source amount / 0.29; 100% burden to electricity, before STEM efficiency adjustment.</t>
        </is>
      </c>
    </row>
    <row r="3253">
      <c r="A3253" t="inlineStr">
        <is>
          <t>Manganese II</t>
        </is>
      </c>
      <c r="B3253">
        <v>4.487395225464193e-09</v>
      </c>
      <c r="D3253" t="inlineStr">
        <is>
          <t>kilogram</t>
        </is>
      </c>
      <c r="E3253" t="inlineStr">
        <is>
          <t>water::surface water</t>
        </is>
      </c>
      <c r="F3253" t="inlineStr">
        <is>
          <t>biosphere</t>
        </is>
      </c>
      <c r="G3253" t="inlineStr">
        <is>
          <t>Electricity-only proxy: source amount / 0.29; 100% burden to electricity, before STEM efficiency adjustment.</t>
        </is>
      </c>
    </row>
    <row r="3254">
      <c r="A3254" t="inlineStr">
        <is>
          <t>Mercury II</t>
        </is>
      </c>
      <c r="B3254">
        <v>1.2249549071618038e-07</v>
      </c>
      <c r="D3254" t="inlineStr">
        <is>
          <t>kilogram</t>
        </is>
      </c>
      <c r="E3254" t="inlineStr">
        <is>
          <t>water::ground-, long-term</t>
        </is>
      </c>
      <c r="F3254" t="inlineStr">
        <is>
          <t>biosphere</t>
        </is>
      </c>
      <c r="G3254" t="inlineStr">
        <is>
          <t>Electricity-only proxy: source amount / 0.29; 100% burden to electricity, before STEM efficiency adjustment.</t>
        </is>
      </c>
    </row>
    <row r="3255">
      <c r="A3255" t="inlineStr">
        <is>
          <t>Mercury II</t>
        </is>
      </c>
      <c r="B3255">
        <v>3.1023978779840856e-09</v>
      </c>
      <c r="D3255" t="inlineStr">
        <is>
          <t>kilogram</t>
        </is>
      </c>
      <c r="E3255" t="inlineStr">
        <is>
          <t>water::surface water</t>
        </is>
      </c>
      <c r="F3255" t="inlineStr">
        <is>
          <t>biosphere</t>
        </is>
      </c>
      <c r="G3255" t="inlineStr">
        <is>
          <t>Electricity-only proxy: source amount / 0.29; 100% burden to electricity, before STEM efficiency adjustment.</t>
        </is>
      </c>
    </row>
    <row r="3256">
      <c r="A3256" t="inlineStr">
        <is>
          <t>Molybdenum VI</t>
        </is>
      </c>
      <c r="B3256">
        <v>2.5686047745358093e-06</v>
      </c>
      <c r="D3256" t="inlineStr">
        <is>
          <t>kilogram</t>
        </is>
      </c>
      <c r="E3256" t="inlineStr">
        <is>
          <t>water::ground-, long-term</t>
        </is>
      </c>
      <c r="F3256" t="inlineStr">
        <is>
          <t>biosphere</t>
        </is>
      </c>
      <c r="G3256" t="inlineStr">
        <is>
          <t>Electricity-only proxy: source amount / 0.29; 100% burden to electricity, before STEM efficiency adjustment.</t>
        </is>
      </c>
    </row>
    <row r="3257">
      <c r="A3257" t="inlineStr">
        <is>
          <t>Molybdenum VI</t>
        </is>
      </c>
      <c r="B3257">
        <v>5.543522546419099e-07</v>
      </c>
      <c r="D3257" t="inlineStr">
        <is>
          <t>kilogram</t>
        </is>
      </c>
      <c r="E3257" t="inlineStr">
        <is>
          <t>water::surface water</t>
        </is>
      </c>
      <c r="F3257" t="inlineStr">
        <is>
          <t>biosphere</t>
        </is>
      </c>
      <c r="G3257" t="inlineStr">
        <is>
          <t>Electricity-only proxy: source amount / 0.29; 100% burden to electricity, before STEM efficiency adjustment.</t>
        </is>
      </c>
    </row>
    <row r="3258">
      <c r="A3258" t="inlineStr">
        <is>
          <t>Nickel II</t>
        </is>
      </c>
      <c r="B3258">
        <v>4.455023872679046e-05</v>
      </c>
      <c r="D3258" t="inlineStr">
        <is>
          <t>kilogram</t>
        </is>
      </c>
      <c r="E3258" t="inlineStr">
        <is>
          <t>water::ground-, long-term</t>
        </is>
      </c>
      <c r="F3258" t="inlineStr">
        <is>
          <t>biosphere</t>
        </is>
      </c>
      <c r="G3258" t="inlineStr">
        <is>
          <t>Electricity-only proxy: source amount / 0.29; 100% burden to electricity, before STEM efficiency adjustment.</t>
        </is>
      </c>
    </row>
    <row r="3259">
      <c r="A3259" t="inlineStr">
        <is>
          <t>Nickel II</t>
        </is>
      </c>
      <c r="B3259">
        <v>3.05723076923077e-08</v>
      </c>
      <c r="D3259" t="inlineStr">
        <is>
          <t>kilogram</t>
        </is>
      </c>
      <c r="E3259" t="inlineStr">
        <is>
          <t>water::surface water</t>
        </is>
      </c>
      <c r="F3259" t="inlineStr">
        <is>
          <t>biosphere</t>
        </is>
      </c>
      <c r="G3259" t="inlineStr">
        <is>
          <t>Electricity-only proxy: source amount / 0.29; 100% burden to electricity, before STEM efficiency adjustment.</t>
        </is>
      </c>
    </row>
    <row r="3260">
      <c r="A3260" t="inlineStr">
        <is>
          <t>Nitrate</t>
        </is>
      </c>
      <c r="B3260">
        <v>0.0011948753315649868</v>
      </c>
      <c r="D3260" t="inlineStr">
        <is>
          <t>kilogram</t>
        </is>
      </c>
      <c r="E3260" t="inlineStr">
        <is>
          <t>water::ground-, long-term</t>
        </is>
      </c>
      <c r="F3260" t="inlineStr">
        <is>
          <t>biosphere</t>
        </is>
      </c>
      <c r="G3260" t="inlineStr">
        <is>
          <t>Electricity-only proxy: source amount / 0.29; 100% burden to electricity, before STEM efficiency adjustment.</t>
        </is>
      </c>
    </row>
    <row r="3261">
      <c r="A3261" t="inlineStr">
        <is>
          <t>Nitrate</t>
        </is>
      </c>
      <c r="B3261">
        <v>0.00042802758620689665</v>
      </c>
      <c r="D3261" t="inlineStr">
        <is>
          <t>kilogram</t>
        </is>
      </c>
      <c r="E3261" t="inlineStr">
        <is>
          <t>water::surface water</t>
        </is>
      </c>
      <c r="F3261" t="inlineStr">
        <is>
          <t>biosphere</t>
        </is>
      </c>
      <c r="G3261" t="inlineStr">
        <is>
          <t>Electricity-only proxy: source amount / 0.29; 100% burden to electricity, before STEM efficiency adjustment.</t>
        </is>
      </c>
    </row>
    <row r="3262">
      <c r="A3262" t="inlineStr">
        <is>
          <t>Phosphate</t>
        </is>
      </c>
      <c r="B3262">
        <v>0.0008464392572944297</v>
      </c>
      <c r="D3262" t="inlineStr">
        <is>
          <t>kilogram</t>
        </is>
      </c>
      <c r="E3262" t="inlineStr">
        <is>
          <t>water::ground-, long-term</t>
        </is>
      </c>
      <c r="F3262" t="inlineStr">
        <is>
          <t>biosphere</t>
        </is>
      </c>
      <c r="G3262" t="inlineStr">
        <is>
          <t>Electricity-only proxy: source amount / 0.29; 100% burden to electricity, before STEM efficiency adjustment.</t>
        </is>
      </c>
    </row>
    <row r="3263">
      <c r="A3263" t="inlineStr">
        <is>
          <t>Phosphate</t>
        </is>
      </c>
      <c r="B3263">
        <v>1.4013262599469499e-05</v>
      </c>
      <c r="D3263" t="inlineStr">
        <is>
          <t>kilogram</t>
        </is>
      </c>
      <c r="E3263" t="inlineStr">
        <is>
          <t>water::surface water</t>
        </is>
      </c>
      <c r="F3263" t="inlineStr">
        <is>
          <t>biosphere</t>
        </is>
      </c>
      <c r="G3263" t="inlineStr">
        <is>
          <t>Electricity-only proxy: source amount / 0.29; 100% burden to electricity, before STEM efficiency adjustment.</t>
        </is>
      </c>
    </row>
    <row r="3264">
      <c r="A3264" t="inlineStr">
        <is>
          <t>Potassium I</t>
        </is>
      </c>
      <c r="B3264">
        <v>0.02091724137931035</v>
      </c>
      <c r="D3264" t="inlineStr">
        <is>
          <t>kilogram</t>
        </is>
      </c>
      <c r="E3264" t="inlineStr">
        <is>
          <t>water::ground-, long-term</t>
        </is>
      </c>
      <c r="F3264" t="inlineStr">
        <is>
          <t>biosphere</t>
        </is>
      </c>
      <c r="G3264" t="inlineStr">
        <is>
          <t>Electricity-only proxy: source amount / 0.29; 100% burden to electricity, before STEM efficiency adjustment.</t>
        </is>
      </c>
    </row>
    <row r="3265">
      <c r="A3265" t="inlineStr">
        <is>
          <t>Potassium I</t>
        </is>
      </c>
      <c r="B3265">
        <v>0.007904816976127323</v>
      </c>
      <c r="D3265" t="inlineStr">
        <is>
          <t>kilogram</t>
        </is>
      </c>
      <c r="E3265" t="inlineStr">
        <is>
          <t>water::surface water</t>
        </is>
      </c>
      <c r="F3265" t="inlineStr">
        <is>
          <t>biosphere</t>
        </is>
      </c>
      <c r="G3265" t="inlineStr">
        <is>
          <t>Electricity-only proxy: source amount / 0.29; 100% burden to electricity, before STEM efficiency adjustment.</t>
        </is>
      </c>
    </row>
    <row r="3266">
      <c r="A3266" t="inlineStr">
        <is>
          <t>Selenium IV</t>
        </is>
      </c>
      <c r="B3266">
        <v>3.194164456233422e-06</v>
      </c>
      <c r="D3266" t="inlineStr">
        <is>
          <t>kilogram</t>
        </is>
      </c>
      <c r="E3266" t="inlineStr">
        <is>
          <t>water::ground-, long-term</t>
        </is>
      </c>
      <c r="F3266" t="inlineStr">
        <is>
          <t>biosphere</t>
        </is>
      </c>
      <c r="G3266" t="inlineStr">
        <is>
          <t>Electricity-only proxy: source amount / 0.29; 100% burden to electricity, before STEM efficiency adjustment.</t>
        </is>
      </c>
    </row>
    <row r="3267">
      <c r="A3267" t="inlineStr">
        <is>
          <t>Selenium IV</t>
        </is>
      </c>
      <c r="B3267">
        <v>8.293177718832893e-07</v>
      </c>
      <c r="D3267" t="inlineStr">
        <is>
          <t>kilogram</t>
        </is>
      </c>
      <c r="E3267" t="inlineStr">
        <is>
          <t>water::surface water</t>
        </is>
      </c>
      <c r="F3267" t="inlineStr">
        <is>
          <t>biosphere</t>
        </is>
      </c>
      <c r="G3267" t="inlineStr">
        <is>
          <t>Electricity-only proxy: source amount / 0.29; 100% burden to electricity, before STEM efficiency adjustment.</t>
        </is>
      </c>
    </row>
    <row r="3268">
      <c r="A3268" t="inlineStr">
        <is>
          <t>Silicon</t>
        </is>
      </c>
      <c r="B3268">
        <v>0.024588859416445626</v>
      </c>
      <c r="D3268" t="inlineStr">
        <is>
          <t>kilogram</t>
        </is>
      </c>
      <c r="E3268" t="inlineStr">
        <is>
          <t>water::ground-, long-term</t>
        </is>
      </c>
      <c r="F3268" t="inlineStr">
        <is>
          <t>biosphere</t>
        </is>
      </c>
      <c r="G3268" t="inlineStr">
        <is>
          <t>Electricity-only proxy: source amount / 0.29; 100% burden to electricity, before STEM efficiency adjustment.</t>
        </is>
      </c>
    </row>
    <row r="3269">
      <c r="A3269" t="inlineStr">
        <is>
          <t>Silicon</t>
        </is>
      </c>
      <c r="B3269">
        <v>7.89116180371353e-05</v>
      </c>
      <c r="D3269" t="inlineStr">
        <is>
          <t>kilogram</t>
        </is>
      </c>
      <c r="E3269" t="inlineStr">
        <is>
          <t>water::surface water</t>
        </is>
      </c>
      <c r="F3269" t="inlineStr">
        <is>
          <t>biosphere</t>
        </is>
      </c>
      <c r="G3269" t="inlineStr">
        <is>
          <t>Electricity-only proxy: source amount / 0.29; 100% burden to electricity, before STEM efficiency adjustment.</t>
        </is>
      </c>
    </row>
    <row r="3270">
      <c r="A3270" t="inlineStr">
        <is>
          <t>Sodium I</t>
        </is>
      </c>
      <c r="B3270">
        <v>0.00817667904509284</v>
      </c>
      <c r="D3270" t="inlineStr">
        <is>
          <t>kilogram</t>
        </is>
      </c>
      <c r="E3270" t="inlineStr">
        <is>
          <t>water::ground-, long-term</t>
        </is>
      </c>
      <c r="F3270" t="inlineStr">
        <is>
          <t>biosphere</t>
        </is>
      </c>
      <c r="G3270" t="inlineStr">
        <is>
          <t>Electricity-only proxy: source amount / 0.29; 100% burden to electricity, before STEM efficiency adjustment.</t>
        </is>
      </c>
    </row>
    <row r="3271">
      <c r="A3271" t="inlineStr">
        <is>
          <t>Sodium I</t>
        </is>
      </c>
      <c r="B3271">
        <v>0.00411154376657825</v>
      </c>
      <c r="D3271" t="inlineStr">
        <is>
          <t>kilogram</t>
        </is>
      </c>
      <c r="E3271" t="inlineStr">
        <is>
          <t>water::surface water</t>
        </is>
      </c>
      <c r="F3271" t="inlineStr">
        <is>
          <t>biosphere</t>
        </is>
      </c>
      <c r="G3271" t="inlineStr">
        <is>
          <t>Electricity-only proxy: source amount / 0.29; 100% burden to electricity, before STEM efficiency adjustment.</t>
        </is>
      </c>
    </row>
    <row r="3272">
      <c r="A3272" t="inlineStr">
        <is>
          <t>Sulfate</t>
        </is>
      </c>
      <c r="B3272">
        <v>0.029856127320954915</v>
      </c>
      <c r="D3272" t="inlineStr">
        <is>
          <t>kilogram</t>
        </is>
      </c>
      <c r="E3272" t="inlineStr">
        <is>
          <t>water::ground-, long-term</t>
        </is>
      </c>
      <c r="F3272" t="inlineStr">
        <is>
          <t>biosphere</t>
        </is>
      </c>
      <c r="G3272" t="inlineStr">
        <is>
          <t>Electricity-only proxy: source amount / 0.29; 100% burden to electricity, before STEM efficiency adjustment.</t>
        </is>
      </c>
    </row>
    <row r="3273">
      <c r="A3273" t="inlineStr">
        <is>
          <t>Sulfate</t>
        </is>
      </c>
      <c r="B3273">
        <v>0.005102832891246686</v>
      </c>
      <c r="D3273" t="inlineStr">
        <is>
          <t>kilogram</t>
        </is>
      </c>
      <c r="E3273" t="inlineStr">
        <is>
          <t>water::surface water</t>
        </is>
      </c>
      <c r="F3273" t="inlineStr">
        <is>
          <t>biosphere</t>
        </is>
      </c>
      <c r="G3273" t="inlineStr">
        <is>
          <t>Electricity-only proxy: source amount / 0.29; 100% burden to electricity, before STEM efficiency adjustment.</t>
        </is>
      </c>
    </row>
    <row r="3274">
      <c r="A3274" t="inlineStr">
        <is>
          <t>TOC, Total Organic Carbon</t>
        </is>
      </c>
      <c r="B3274">
        <v>0.003966302387267905</v>
      </c>
      <c r="D3274" t="inlineStr">
        <is>
          <t>kilogram</t>
        </is>
      </c>
      <c r="E3274" t="inlineStr">
        <is>
          <t>water::ground-, long-term</t>
        </is>
      </c>
      <c r="F3274" t="inlineStr">
        <is>
          <t>biosphere</t>
        </is>
      </c>
      <c r="G3274" t="inlineStr">
        <is>
          <t>Electricity-only proxy: source amount / 0.29; 100% burden to electricity, before STEM efficiency adjustment.</t>
        </is>
      </c>
    </row>
    <row r="3275">
      <c r="A3275" t="inlineStr">
        <is>
          <t>TOC, Total Organic Carbon</t>
        </is>
      </c>
      <c r="B3275">
        <v>0.00044851034482758624</v>
      </c>
      <c r="D3275" t="inlineStr">
        <is>
          <t>kilogram</t>
        </is>
      </c>
      <c r="E3275" t="inlineStr">
        <is>
          <t>water::surface water</t>
        </is>
      </c>
      <c r="F3275" t="inlineStr">
        <is>
          <t>biosphere</t>
        </is>
      </c>
      <c r="G3275" t="inlineStr">
        <is>
          <t>Electricity-only proxy: source amount / 0.29; 100% burden to electricity, before STEM efficiency adjustment.</t>
        </is>
      </c>
    </row>
    <row r="3276">
      <c r="A3276" t="inlineStr">
        <is>
          <t>Thallium I</t>
        </is>
      </c>
      <c r="B3276">
        <v>9.425029177718834e-09</v>
      </c>
      <c r="D3276" t="inlineStr">
        <is>
          <t>kilogram</t>
        </is>
      </c>
      <c r="E3276" t="inlineStr">
        <is>
          <t>water::ground-, long-term</t>
        </is>
      </c>
      <c r="F3276" t="inlineStr">
        <is>
          <t>biosphere</t>
        </is>
      </c>
      <c r="G3276" t="inlineStr">
        <is>
          <t>Electricity-only proxy: source amount / 0.29; 100% burden to electricity, before STEM efficiency adjustment.</t>
        </is>
      </c>
    </row>
    <row r="3277">
      <c r="A3277" t="inlineStr">
        <is>
          <t>Thallium I</t>
        </is>
      </c>
      <c r="B3277">
        <v>1.5734960212201593e-11</v>
      </c>
      <c r="D3277" t="inlineStr">
        <is>
          <t>kilogram</t>
        </is>
      </c>
      <c r="E3277" t="inlineStr">
        <is>
          <t>water::surface water</t>
        </is>
      </c>
      <c r="F3277" t="inlineStr">
        <is>
          <t>biosphere</t>
        </is>
      </c>
      <c r="G3277" t="inlineStr">
        <is>
          <t>Electricity-only proxy: source amount / 0.29; 100% burden to electricity, before STEM efficiency adjustment.</t>
        </is>
      </c>
    </row>
    <row r="3278">
      <c r="A3278" t="inlineStr">
        <is>
          <t>Tin ion</t>
        </is>
      </c>
      <c r="B3278">
        <v>4.420265251989391e-05</v>
      </c>
      <c r="D3278" t="inlineStr">
        <is>
          <t>kilogram</t>
        </is>
      </c>
      <c r="E3278" t="inlineStr">
        <is>
          <t>water::ground-, long-term</t>
        </is>
      </c>
      <c r="F3278" t="inlineStr">
        <is>
          <t>biosphere</t>
        </is>
      </c>
      <c r="G3278" t="inlineStr">
        <is>
          <t>Electricity-only proxy: source amount / 0.29; 100% burden to electricity, before STEM efficiency adjustment.</t>
        </is>
      </c>
    </row>
    <row r="3279">
      <c r="A3279" t="inlineStr">
        <is>
          <t>Tin ion</t>
        </is>
      </c>
      <c r="B3279">
        <v>6.020594164456234e-08</v>
      </c>
      <c r="D3279" t="inlineStr">
        <is>
          <t>kilogram</t>
        </is>
      </c>
      <c r="E3279" t="inlineStr">
        <is>
          <t>water::surface water</t>
        </is>
      </c>
      <c r="F3279" t="inlineStr">
        <is>
          <t>biosphere</t>
        </is>
      </c>
      <c r="G3279" t="inlineStr">
        <is>
          <t>Electricity-only proxy: source amount / 0.29; 100% burden to electricity, before STEM efficiency adjustment.</t>
        </is>
      </c>
    </row>
    <row r="3280">
      <c r="A3280" t="inlineStr">
        <is>
          <t>Vanadium V</t>
        </is>
      </c>
      <c r="B3280">
        <v>9.75533156498674e-06</v>
      </c>
      <c r="D3280" t="inlineStr">
        <is>
          <t>kilogram</t>
        </is>
      </c>
      <c r="E3280" t="inlineStr">
        <is>
          <t>water::ground-, long-term</t>
        </is>
      </c>
      <c r="F3280" t="inlineStr">
        <is>
          <t>biosphere</t>
        </is>
      </c>
      <c r="G3280" t="inlineStr">
        <is>
          <t>Electricity-only proxy: source amount / 0.29; 100% burden to electricity, before STEM efficiency adjustment.</t>
        </is>
      </c>
    </row>
    <row r="3281">
      <c r="A3281" t="inlineStr">
        <is>
          <t>Vanadium V</t>
        </is>
      </c>
      <c r="B3281">
        <v>3.6682758620689664e-08</v>
      </c>
      <c r="D3281" t="inlineStr">
        <is>
          <t>kilogram</t>
        </is>
      </c>
      <c r="E3281" t="inlineStr">
        <is>
          <t>water::surface water</t>
        </is>
      </c>
      <c r="F3281" t="inlineStr">
        <is>
          <t>biosphere</t>
        </is>
      </c>
      <c r="G3281" t="inlineStr">
        <is>
          <t>Electricity-only proxy: source amount / 0.29; 100% burden to electricity, before STEM efficiency adjustment.</t>
        </is>
      </c>
    </row>
    <row r="3282">
      <c r="A3282" t="inlineStr">
        <is>
          <t>Water</t>
        </is>
      </c>
      <c r="B3282">
        <v>0.0027719618037135283</v>
      </c>
      <c r="D3282" t="inlineStr">
        <is>
          <t>cubic meter</t>
        </is>
      </c>
      <c r="E3282" t="inlineStr">
        <is>
          <t>water::surface water</t>
        </is>
      </c>
      <c r="F3282" t="inlineStr">
        <is>
          <t>biosphere</t>
        </is>
      </c>
      <c r="G3282" t="inlineStr">
        <is>
          <t>Electricity-only proxy: source amount / 0.29; 100% burden to electricity, before STEM efficiency adjustment.</t>
        </is>
      </c>
    </row>
    <row r="3283">
      <c r="A3283" t="inlineStr">
        <is>
          <t>Zinc II</t>
        </is>
      </c>
      <c r="B3283">
        <v>0.00021783342175066316</v>
      </c>
      <c r="D3283" t="inlineStr">
        <is>
          <t>kilogram</t>
        </is>
      </c>
      <c r="E3283" t="inlineStr">
        <is>
          <t>water::ground-, long-term</t>
        </is>
      </c>
      <c r="F3283" t="inlineStr">
        <is>
          <t>biosphere</t>
        </is>
      </c>
      <c r="G3283" t="inlineStr">
        <is>
          <t>Electricity-only proxy: source amount / 0.29; 100% burden to electricity, before STEM efficiency adjustment.</t>
        </is>
      </c>
    </row>
    <row r="3284">
      <c r="A3284" t="inlineStr">
        <is>
          <t>Zinc II</t>
        </is>
      </c>
      <c r="B3284">
        <v>2.967755968169762e-08</v>
      </c>
      <c r="D3284" t="inlineStr">
        <is>
          <t>kilogram</t>
        </is>
      </c>
      <c r="E3284" t="inlineStr">
        <is>
          <t>water::surface water</t>
        </is>
      </c>
      <c r="F3284" t="inlineStr">
        <is>
          <t>biosphere</t>
        </is>
      </c>
      <c r="G3284" t="inlineStr">
        <is>
          <t>Electricity-only proxy: source amount / 0.29; 100% burden to electricity, before STEM efficiency adjustment.</t>
        </is>
      </c>
    </row>
    <row r="3285">
      <c r="A3285" t="inlineStr">
        <is>
          <t>Oxygen</t>
        </is>
      </c>
      <c r="B3285">
        <v>4.589092838196287</v>
      </c>
      <c r="D3285" t="inlineStr">
        <is>
          <t>kilogram</t>
        </is>
      </c>
      <c r="E3285" t="inlineStr">
        <is>
          <t>natural resource::in air</t>
        </is>
      </c>
      <c r="F3285" t="inlineStr">
        <is>
          <t>biosphere</t>
        </is>
      </c>
      <c r="G3285" t="inlineStr">
        <is>
          <t>Electricity-only proxy: source amount / 0.29; 100% burden to electricity, before STEM efficiency adjustment.</t>
        </is>
      </c>
    </row>
    <row r="3286">
      <c r="A3286" t="inlineStr">
        <is>
          <t>Energy, gross calorific value, in biomass</t>
        </is>
      </c>
      <c r="B3286">
        <v>15.950000000000003</v>
      </c>
      <c r="D3286" t="inlineStr">
        <is>
          <t>megajoule</t>
        </is>
      </c>
      <c r="E3286" t="inlineStr">
        <is>
          <t>natural resource::biotic</t>
        </is>
      </c>
      <c r="F3286" t="inlineStr">
        <is>
          <t>biosphere</t>
        </is>
      </c>
      <c r="G3286" t="inlineStr">
        <is>
          <t>Electricity-only proxy: source amount / 0.29; 100% burden to electricity, before STEM efficiency adjustment.</t>
        </is>
      </c>
    </row>
    <row r="3287"/>
    <row r="3288"/>
    <row r="3289">
      <c r="A3289" t="inlineStr">
        <is>
          <t>Activity</t>
        </is>
      </c>
      <c r="B3289" t="inlineStr">
        <is>
          <t>electricity, used in light duty vehicle</t>
        </is>
      </c>
    </row>
    <row r="3290">
      <c r="A3290" t="inlineStr">
        <is>
          <t>location</t>
        </is>
      </c>
      <c r="B3290" t="inlineStr">
        <is>
          <t>CH</t>
        </is>
      </c>
    </row>
    <row r="3291">
      <c r="A3291" t="inlineStr">
        <is>
          <t>comment</t>
        </is>
      </c>
      <c r="B3291" t="inlineStr">
        <is>
          <t>Produces consumption of 1 MJ of purchased energy. Representative powertrain carrier: electricity. energy-specific equipment; excludes chassis, body, roads and whole-vehicle maintenance. Source transport, freight, lorry, battery electric, 3.5 metric ton [RER]; 1.44914059638977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750 kg payload, 22660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272000 km. Km per year: 22660 km/year. Tank-to-wheel efficiency: 70.8 \%. Tank-to-wheel energy consumption: 963 kj/km. Fuel consumption: 0.0 l/100km. Electricity consumption: 30.2 kWh/100km. Battery capacity: 133 kWh. Fuel tank capacity: 0.0 kWh. Power share from combustion engine: 0.0 \%. Combustion engine power: 0.0 kW. Electric motor power: 63 kW. Curb mass (excl. driver and cargo): 2459 kg. Driving mass (incl. driver and cargo): 3284 kg. Battery mass: 796 kg. Fuel cell system efficiency: 0.0 \%. Number of passengers onboard: 1.0 passenger(s). Available payload: 965 kg. Payload: 750 kg. Load factor: 77.7 \%. Autonomy on a full tank/battery: 400 km.  Carbon accounting: full-oxidation CO2 plus separately estimated pollutants; not a closed elemental carbon balance.</t>
        </is>
      </c>
    </row>
    <row r="3292">
      <c r="A3292" t="inlineStr">
        <is>
          <t>production amount</t>
        </is>
      </c>
      <c r="B3292">
        <v>1</v>
      </c>
    </row>
    <row r="3293">
      <c r="A3293" t="inlineStr">
        <is>
          <t>reference product</t>
        </is>
      </c>
      <c r="B3293" t="inlineStr">
        <is>
          <t>electricity, low voltage</t>
        </is>
      </c>
    </row>
    <row r="3294">
      <c r="A3294" t="inlineStr">
        <is>
          <t>type</t>
        </is>
      </c>
      <c r="B3294" t="inlineStr">
        <is>
          <t>process</t>
        </is>
      </c>
    </row>
    <row r="3295">
      <c r="A3295" t="inlineStr">
        <is>
          <t>unit</t>
        </is>
      </c>
      <c r="B3295" t="inlineStr">
        <is>
          <t>megajoule</t>
        </is>
      </c>
    </row>
    <row r="3296">
      <c r="A3296" t="inlineStr">
        <is>
          <t>energy use source</t>
        </is>
      </c>
      <c r="B3296" t="inlineStr">
        <is>
          <t>{"source": ["transport, freight, lorry, battery electric, 3.5 metric ton", "transport, freight, lorry", "RER", "ton kilometer"], "source unit": "ton kilometer", "purchased MJ per source service": 1.4491405963897703, "boundary": "energy-specific equipment; excludes chassis, body, roads and whole-vehicle maintenance", "retained equipment": [{"supplier": ["EV charger, level 3, plugin, 200 kW, carculator regional truck 2020", "EV charger, level 3, plugin, 200 kW", "RER", "unit"], "amount per vehicle": 0.07202117890119553, "vehicle per source service": 4.901960892311763e-06, "replacement correction factor": 1.0, "amount per MJ": 2.4362370585116933e-07}, {"supplier": ["gearbox, for lorry, carculator regional truck 2020", "gearbox, for lorry", "RER", "kilogram"], "amount per vehicle": 29.73600006103516, "vehicle per source service": 4.901960892311763e-06, "replacement correction factor": 1.0, "amount per MJ": 0.00010058700291477357}, {"supplier": ["power electronics, for lorry, carculator regional truck 2020", "power electronics, for lorry", "RER", "kilogram"], "amount per vehicle": 24, "vehicle per source service": 4.901960892311763e-06, "replacement correction factor": 1.0, "amount per MJ": 8.118402155634537e-05}, {"supplier": ["retarder, for lorry, carculator regional truck 2020", "retarder, for lorry", "RER", "kilogram"], "amount per vehicle": 9.911999702453613, "vehicle per source service": 4.901960892311763e-06, "replacement correction factor": 1.0, "amount per MJ": 3.3528999896270126e-05}, {"supplier": ["transmission, for lorry, carculator regional truck 2020", "transmission, for lorry", "RER", "kilogram"], "amount per vehicle": 42.95199584960938, "vehicle per source service": 4.901960892311763e-06, "replacement correction factor": 1.0, "amount per MJ": 0.00014529232320594773}, {"supplier": ["market for converter, for electric passenger car", "converter, for electric passenger car", "GLO", "kilogram"], "amount per vehicle": 25, "vehicle per source service": 4.901960892311763e-06, "replacement correction factor": 1.0, "amount per MJ": 8.45666891211931e-05}, {"supplier": ["market for electric motor, electric passenger car", "electric motor, electric passenger car", "GLO", "kilogram"], "amount per vehicle": 40.44268035888672, "vehicle per source service": 4.901960892311763e-06, "replacement correction factor": 1.0, "amount per MJ": 0.0001368041430855102}, {"supplier": ["market for inverter, for electric passenger car", "inverter, for electric passenger car", "GLO", "kilogram"], "amount per vehicle": 7.489055156707764, "vehicle per source service": 4.901960892311763e-06, "replacement correction factor": 1.0, "amount per MJ": 2.533298396995094e-05}, {"supplier": ["market for power distribution unit, for electric passenger car", "power distribution unit, for electric passenger car", "GLO", "kilogram"], "amount per vehicle": 4, "vehicle per source service": 4.901960892311763e-06, "replacement correction factor": 1.0, "amount per MJ": 1.3530670259390896e-05}, {"supplier": ["market for battery capacity (MIX scenario)", "electricity storage capacity", "GLO", "kilowatt hour"], "amount per vehicle": 133.8035583496094, "vehicle per source service": 4.901960892311763e-06, "replacement correction factor": 1.0, "amount per MJ": 0.0004526129568904336}], "excluded": [{"supplier": "market for road", "amount per source service": 0.002351631410419941}, {"supplier": "market for road maintenance", "amount per source service": 0.00172}, {"supplier": ["assembly operation, for lorry, carculator regional truck 2020", "assembly operation, for lorry", "RER", "kilogram"], "amount per vehicle": 2459.4013671875, "vehicle per source service": 4.901960892311763e-06}, {"supplier": ["frame, blanks and saddle, for lorry, carculator regional truck 2020", "frame, blanks and saddle, for lorry", "RER", "kilogram"], "amount per vehicle": 703, "vehicle per source service": 4.901960892311763e-06}, {"supplier": ["glider lightweighting, carculator regional truck 2020", "glider lightweighting", "GLO", "kilogram"], "amount per vehicle": 35.15000152587891, "vehicle per source service": 4.901960892311763e-06}, {"supplier": ["other components, for electric lorry, carculator regional truck 2020", "other components, for electric lorry", "RER", "kilogram"], "amount per vehicle": 119, "vehicle per source service": 4.901960892311763e-06}, {"supplier": ["suspension, for lorry, carculator regional truck 2020", "suspension, for lorry", "RER", "kilogram"], "amount per vehicle": 334, "vehicle per source service": 4.901960892311763e-06}, {"supplier": ["tires and wheels, for lorry, carculator regional truck 2020", "tires and wheels, for lorry", "RER", "kilogram"], "amount per vehicle": 194, "vehicle per source service": 4.901960892311763e-06}, {"supplier": ["maintenance, lorry 16 metric ton", "maintenance, lorry 16 metric ton", "CH", "unit"], "amount per vehicle": 0.21875, "vehicle per source service": 4.901960892311763e-06}, {"supplier": ["treatment of used lorry, 16 metric ton", "used lorry, 16 metric ton", "CH", "unit"], "amount per vehicle": -0.21875, "vehicle per source service": 4.901960892311763e-06}], "alternative fuel recipe retained": false}</t>
        </is>
      </c>
    </row>
    <row r="3297">
      <c r="A3297" t="inlineStr">
        <is>
          <t>Exchanges</t>
        </is>
      </c>
    </row>
    <row r="3298">
      <c r="A3298" t="inlineStr">
        <is>
          <t>name</t>
        </is>
      </c>
      <c r="B3298" t="inlineStr">
        <is>
          <t>amount</t>
        </is>
      </c>
      <c r="C3298" t="inlineStr">
        <is>
          <t>location</t>
        </is>
      </c>
      <c r="D3298" t="inlineStr">
        <is>
          <t>unit</t>
        </is>
      </c>
      <c r="E3298" t="inlineStr">
        <is>
          <t>categories</t>
        </is>
      </c>
      <c r="F3298" t="inlineStr">
        <is>
          <t>type</t>
        </is>
      </c>
      <c r="G3298" t="inlineStr">
        <is>
          <t>reference product</t>
        </is>
      </c>
      <c r="H3298" t="inlineStr">
        <is>
          <t>comment</t>
        </is>
      </c>
      <c r="I3298" t="inlineStr">
        <is>
          <t>uncertainty type</t>
        </is>
      </c>
    </row>
    <row r="3299">
      <c r="A3299" t="inlineStr">
        <is>
          <t>electricity, used in light duty vehicle</t>
        </is>
      </c>
      <c r="B3299">
        <v>1.0</v>
      </c>
      <c r="C3299" t="inlineStr">
        <is>
          <t>CH</t>
        </is>
      </c>
      <c r="D3299" t="inlineStr">
        <is>
          <t>megajoule</t>
        </is>
      </c>
      <c r="F3299" t="inlineStr">
        <is>
          <t>production</t>
        </is>
      </c>
      <c r="G3299" t="inlineStr">
        <is>
          <t>electricity, low voltage</t>
        </is>
      </c>
      <c r="I3299">
        <v>0</v>
      </c>
    </row>
    <row r="3300">
      <c r="A3300" t="inlineStr">
        <is>
          <t>market group for electricity, low voltage</t>
        </is>
      </c>
      <c r="B3300">
        <v>0.2777777777777778</v>
      </c>
      <c r="C3300" t="inlineStr">
        <is>
          <t>RER</t>
        </is>
      </c>
      <c r="D3300" t="inlineStr">
        <is>
          <t>kilowatt hour</t>
        </is>
      </c>
      <c r="F3300" t="inlineStr">
        <is>
          <t>technosphere</t>
        </is>
      </c>
      <c r="G3300" t="inlineStr">
        <is>
          <t>electricity, low voltage</t>
        </is>
      </c>
      <c r="H3300" t="inlineStr">
        <is>
          <t>Grid purchase including model charging losses; Premise regional electricity.</t>
        </is>
      </c>
      <c r="I3300">
        <v>0</v>
      </c>
    </row>
    <row r="3301">
      <c r="A3301" t="inlineStr">
        <is>
          <t>market for tetrafluoroethane, R134a</t>
        </is>
      </c>
      <c r="B3301">
        <v>6.900641505932311e-06</v>
      </c>
      <c r="C3301" t="inlineStr">
        <is>
          <t>GLO</t>
        </is>
      </c>
      <c r="D3301" t="inlineStr">
        <is>
          <t>kilogram</t>
        </is>
      </c>
      <c r="F3301" t="inlineStr">
        <is>
          <t>technosphere</t>
        </is>
      </c>
      <c r="G3301" t="inlineStr">
        <is>
          <t>tetrafluoroethane, R134a</t>
        </is>
      </c>
      <c r="I3301">
        <v>0</v>
      </c>
    </row>
    <row r="3302">
      <c r="A3302" t="inlineStr">
        <is>
          <t>treatment of brake wear emissions, lorry</t>
        </is>
      </c>
      <c r="B3302">
        <v>-1.0611843295291073e-05</v>
      </c>
      <c r="C3302" t="inlineStr">
        <is>
          <t>RER</t>
        </is>
      </c>
      <c r="D3302" t="inlineStr">
        <is>
          <t>kilogram</t>
        </is>
      </c>
      <c r="F3302" t="inlineStr">
        <is>
          <t>technosphere</t>
        </is>
      </c>
      <c r="G3302" t="inlineStr">
        <is>
          <t>brake wear emissions, lorry</t>
        </is>
      </c>
      <c r="I3302">
        <v>0</v>
      </c>
    </row>
    <row r="3303">
      <c r="A3303" t="inlineStr">
        <is>
          <t>treatment of road wear emissions, lorry</t>
        </is>
      </c>
      <c r="B3303">
        <v>-2.5273031099827693e-05</v>
      </c>
      <c r="C3303" t="inlineStr">
        <is>
          <t>RER</t>
        </is>
      </c>
      <c r="D3303" t="inlineStr">
        <is>
          <t>kilogram</t>
        </is>
      </c>
      <c r="F3303" t="inlineStr">
        <is>
          <t>technosphere</t>
        </is>
      </c>
      <c r="G3303" t="inlineStr">
        <is>
          <t>road wear emissions, lorry</t>
        </is>
      </c>
      <c r="I3303">
        <v>0</v>
      </c>
    </row>
    <row r="3304">
      <c r="A3304" t="inlineStr">
        <is>
          <t>treatment of tyre wear emissions, lorry</t>
        </is>
      </c>
      <c r="B3304">
        <v>-2.5271252035518102e-05</v>
      </c>
      <c r="C3304" t="inlineStr">
        <is>
          <t>RER</t>
        </is>
      </c>
      <c r="D3304" t="inlineStr">
        <is>
          <t>kilogram</t>
        </is>
      </c>
      <c r="F3304" t="inlineStr">
        <is>
          <t>technosphere</t>
        </is>
      </c>
      <c r="G3304" t="inlineStr">
        <is>
          <t>tyre wear emissions, lorry</t>
        </is>
      </c>
      <c r="I3304">
        <v>0</v>
      </c>
    </row>
    <row r="3305">
      <c r="A3305" t="inlineStr">
        <is>
          <t>1,1,1,2-Tetrafluoroethane</t>
        </is>
      </c>
      <c r="B3305">
        <v>3.1797073728827255e-06</v>
      </c>
      <c r="D3305" t="inlineStr">
        <is>
          <t>kilogram</t>
        </is>
      </c>
      <c r="E3305" t="inlineStr">
        <is>
          <t>air</t>
        </is>
      </c>
      <c r="F3305" t="inlineStr">
        <is>
          <t>biosphere</t>
        </is>
      </c>
      <c r="I3305">
        <v>0</v>
      </c>
    </row>
    <row r="3306">
      <c r="A3306" t="inlineStr">
        <is>
          <t>EV charger, level 3, plugin, 200 kW, carculator regional truck 2020</t>
        </is>
      </c>
      <c r="B3306">
        <v>2.4362370585116933e-07</v>
      </c>
      <c r="C3306" t="inlineStr">
        <is>
          <t>RER</t>
        </is>
      </c>
      <c r="D3306" t="inlineStr">
        <is>
          <t>unit</t>
        </is>
      </c>
      <c r="F3306" t="inlineStr">
        <is>
          <t>technosphere</t>
        </is>
      </c>
      <c r="G3306" t="inlineStr">
        <is>
          <t>EV charger, level 3, plugin, 200 kW</t>
        </is>
      </c>
      <c r="H3306" t="inlineStr">
        <is>
          <t> Energy-use allocation: 0.07202117890119553 * 4.901960892311763e-06 / 1.4491405963897703 MJ per ton kilometer.</t>
        </is>
      </c>
      <c r="I3306">
        <v>0</v>
      </c>
    </row>
    <row r="3307">
      <c r="A3307" t="inlineStr">
        <is>
          <t>gearbox, for lorry, carculator regional truck 2020</t>
        </is>
      </c>
      <c r="B3307">
        <v>0.00010058700291477357</v>
      </c>
      <c r="C3307" t="inlineStr">
        <is>
          <t>RER</t>
        </is>
      </c>
      <c r="D3307" t="inlineStr">
        <is>
          <t>kilogram</t>
        </is>
      </c>
      <c r="F3307" t="inlineStr">
        <is>
          <t>technosphere</t>
        </is>
      </c>
      <c r="G3307" t="inlineStr">
        <is>
          <t>gearbox, for lorry</t>
        </is>
      </c>
      <c r="H3307" t="inlineStr">
        <is>
          <t> Energy-use allocation: 29.73600006103516 * 4.901960892311763e-06 / 1.4491405963897703 MJ per ton kilometer.</t>
        </is>
      </c>
      <c r="I3307">
        <v>0</v>
      </c>
    </row>
    <row r="3308">
      <c r="A3308" t="inlineStr">
        <is>
          <t>power electronics, for lorry, carculator regional truck 2020</t>
        </is>
      </c>
      <c r="B3308">
        <v>8.118402155634537e-05</v>
      </c>
      <c r="C3308" t="inlineStr">
        <is>
          <t>RER</t>
        </is>
      </c>
      <c r="D3308" t="inlineStr">
        <is>
          <t>kilogram</t>
        </is>
      </c>
      <c r="F3308" t="inlineStr">
        <is>
          <t>technosphere</t>
        </is>
      </c>
      <c r="G3308" t="inlineStr">
        <is>
          <t>power electronics, for lorry</t>
        </is>
      </c>
      <c r="H3308" t="inlineStr">
        <is>
          <t> Energy-use allocation: 24 * 4.901960892311763e-06 / 1.4491405963897703 MJ per ton kilometer.</t>
        </is>
      </c>
      <c r="I3308">
        <v>0</v>
      </c>
    </row>
    <row r="3309">
      <c r="A3309" t="inlineStr">
        <is>
          <t>retarder, for lorry, carculator regional truck 2020</t>
        </is>
      </c>
      <c r="B3309">
        <v>3.3528999896270126e-05</v>
      </c>
      <c r="C3309" t="inlineStr">
        <is>
          <t>RER</t>
        </is>
      </c>
      <c r="D3309" t="inlineStr">
        <is>
          <t>kilogram</t>
        </is>
      </c>
      <c r="F3309" t="inlineStr">
        <is>
          <t>technosphere</t>
        </is>
      </c>
      <c r="G3309" t="inlineStr">
        <is>
          <t>retarder, for lorry</t>
        </is>
      </c>
      <c r="H3309" t="inlineStr">
        <is>
          <t> Energy-use allocation: 9.911999702453613 * 4.901960892311763e-06 / 1.4491405963897703 MJ per ton kilometer.</t>
        </is>
      </c>
      <c r="I3309">
        <v>0</v>
      </c>
    </row>
    <row r="3310">
      <c r="A3310" t="inlineStr">
        <is>
          <t>transmission, for lorry, carculator regional truck 2020</t>
        </is>
      </c>
      <c r="B3310">
        <v>0.00014529232320594773</v>
      </c>
      <c r="C3310" t="inlineStr">
        <is>
          <t>RER</t>
        </is>
      </c>
      <c r="D3310" t="inlineStr">
        <is>
          <t>kilogram</t>
        </is>
      </c>
      <c r="F3310" t="inlineStr">
        <is>
          <t>technosphere</t>
        </is>
      </c>
      <c r="G3310" t="inlineStr">
        <is>
          <t>transmission, for lorry</t>
        </is>
      </c>
      <c r="H3310" t="inlineStr">
        <is>
          <t> Energy-use allocation: 42.95199584960938 * 4.901960892311763e-06 / 1.4491405963897703 MJ per ton kilometer.</t>
        </is>
      </c>
      <c r="I3310">
        <v>0</v>
      </c>
    </row>
    <row r="3311">
      <c r="A3311" t="inlineStr">
        <is>
          <t>market for converter, for electric passenger car</t>
        </is>
      </c>
      <c r="B3311">
        <v>8.45666891211931e-05</v>
      </c>
      <c r="C3311" t="inlineStr">
        <is>
          <t>GLO</t>
        </is>
      </c>
      <c r="D3311" t="inlineStr">
        <is>
          <t>kilogram</t>
        </is>
      </c>
      <c r="F3311" t="inlineStr">
        <is>
          <t>technosphere</t>
        </is>
      </c>
      <c r="G3311" t="inlineStr">
        <is>
          <t>converter, for electric passenger car</t>
        </is>
      </c>
      <c r="H3311" t="inlineStr">
        <is>
          <t> Energy-use allocation: 25 * 4.901960892311763e-06 / 1.4491405963897703 MJ per ton kilometer.</t>
        </is>
      </c>
      <c r="I3311">
        <v>0</v>
      </c>
    </row>
    <row r="3312">
      <c r="A3312" t="inlineStr">
        <is>
          <t>market for electric motor, electric passenger car</t>
        </is>
      </c>
      <c r="B3312">
        <v>0.0001368041430855102</v>
      </c>
      <c r="C3312" t="inlineStr">
        <is>
          <t>GLO</t>
        </is>
      </c>
      <c r="D3312" t="inlineStr">
        <is>
          <t>kilogram</t>
        </is>
      </c>
      <c r="F3312" t="inlineStr">
        <is>
          <t>technosphere</t>
        </is>
      </c>
      <c r="G3312" t="inlineStr">
        <is>
          <t>electric motor, electric passenger car</t>
        </is>
      </c>
      <c r="H3312" t="inlineStr">
        <is>
          <t> Energy-use allocation: 40.44268035888672 * 4.901960892311763e-06 / 1.4491405963897703 MJ per ton kilometer.</t>
        </is>
      </c>
      <c r="I3312">
        <v>0</v>
      </c>
    </row>
    <row r="3313">
      <c r="A3313" t="inlineStr">
        <is>
          <t>market for inverter, for electric passenger car</t>
        </is>
      </c>
      <c r="B3313">
        <v>2.533298396995094e-05</v>
      </c>
      <c r="C3313" t="inlineStr">
        <is>
          <t>GLO</t>
        </is>
      </c>
      <c r="D3313" t="inlineStr">
        <is>
          <t>kilogram</t>
        </is>
      </c>
      <c r="F3313" t="inlineStr">
        <is>
          <t>technosphere</t>
        </is>
      </c>
      <c r="G3313" t="inlineStr">
        <is>
          <t>inverter, for electric passenger car</t>
        </is>
      </c>
      <c r="H3313" t="inlineStr">
        <is>
          <t> Energy-use allocation: 7.489055156707764 * 4.901960892311763e-06 / 1.4491405963897703 MJ per ton kilometer.</t>
        </is>
      </c>
      <c r="I3313">
        <v>0</v>
      </c>
    </row>
    <row r="3314">
      <c r="A3314" t="inlineStr">
        <is>
          <t>market for power distribution unit, for electric passenger car</t>
        </is>
      </c>
      <c r="B3314">
        <v>1.3530670259390896e-05</v>
      </c>
      <c r="C3314" t="inlineStr">
        <is>
          <t>GLO</t>
        </is>
      </c>
      <c r="D3314" t="inlineStr">
        <is>
          <t>kilogram</t>
        </is>
      </c>
      <c r="F3314" t="inlineStr">
        <is>
          <t>technosphere</t>
        </is>
      </c>
      <c r="G3314" t="inlineStr">
        <is>
          <t>power distribution unit, for electric passenger car</t>
        </is>
      </c>
      <c r="H3314" t="inlineStr">
        <is>
          <t> Energy-use allocation: 4 * 4.901960892311763e-06 / 1.4491405963897703 MJ per ton kilometer.</t>
        </is>
      </c>
      <c r="I3314">
        <v>0</v>
      </c>
    </row>
    <row r="3315">
      <c r="A3315" t="inlineStr">
        <is>
          <t>market for battery capacity (MIX scenario)</t>
        </is>
      </c>
      <c r="B3315">
        <v>0.0004526129568904336</v>
      </c>
      <c r="C3315" t="inlineStr">
        <is>
          <t>GLO</t>
        </is>
      </c>
      <c r="D3315" t="inlineStr">
        <is>
          <t>kilowatt hour</t>
        </is>
      </c>
      <c r="F3315" t="inlineStr">
        <is>
          <t>technosphere</t>
        </is>
      </c>
      <c r="G3315" t="inlineStr">
        <is>
          <t>electricity storage capacity</t>
        </is>
      </c>
      <c r="H3315" t="inlineStr">
        <is>
          <t>133.80355835 kWh nominal * (1 + 0 replacements); capacity market includes manufacture and end of life, replacing kg pack and disposal exchanges. Energy-use allocation: 133.8035583496094 * 4.901960892311763e-06 / 1.4491405963897703 MJ per ton kilometer.</t>
        </is>
      </c>
      <c r="I3315">
        <v>0</v>
      </c>
    </row>
    <row r="3316"/>
    <row r="3317">
      <c r="A3317" t="inlineStr">
        <is>
          <t>Activity</t>
        </is>
      </c>
      <c r="B3317" t="inlineStr">
        <is>
          <t>hydrogen, used in light duty vehicle</t>
        </is>
      </c>
    </row>
    <row r="3318">
      <c r="A3318" t="inlineStr">
        <is>
          <t>location</t>
        </is>
      </c>
      <c r="B3318" t="inlineStr">
        <is>
          <t>CH</t>
        </is>
      </c>
    </row>
    <row r="3319">
      <c r="A3319" t="inlineStr">
        <is>
          <t>production amount</t>
        </is>
      </c>
      <c r="B3319">
        <v>1</v>
      </c>
    </row>
    <row r="3320">
      <c r="A3320" t="inlineStr">
        <is>
          <t>reference product</t>
        </is>
      </c>
      <c r="B3320" t="inlineStr">
        <is>
          <t>heat</t>
        </is>
      </c>
    </row>
    <row r="3321">
      <c r="A3321" t="inlineStr">
        <is>
          <t>type</t>
        </is>
      </c>
      <c r="B3321" t="inlineStr">
        <is>
          <t>process</t>
        </is>
      </c>
    </row>
    <row r="3322">
      <c r="A3322" t="inlineStr">
        <is>
          <t>comment</t>
        </is>
      </c>
      <c r="B3322" t="inlineStr">
        <is>
          <t>Produces consumption of 1 MJ of purchased energy. Representative powertrain carrier: hydrogen. energy-specific equipment; excludes chassis, body, roads and whole-vehicle maintenance. Source transport, freight, lorry, fuel cell electric, 3.5 metric ton [RER]; 2.57135752432557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750 kg payload, 22660 km/year; Swiss climate. Combustion factors: EURO-VI. Operating fuel blends and electricity supplied by Premise regional scenario markets. Energy-battery capacity includes replacements and end of life through Premise capacity markets. Noise retained in companion audit only. Documented motor-only proxy: Renault Master Z.E. (1 July 2020), 57 kW mechanical shaft output; source: https://www.renaultgroup.com/magazine/energies-et-motorisations/master-z-e/. This electric-commercial-vehicle motor is transferred to the FCEV; it is not a complete FCEV calibration. The original fuel-cell/battery DC shares are retained and component mass, storage and consumption are recalculated together. Regional-delivery shaft-power feasibility is checked at the stated payload; other loads and cycles may exceed the rating. Future Premise scenarios retain this baseline FCEV hardware. Manufacture year: 2020. Km over lifetime: 272000 km. Km per year: 22660 km/year. Tank-to-wheel efficiency: 34.5 \%. Tank-to-wheel energy consumption: 1928 kj/km. Fuel consumption: 17876.5 l/100km. Electricity consumption: 0.0 kWh/100km. Battery capacity: 32 kWh. Fuel tank capacity: 214 kWh. Power share from combustion engine: 0.0 \%. Combustion engine power: 0.0 kW. Electric motor power: 57 kW. Curb mass (excl. driver and cargo): 2173 kg. Driving mass (incl. driver and cargo): 2998 kg. Battery mass: 312 kg. Fuel cell system efficiency: 47.8 \%. Number of passengers onboard: 1.0 passenger(s). Available payload: 1251 kg. Payload: 750 kg. Load factor: 59.9 \%. Autonomy on a full tank/battery: 400 km.  Carbon accounting: full-oxidation CO2 plus separately estimated pollutants; not a closed elemental carbon balance.</t>
        </is>
      </c>
    </row>
    <row r="3323">
      <c r="A3323" t="inlineStr">
        <is>
          <t>unit</t>
        </is>
      </c>
      <c r="B3323" t="inlineStr">
        <is>
          <t>megajoule</t>
        </is>
      </c>
    </row>
    <row r="3324">
      <c r="A3324" t="inlineStr">
        <is>
          <t>energy use source</t>
        </is>
      </c>
      <c r="B3324" t="inlineStr">
        <is>
          <t>{"source": ["transport, freight, lorry, fuel cell electric, 3.5 metric ton", "transport, freight, lorry", "RER", "ton kilometer"], "source unit": "ton kilometer", "purchased MJ per source service": 2.57135752432557, "boundary": "energy-specific equipment; excludes chassis, body, roads and whole-vehicle maintenance", "retained equipment": [{"supplier": ["fuel cell Balance of Plant production, 1 kWe, proton exchange membrane (PEM), carculator regional truck 2020", "fuel cell Balance of Plant, 1 kWe, proton exchange membrane (PEM)", "GLO", "unit"], "amount per vehicle": 6.379218101501465, "vehicle per source service": 4.901960892311763e-06, "replacement correction factor": 1.0, "amount per MJ": 1.2161155094637927e-05}, {"supplier": ["fuel cell stack production, 1 kWe, proton exchange membrane (PEM), carculator regional truck 2020", "fuel cell stack, 1 kWe, proton exchange membrane (PEM)", "GLO", "unit"], "amount per vehicle": 30.07345771789551, "vehicle per source service": 4.901960892311763e-06, "replacement correction factor": 1.0, "amount per MJ": 5.7331161549921387e-05}, {"supplier": ["fuel tank, compressed hydrogen gas, 700bar, with HDPE liner, carculator regional truck 2020", "hydrogen tank", "RER", "kilogram"], "amount per vehicle": 181.1132202148438, "vehicle per source service": 4.901960892311763e-06, "replacement correction factor": 1.0, "amount per MJ": 0.00034526895391828966}, {"supplier": ["gearbox, for lorry, carculator regional truck 2020", "gearbox, for lorry", "RER", "kilogram"], "amount per vehicle": 29.73600006103516, "vehicle per source service": 4.901960892311763e-06, "replacement correction factor": 1.0, "amount per MJ": 5.668784212775178e-05}, {"supplier": ["power electronics, for lorry, carculator regional truck 2020", "power electronics, for lorry", "RER", "kilogram"], "amount per vehicle": 24, "vehicle per source service": 4.901960892311763e-06, "replacement correction factor": 1.0, "amount per MJ": 4.575289912138509e-05}, {"supplier": ["retarder, for lorry, carculator regional truck 2020", "retarder, for lorry", "RER", "kilogram"], "amount per vehicle": 9.911999702453613, "vehicle per source service": 4.901960892311763e-06, "replacement correction factor": 1.0, "amount per MJ": 1.88959467698983e-05}, {"supplier": ["transmission, for lorry, carculator regional truck 2020", "transmission, for lorry", "RER", "kilogram"], "amount per vehicle": 42.95199584960938, "vehicle per source service": 4.901960892311763e-06, "replacement correction factor": 1.0, "amount per MJ": 8.188243054872205e-05}, {"supplier": ["market for converter, for electric passenger car", "converter, for electric passenger car", "GLO", "kilogram"], "amount per vehicle": 25, "vehicle per source service": 4.901960892311763e-06, "replacement correction factor": 1.0, "amount per MJ": 4.765926991810947e-05}, {"supplier": ["market for electric motor, electric passenger car", "electric motor, electric passenger car", "GLO", "kilogram"], "amount per vehicle": 38.31031036376953, "vehicle per source service": 4.901960892311763e-06, "replacement correction factor": 1.0, "amount per MJ": 7.303365689093755e-05}, {"supplier": ["market for inverter, for electric passenger car", "inverter, for electric passenger car", "GLO", "kilogram"], "amount per vehicle": 7.120999813079834, "vehicle per source service": 4.901960892311763e-06, "replacement correction factor": 1.0, "amount per MJ": 1.3575266087135156e-05}, {"supplier": ["market for power distribution unit, for electric passenger car", "power distribution unit, for electric passenger car", "GLO", "kilogram"], "amount per vehicle": 4, "vehicle per source service": 4.901960892311763e-06, "replacement correction factor": 1.0, "amount per MJ": 7.625483186897515e-06}, {"supplier": ["market for battery capacity (MIX scenario)", "electricity storage capacity", "GLO", "kilowatt hour"], "amount per vehicle": 32.85678863525391, "vehicle per source service": 4.901960892311763e-06, "coefficient limitation": "Native nominal-kWh MIX market is a manufacturing proxy; it does not reproduce the heavier high-power physical battery pack mass.", "replacement correction factor": 1.0, "amount per MJ": 6.263722232839352e-05}], "excluded": [{"supplier": "market for road", "amount per source service": 0.002146644983440638}, {"supplier": "market for road maintenance", "amount per source service": 0.00172}, {"supplier": ["assembly operation, for lorry, carculator regional truck 2020", "assembly operation, for lorry", "RER", "kilogram"], "amount per vehicle": 2173.107421875, "vehicle per source service": 4.901960892311763e-06}, {"supplier": ["frame, blanks and saddle, for lorry, carculator regional truck 2020", "frame, blanks and saddle, for lorry", "RER", "kilogram"], "amount per vehicle": 703, "vehicle per source service": 4.901960892311763e-06}, {"supplier": ["glider lightweighting, carculator regional truck 2020", "glider lightweighting", "GLO", "kilogram"], "amount per vehicle": 35.15000152587891, "vehicle per source service": 4.901960892311763e-06}, {"supplier": ["other components, for electric lorry, carculator regional truck 2020", "other components, for electric lorry", "RER", "kilogram"], "amount per vehicle": 119, "vehicle per source service": 4.901960892311763e-06}, {"supplier": ["suspension, for lorry, carculator regional truck 2020", "suspension, for lorry", "RER", "kilogram"], "amount per vehicle": 334, "vehicle per source service": 4.901960892311763e-06}, {"supplier": ["tires and wheels, for lorry, carculator regional truck 2020", "tires and wheels, for lorry", "RER", "kilogram"], "amount per vehicle": 194, "vehicle per source service": 4.901960892311763e-06}, {"supplier": ["maintenance, lorry 16 metric ton", "maintenance, lorry 16 metric ton", "CH", "unit"], "amount per vehicle": 0.21875, "vehicle per source service": 4.901960892311763e-06}, {"supplier": ["treatment of used lorry, 16 metric ton", "used lorry, 16 metric ton", "CH", "unit"], "amount per vehicle": -0.21875, "vehicle per source service": 4.901960892311763e-06}], "alternative fuel recipe retained": false}</t>
        </is>
      </c>
    </row>
    <row r="3325">
      <c r="A3325" t="inlineStr">
        <is>
          <t>Exchanges</t>
        </is>
      </c>
    </row>
    <row r="3326">
      <c r="A3326" t="inlineStr">
        <is>
          <t>name</t>
        </is>
      </c>
      <c r="B3326" t="inlineStr">
        <is>
          <t>amount</t>
        </is>
      </c>
      <c r="C3326" t="inlineStr">
        <is>
          <t>location</t>
        </is>
      </c>
      <c r="D3326" t="inlineStr">
        <is>
          <t>unit</t>
        </is>
      </c>
      <c r="E3326" t="inlineStr">
        <is>
          <t>categories</t>
        </is>
      </c>
      <c r="F3326" t="inlineStr">
        <is>
          <t>type</t>
        </is>
      </c>
      <c r="G3326" t="inlineStr">
        <is>
          <t>reference product</t>
        </is>
      </c>
      <c r="H3326" t="inlineStr">
        <is>
          <t>comment</t>
        </is>
      </c>
      <c r="I3326" t="inlineStr">
        <is>
          <t>uncertainty type</t>
        </is>
      </c>
    </row>
    <row r="3327">
      <c r="A3327" t="inlineStr">
        <is>
          <t>hydrogen, used in light duty vehicle</t>
        </is>
      </c>
      <c r="B3327">
        <v>1.0</v>
      </c>
      <c r="C3327" t="inlineStr">
        <is>
          <t>CH</t>
        </is>
      </c>
      <c r="D3327" t="inlineStr">
        <is>
          <t>megajoule</t>
        </is>
      </c>
      <c r="F3327" t="inlineStr">
        <is>
          <t>production</t>
        </is>
      </c>
      <c r="G3327" t="inlineStr">
        <is>
          <t>heat</t>
        </is>
      </c>
      <c r="I3327">
        <v>0</v>
      </c>
    </row>
    <row r="3328">
      <c r="A3328" t="inlineStr">
        <is>
          <t>market for hydrogen, gaseous, low pressure</t>
        </is>
      </c>
      <c r="B3328">
        <v>0.008333333333333333</v>
      </c>
      <c r="C3328" t="inlineStr">
        <is>
          <t>RER</t>
        </is>
      </c>
      <c r="D3328" t="inlineStr">
        <is>
          <t>kilogram</t>
        </is>
      </c>
      <c r="F3328" t="inlineStr">
        <is>
          <t>technosphere</t>
        </is>
      </c>
      <c r="G3328" t="inlineStr">
        <is>
          <t>hydrogen, gaseous, low pressure</t>
        </is>
      </c>
      <c r="H3328" t="inlineStr">
        <is>
          <t>Model fuel energy retained: 2.57135752433 MJ/tkm; reference LHV 120.0 MJ/kg. Premise determines regional blends.</t>
        </is>
      </c>
      <c r="I3328">
        <v>0</v>
      </c>
    </row>
    <row r="3329">
      <c r="A3329" t="inlineStr">
        <is>
          <t>market for tetrafluoroethane, R134a</t>
        </is>
      </c>
      <c r="B3329">
        <v>3.888996241392611e-06</v>
      </c>
      <c r="C3329" t="inlineStr">
        <is>
          <t>GLO</t>
        </is>
      </c>
      <c r="D3329" t="inlineStr">
        <is>
          <t>kilogram</t>
        </is>
      </c>
      <c r="F3329" t="inlineStr">
        <is>
          <t>technosphere</t>
        </is>
      </c>
      <c r="G3329" t="inlineStr">
        <is>
          <t>tetrafluoroethane, R134a</t>
        </is>
      </c>
      <c r="I3329">
        <v>0</v>
      </c>
    </row>
    <row r="3330">
      <c r="A3330" t="inlineStr">
        <is>
          <t>treatment of brake wear emissions, lorry</t>
        </is>
      </c>
      <c r="B3330">
        <v>-5.523248759843096e-06</v>
      </c>
      <c r="C3330" t="inlineStr">
        <is>
          <t>RER</t>
        </is>
      </c>
      <c r="D3330" t="inlineStr">
        <is>
          <t>kilogram</t>
        </is>
      </c>
      <c r="F3330" t="inlineStr">
        <is>
          <t>technosphere</t>
        </is>
      </c>
      <c r="G3330" t="inlineStr">
        <is>
          <t>brake wear emissions, lorry</t>
        </is>
      </c>
      <c r="I3330">
        <v>0</v>
      </c>
    </row>
    <row r="3331">
      <c r="A3331" t="inlineStr">
        <is>
          <t>treatment of road wear emissions, lorry</t>
        </is>
      </c>
      <c r="B3331">
        <v>-1.32960828503763e-05</v>
      </c>
      <c r="C3331" t="inlineStr">
        <is>
          <t>RER</t>
        </is>
      </c>
      <c r="D3331" t="inlineStr">
        <is>
          <t>kilogram</t>
        </is>
      </c>
      <c r="F3331" t="inlineStr">
        <is>
          <t>technosphere</t>
        </is>
      </c>
      <c r="G3331" t="inlineStr">
        <is>
          <t>road wear emissions, lorry</t>
        </is>
      </c>
      <c r="I3331">
        <v>0</v>
      </c>
    </row>
    <row r="3332">
      <c r="A3332" t="inlineStr">
        <is>
          <t>treatment of tyre wear emissions, lorry</t>
        </is>
      </c>
      <c r="B3332">
        <v>-1.3477165149680826e-05</v>
      </c>
      <c r="C3332" t="inlineStr">
        <is>
          <t>RER</t>
        </is>
      </c>
      <c r="D3332" t="inlineStr">
        <is>
          <t>kilogram</t>
        </is>
      </c>
      <c r="F3332" t="inlineStr">
        <is>
          <t>technosphere</t>
        </is>
      </c>
      <c r="G3332" t="inlineStr">
        <is>
          <t>tyre wear emissions, lorry</t>
        </is>
      </c>
      <c r="I3332">
        <v>0</v>
      </c>
    </row>
    <row r="3333">
      <c r="A3333" t="inlineStr">
        <is>
          <t>1,1,1,2-Tetrafluoroethane</t>
        </is>
      </c>
      <c r="B3333">
        <v>1.7919884711064415e-06</v>
      </c>
      <c r="D3333" t="inlineStr">
        <is>
          <t>kilogram</t>
        </is>
      </c>
      <c r="E3333" t="inlineStr">
        <is>
          <t>air</t>
        </is>
      </c>
      <c r="F3333" t="inlineStr">
        <is>
          <t>biosphere</t>
        </is>
      </c>
      <c r="I3333">
        <v>0</v>
      </c>
    </row>
    <row r="3334">
      <c r="A3334" t="inlineStr">
        <is>
          <t>fuel cell Balance of Plant production, 1 kWe, proton exchange membrane (PEM), carculator regional truck 2020</t>
        </is>
      </c>
      <c r="B3334">
        <v>1.2161155094637927e-05</v>
      </c>
      <c r="C3334" t="inlineStr">
        <is>
          <t>GLO</t>
        </is>
      </c>
      <c r="D3334" t="inlineStr">
        <is>
          <t>unit</t>
        </is>
      </c>
      <c r="F3334" t="inlineStr">
        <is>
          <t>technosphere</t>
        </is>
      </c>
      <c r="G3334" t="inlineStr">
        <is>
          <t>fuel cell Balance of Plant, 1 kWe, proton exchange membrane (PEM)</t>
        </is>
      </c>
      <c r="H3334" t="inlineStr">
        <is>
          <t> Energy-use allocation: 6.379218101501465 * 4.901960892311763e-06 / 2.57135752432557 MJ per ton kilometer.</t>
        </is>
      </c>
      <c r="I3334">
        <v>0</v>
      </c>
    </row>
    <row r="3335">
      <c r="A3335" t="inlineStr">
        <is>
          <t>fuel cell stack production, 1 kWe, proton exchange membrane (PEM), carculator regional truck 2020</t>
        </is>
      </c>
      <c r="B3335">
        <v>5.7331161549921387e-05</v>
      </c>
      <c r="C3335" t="inlineStr">
        <is>
          <t>GLO</t>
        </is>
      </c>
      <c r="D3335" t="inlineStr">
        <is>
          <t>unit</t>
        </is>
      </c>
      <c r="F3335" t="inlineStr">
        <is>
          <t>technosphere</t>
        </is>
      </c>
      <c r="G3335" t="inlineStr">
        <is>
          <t>fuel cell stack, 1 kWe, proton exchange membrane (PEM)</t>
        </is>
      </c>
      <c r="H3335" t="inlineStr">
        <is>
          <t> Energy-use allocation: 30.07345771789551 * 4.901960892311763e-06 / 2.57135752432557 MJ per ton kilometer.</t>
        </is>
      </c>
      <c r="I3335">
        <v>0</v>
      </c>
    </row>
    <row r="3336">
      <c r="A3336" t="inlineStr">
        <is>
          <t>fuel tank, compressed hydrogen gas, 700bar, with HDPE liner, carculator regional truck 2020</t>
        </is>
      </c>
      <c r="B3336">
        <v>0.00034526895391828966</v>
      </c>
      <c r="C3336" t="inlineStr">
        <is>
          <t>RER</t>
        </is>
      </c>
      <c r="D3336" t="inlineStr">
        <is>
          <t>kilogram</t>
        </is>
      </c>
      <c r="F3336" t="inlineStr">
        <is>
          <t>technosphere</t>
        </is>
      </c>
      <c r="G3336" t="inlineStr">
        <is>
          <t>hydrogen tank</t>
        </is>
      </c>
      <c r="H3336" t="inlineStr">
        <is>
          <t> Energy-use allocation: 181.1132202148438 * 4.901960892311763e-06 / 2.57135752432557 MJ per ton kilometer.</t>
        </is>
      </c>
      <c r="I3336">
        <v>0</v>
      </c>
    </row>
    <row r="3337">
      <c r="A3337" t="inlineStr">
        <is>
          <t>gearbox, for lorry, carculator regional truck 2020</t>
        </is>
      </c>
      <c r="B3337">
        <v>5.668784212775178e-05</v>
      </c>
      <c r="C3337" t="inlineStr">
        <is>
          <t>RER</t>
        </is>
      </c>
      <c r="D3337" t="inlineStr">
        <is>
          <t>kilogram</t>
        </is>
      </c>
      <c r="F3337" t="inlineStr">
        <is>
          <t>technosphere</t>
        </is>
      </c>
      <c r="G3337" t="inlineStr">
        <is>
          <t>gearbox, for lorry</t>
        </is>
      </c>
      <c r="H3337" t="inlineStr">
        <is>
          <t> Energy-use allocation: 29.73600006103516 * 4.901960892311763e-06 / 2.57135752432557 MJ per ton kilometer.</t>
        </is>
      </c>
      <c r="I3337">
        <v>0</v>
      </c>
    </row>
    <row r="3338">
      <c r="A3338" t="inlineStr">
        <is>
          <t>power electronics, for lorry, carculator regional truck 2020</t>
        </is>
      </c>
      <c r="B3338">
        <v>4.575289912138509e-05</v>
      </c>
      <c r="C3338" t="inlineStr">
        <is>
          <t>RER</t>
        </is>
      </c>
      <c r="D3338" t="inlineStr">
        <is>
          <t>kilogram</t>
        </is>
      </c>
      <c r="F3338" t="inlineStr">
        <is>
          <t>technosphere</t>
        </is>
      </c>
      <c r="G3338" t="inlineStr">
        <is>
          <t>power electronics, for lorry</t>
        </is>
      </c>
      <c r="H3338" t="inlineStr">
        <is>
          <t> Energy-use allocation: 24 * 4.901960892311763e-06 / 2.57135752432557 MJ per ton kilometer.</t>
        </is>
      </c>
      <c r="I3338">
        <v>0</v>
      </c>
    </row>
    <row r="3339">
      <c r="A3339" t="inlineStr">
        <is>
          <t>retarder, for lorry, carculator regional truck 2020</t>
        </is>
      </c>
      <c r="B3339">
        <v>1.88959467698983e-05</v>
      </c>
      <c r="C3339" t="inlineStr">
        <is>
          <t>RER</t>
        </is>
      </c>
      <c r="D3339" t="inlineStr">
        <is>
          <t>kilogram</t>
        </is>
      </c>
      <c r="F3339" t="inlineStr">
        <is>
          <t>technosphere</t>
        </is>
      </c>
      <c r="G3339" t="inlineStr">
        <is>
          <t>retarder, for lorry</t>
        </is>
      </c>
      <c r="H3339" t="inlineStr">
        <is>
          <t> Energy-use allocation: 9.911999702453613 * 4.901960892311763e-06 / 2.57135752432557 MJ per ton kilometer.</t>
        </is>
      </c>
      <c r="I3339">
        <v>0</v>
      </c>
    </row>
    <row r="3340">
      <c r="A3340" t="inlineStr">
        <is>
          <t>transmission, for lorry, carculator regional truck 2020</t>
        </is>
      </c>
      <c r="B3340">
        <v>8.188243054872205e-05</v>
      </c>
      <c r="C3340" t="inlineStr">
        <is>
          <t>RER</t>
        </is>
      </c>
      <c r="D3340" t="inlineStr">
        <is>
          <t>kilogram</t>
        </is>
      </c>
      <c r="F3340" t="inlineStr">
        <is>
          <t>technosphere</t>
        </is>
      </c>
      <c r="G3340" t="inlineStr">
        <is>
          <t>transmission, for lorry</t>
        </is>
      </c>
      <c r="H3340" t="inlineStr">
        <is>
          <t> Energy-use allocation: 42.95199584960938 * 4.901960892311763e-06 / 2.57135752432557 MJ per ton kilometer.</t>
        </is>
      </c>
      <c r="I3340">
        <v>0</v>
      </c>
    </row>
    <row r="3341">
      <c r="A3341" t="inlineStr">
        <is>
          <t>market for converter, for electric passenger car</t>
        </is>
      </c>
      <c r="B3341">
        <v>4.765926991810947e-05</v>
      </c>
      <c r="C3341" t="inlineStr">
        <is>
          <t>GLO</t>
        </is>
      </c>
      <c r="D3341" t="inlineStr">
        <is>
          <t>kilogram</t>
        </is>
      </c>
      <c r="F3341" t="inlineStr">
        <is>
          <t>technosphere</t>
        </is>
      </c>
      <c r="G3341" t="inlineStr">
        <is>
          <t>converter, for electric passenger car</t>
        </is>
      </c>
      <c r="H3341" t="inlineStr">
        <is>
          <t> Energy-use allocation: 25 * 4.901960892311763e-06 / 2.57135752432557 MJ per ton kilometer.</t>
        </is>
      </c>
      <c r="I3341">
        <v>0</v>
      </c>
    </row>
    <row r="3342">
      <c r="A3342" t="inlineStr">
        <is>
          <t>market for electric motor, electric passenger car</t>
        </is>
      </c>
      <c r="B3342">
        <v>7.303365689093755e-05</v>
      </c>
      <c r="C3342" t="inlineStr">
        <is>
          <t>GLO</t>
        </is>
      </c>
      <c r="D3342" t="inlineStr">
        <is>
          <t>kilogram</t>
        </is>
      </c>
      <c r="F3342" t="inlineStr">
        <is>
          <t>technosphere</t>
        </is>
      </c>
      <c r="G3342" t="inlineStr">
        <is>
          <t>electric motor, electric passenger car</t>
        </is>
      </c>
      <c r="H3342" t="inlineStr">
        <is>
          <t> Energy-use allocation: 38.31031036376953 * 4.901960892311763e-06 / 2.57135752432557 MJ per ton kilometer.</t>
        </is>
      </c>
      <c r="I3342">
        <v>0</v>
      </c>
    </row>
    <row r="3343">
      <c r="A3343" t="inlineStr">
        <is>
          <t>market for inverter, for electric passenger car</t>
        </is>
      </c>
      <c r="B3343">
        <v>1.3575266087135156e-05</v>
      </c>
      <c r="C3343" t="inlineStr">
        <is>
          <t>GLO</t>
        </is>
      </c>
      <c r="D3343" t="inlineStr">
        <is>
          <t>kilogram</t>
        </is>
      </c>
      <c r="F3343" t="inlineStr">
        <is>
          <t>technosphere</t>
        </is>
      </c>
      <c r="G3343" t="inlineStr">
        <is>
          <t>inverter, for electric passenger car</t>
        </is>
      </c>
      <c r="H3343" t="inlineStr">
        <is>
          <t> Energy-use allocation: 7.120999813079834 * 4.901960892311763e-06 / 2.57135752432557 MJ per ton kilometer.</t>
        </is>
      </c>
      <c r="I3343">
        <v>0</v>
      </c>
    </row>
    <row r="3344">
      <c r="A3344" t="inlineStr">
        <is>
          <t>market for power distribution unit, for electric passenger car</t>
        </is>
      </c>
      <c r="B3344">
        <v>7.625483186897515e-06</v>
      </c>
      <c r="C3344" t="inlineStr">
        <is>
          <t>GLO</t>
        </is>
      </c>
      <c r="D3344" t="inlineStr">
        <is>
          <t>kilogram</t>
        </is>
      </c>
      <c r="F3344" t="inlineStr">
        <is>
          <t>technosphere</t>
        </is>
      </c>
      <c r="G3344" t="inlineStr">
        <is>
          <t>power distribution unit, for electric passenger car</t>
        </is>
      </c>
      <c r="H3344" t="inlineStr">
        <is>
          <t> Energy-use allocation: 4 * 4.901960892311763e-06 / 2.57135752432557 MJ per ton kilometer.</t>
        </is>
      </c>
      <c r="I3344">
        <v>0</v>
      </c>
    </row>
    <row r="3345">
      <c r="A3345" t="inlineStr">
        <is>
          <t>market for battery capacity (MIX scenario)</t>
        </is>
      </c>
      <c r="B3345">
        <v>6.263722232839352e-05</v>
      </c>
      <c r="C3345" t="inlineStr">
        <is>
          <t>GLO</t>
        </is>
      </c>
      <c r="D3345" t="inlineStr">
        <is>
          <t>kilowatt hour</t>
        </is>
      </c>
      <c r="F3345" t="inlineStr">
        <is>
          <t>technosphere</t>
        </is>
      </c>
      <c r="G3345" t="inlineStr">
        <is>
          <t>electricity storage capacity</t>
        </is>
      </c>
      <c r="H3345" t="inlineStr">
        <is>
          <t>32.8567886353 kWh nominal * (1 + 0 replacements); capacity market includes manufacture and end of life, replacing kg pack and disposal exchanges. Energy-use allocation: 32.85678863525391 * 4.901960892311763e-06 / 2.57135752432557 MJ per ton kilometer.</t>
        </is>
      </c>
      <c r="I3345">
        <v>0</v>
      </c>
    </row>
    <row r="3346">
      <c r="A3346" t="inlineStr">
        <is>
          <t>market group for electricity, low voltage</t>
        </is>
      </c>
      <c r="B3346">
        <v>0.020421827056420448</v>
      </c>
      <c r="C3346" t="inlineStr">
        <is>
          <t>RER</t>
        </is>
      </c>
      <c r="D3346" t="inlineStr">
        <is>
          <t>kilowatt hour</t>
        </is>
      </c>
      <c r="F3346" t="inlineStr">
        <is>
          <t>technosphere</t>
        </is>
      </c>
      <c r="G3346" t="inlineStr">
        <is>
          <t>electricity, low voltage</t>
        </is>
      </c>
      <c r="H3346" t="inlineStr">
        <is>
          <t>Hydrogen tank compression, 30 to 700 bar: 2.45061924677 kWh/kg H2; model compressor assumptions and Premise delivery pressure.</t>
        </is>
      </c>
      <c r="I3346">
        <v>0</v>
      </c>
    </row>
    <row r="3347"/>
    <row r="3348">
      <c r="A3348" t="inlineStr">
        <is>
          <t>Activity</t>
        </is>
      </c>
      <c r="B3348" t="inlineStr">
        <is>
          <t>hydrogen, used in dedicated coach</t>
        </is>
      </c>
    </row>
    <row r="3349">
      <c r="A3349" t="inlineStr">
        <is>
          <t>comment</t>
        </is>
      </c>
      <c r="B3349" t="inlineStr">
        <is>
          <t>Produces consumption of 1 MJ of purchased energy. Representative powertrain carrier: hydrogen. energy-specific equipment; excludes chassis, body, roads and whole-vehicle maintenance. Source transport, passenger bus, fuel cell electric, 13m single deck coach bus [RER]; 0.301110770579026 purchased MJ per person kilometer. All retained exchanges divided by this energy; lifetime, occupancy/payload and replacement allocation are carried by source production links. Baseline source specifications: 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is>
      </c>
    </row>
    <row r="3350">
      <c r="A3350" t="inlineStr">
        <is>
          <t>description</t>
        </is>
      </c>
      <c r="B335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351">
      <c r="A3351" t="inlineStr">
        <is>
          <t>location</t>
        </is>
      </c>
      <c r="B3351" t="inlineStr">
        <is>
          <t>CH</t>
        </is>
      </c>
    </row>
    <row r="3352">
      <c r="A3352" t="inlineStr">
        <is>
          <t>production amount</t>
        </is>
      </c>
      <c r="B3352">
        <v>1</v>
      </c>
    </row>
    <row r="3353">
      <c r="A3353" t="inlineStr">
        <is>
          <t>reference product</t>
        </is>
      </c>
      <c r="B3353" t="inlineStr">
        <is>
          <t>heat</t>
        </is>
      </c>
    </row>
    <row r="3354">
      <c r="A3354" t="inlineStr">
        <is>
          <t>source</t>
        </is>
      </c>
      <c r="B3354" t="inlineStr">
        <is>
          <t>Sacchi, R., Bauer, C., and Cox, B. Does size matter? The influence of size, load factor, range autonomy and application type on the Life Cycle Assessment of current and future trucks. 2021. Environmental Science and Technology.</t>
        </is>
      </c>
    </row>
    <row r="3355">
      <c r="A3355" t="inlineStr">
        <is>
          <t>type</t>
        </is>
      </c>
      <c r="B3355" t="inlineStr">
        <is>
          <t>process</t>
        </is>
      </c>
    </row>
    <row r="3356">
      <c r="A3356" t="inlineStr">
        <is>
          <t>unit</t>
        </is>
      </c>
      <c r="B3356" t="inlineStr">
        <is>
          <t>megajoule</t>
        </is>
      </c>
    </row>
    <row r="3357">
      <c r="A3357" t="inlineStr">
        <is>
          <t>energy use source</t>
        </is>
      </c>
      <c r="B3357" t="inlineStr">
        <is>
          <t>{"source": ["transport, passenger bus, fuel cell electric, 13m single deck coach bus", "transport, passenger bus", "RER", "person kilometer"], "source unit": "person kilometer", "purchased MJ per source service": 0.3011107705790258, "boundary": "energy-specific equipment; excludes chassis, body, roads and whole-vehicle maintenance", "retained equipment": [{"supplier": ["market for battery capacity (MIX scenario)", "electricity storage capacity", "GLO", "kilowatt hour"], "amount per vehicle": 80, "vehicle per source service": 6.802721088435375e-08, "coefficient limitation": "Native nominal-kWh MIX market is a manufacturing proxy; it does not reproduce the heavier high-power physical battery pack mass.", "replacement correction factor": 1.0, "amount per MJ": 1.80736705641023e-05}, {"supplier": ["fuel tank assembly, compressed hydrogen gas, 700bar", "fuel tank, compressed hydrogen gas, 700bar", "RER", "kilogram"], "amount per vehicle": 264.6691867960618, "vehicle per source service": 6.802721088435375e-08, "replacement correction factor": 1.0, "amount per MJ": 5.979429613276095e-05}, {"supplier": ["fuel cell system assembly, 1 kWe, proton exchange membrane (PEM)", "fuel cell system, 1 kWe, proton exchange membrane (PEM)", "GLO", "unit"], "amount per vehicle": 95.83274160265344, "vehicle per source service": 6.802721088435375e-08, "replacement correction factor": 1.0, "amount per MJ": 2.1650617512263743e-05}, {"supplier": ["gearbox, for lorry", "gearbox, for lorry", "RER", "kilogram"], "amount per vehicle": 157.6079986953735, "vehicle per source service": 6.802721088435375e-08, "replacement correction factor": 1.0, "amount per MJ": 3.5606938083595576e-05}, {"supplier": ["market for converter, for electric passenger car", "converter, for electric passenger car", "GLO", "kilogram"], "amount per vehicle": 25, "vehicle per source service": 6.802721088435375e-08, "replacement correction factor": 1.0, "amount per MJ": 5.648022051281969e-06}, {"supplier": ["market for electric motor, electric passenger car", "electric motor, electric passenger car", "GLO", "kilogram"], "amount per vehicle": 106.0181285212618, "vehicle per source service": 6.802721088435375e-08, "replacement correction factor": 1.0, "amount per MJ": 2.39517091089493e-05}, {"supplier": ["market for inverter, for electric passenger car", "inverter, for electric passenger car", "GLO", "kilogram"], "amount per vehicle": 14.03743863341137, "vehicle per source service": 6.802721088435375e-08, "replacement correction factor": 1.0, "amount per MJ": 3.1713505178009935e-06}, {"supplier": ["market for power distribution unit, for electric passenger car", "power distribution unit, for electric passenger car", "GLO", "kilogram"], "amount per vehicle": 36, "vehicle per source service": 6.802721088435375e-08, "replacement correction factor": 1.0, "amount per MJ": 8.133151753846036e-06}, {"supplier": ["power electronics, for lorry", "power electronics, for lorry", "RER", "kilogram"], "amount per vehicle": 220, "vehicle per source service": 6.802721088435375e-08, "replacement correction factor": 1.0, "amount per MJ": 4.970259405128133e-05}, {"supplier": ["retarder, for lorry", "retarder, for lorry", "RER", "kilogram"], "amount per vehicle": 52.53599956512451, "vehicle per source service": 6.802721088435375e-08, "replacement correction factor": 1.0, "amount per MJ": 1.1868979361198527e-05}, {"supplier": ["transmission, for lorry", "transmission, for lorry", "RER", "kilogram"], "amount per vehicle": 227.6559981155395, "vehicle per source service": 6.802721088435375e-08, "replacement correction factor": 1.0, "amount per MJ": 5.1432243898526936e-05}], "excluded": [{"supplier": ["Glider lightweighting", "Glider lightweighting", "GLO", "kilogram"], "amount per vehicle": 150.9199978894758, "vehicle per source service": 6.802721088435375e-08}, {"supplier": ["assembly operation, for lorry", "assembly operation, for lorry", "RER", "kilogram"], "amount per vehicle": 13392, "vehicle per source service": 6.802721088435375e-08}, {"supplier": ["frame, blanks and saddle, for lorry", "frame, blanks and saddle, for lorry", "RER", "kilogram"], "amount per vehicle": 7546, "vehicle per source service": 6.802721088435375e-08}, {"supplier": ["maintenance, bus", "maintenance, bus", "CH", "unit"], "amount per vehicle": 1, "vehicle per source service": 6.802721088435375e-08}, {"supplier": ["market group for electricity, low voltage", "electricity, low voltage", "CN", "kilowatt hour"], "amount per vehicle": 1616.029213794705, "vehicle per source service": 6.802721088435375e-08}, {"supplier": ["other components, for electric lorry", "other components, for electric lorry", "RER", "kilogram"], "amount per vehicle": 1033, "vehicle per source service": 6.802721088435375e-08}, {"supplier": ["suspension, for lorry", "suspension, for lorry", "RER", "kilogram"], "amount per vehicle": 2123, "vehicle per source service": 6.802721088435375e-08}, {"supplier": ["tires and wheels, for lorry", "tires and wheels, for lorry", "RER", "kilogram"], "amount per vehicle": 694, "vehicle per source service": 6.802721088435375e-08}, {"supplier": ["treatment of used bus", "used bus", "CH", "unit"], "amount per vehicle": -1, "vehicle per source service": 6.802721088435375e-08}, {"supplier": "market for road", "amount per source service": 0.0003918763822595928}, {"supplier": "market for road maintenance", "amount per source service": 6.142857142857142e-05}], "alternative fuel recipe retained": false}</t>
        </is>
      </c>
    </row>
    <row r="3358">
      <c r="A3358" t="inlineStr">
        <is>
          <t>Exchanges</t>
        </is>
      </c>
    </row>
    <row r="3359">
      <c r="A3359" t="inlineStr">
        <is>
          <t>name</t>
        </is>
      </c>
      <c r="B3359" t="inlineStr">
        <is>
          <t>amount</t>
        </is>
      </c>
      <c r="C3359" t="inlineStr">
        <is>
          <t>location</t>
        </is>
      </c>
      <c r="D3359" t="inlineStr">
        <is>
          <t>unit</t>
        </is>
      </c>
      <c r="E3359" t="inlineStr">
        <is>
          <t>categories</t>
        </is>
      </c>
      <c r="F3359" t="inlineStr">
        <is>
          <t>type</t>
        </is>
      </c>
      <c r="G3359" t="inlineStr">
        <is>
          <t>reference product</t>
        </is>
      </c>
      <c r="H3359" t="inlineStr">
        <is>
          <t>comment</t>
        </is>
      </c>
      <c r="I3359" t="inlineStr">
        <is>
          <t>uncertainty type</t>
        </is>
      </c>
    </row>
    <row r="3360">
      <c r="A3360" t="inlineStr">
        <is>
          <t>hydrogen, used in dedicated coach</t>
        </is>
      </c>
      <c r="B3360">
        <v>1.0</v>
      </c>
      <c r="C3360" t="inlineStr">
        <is>
          <t>CH</t>
        </is>
      </c>
      <c r="D3360" t="inlineStr">
        <is>
          <t>megajoule</t>
        </is>
      </c>
      <c r="F3360" t="inlineStr">
        <is>
          <t>production</t>
        </is>
      </c>
      <c r="G3360" t="inlineStr">
        <is>
          <t>heat</t>
        </is>
      </c>
      <c r="I3360">
        <v>0</v>
      </c>
    </row>
    <row r="3361">
      <c r="A3361" t="inlineStr">
        <is>
          <t>market for hydrogen, gaseous, low pressure</t>
        </is>
      </c>
      <c r="B3361">
        <v>0.0012945987175919265</v>
      </c>
      <c r="C3361" t="inlineStr">
        <is>
          <t>CN</t>
        </is>
      </c>
      <c r="D3361" t="inlineStr">
        <is>
          <t>kilogram</t>
        </is>
      </c>
      <c r="F3361" t="inlineStr">
        <is>
          <t>technosphere</t>
        </is>
      </c>
      <c r="G3361" t="inlineStr">
        <is>
          <t>hydrogen, gaseous, low pressure</t>
        </is>
      </c>
      <c r="I3361">
        <v>0</v>
      </c>
    </row>
    <row r="3362">
      <c r="A3362" t="inlineStr">
        <is>
          <t>market for hydrogen, gaseous, low pressure</t>
        </is>
      </c>
      <c r="B3362">
        <v>0.005469534948887208</v>
      </c>
      <c r="C3362" t="inlineStr">
        <is>
          <t>RoW</t>
        </is>
      </c>
      <c r="D3362" t="inlineStr">
        <is>
          <t>kilogram</t>
        </is>
      </c>
      <c r="F3362" t="inlineStr">
        <is>
          <t>technosphere</t>
        </is>
      </c>
      <c r="G3362" t="inlineStr">
        <is>
          <t>hydrogen, gaseous, low pressure</t>
        </is>
      </c>
      <c r="I3362">
        <v>0</v>
      </c>
    </row>
    <row r="3363">
      <c r="A3363" t="inlineStr">
        <is>
          <t>market for hydrogen, gaseous, low pressure</t>
        </is>
      </c>
      <c r="B3363">
        <v>0.0007686670431839547</v>
      </c>
      <c r="C3363" t="inlineStr">
        <is>
          <t>RER</t>
        </is>
      </c>
      <c r="D3363" t="inlineStr">
        <is>
          <t>kilogram</t>
        </is>
      </c>
      <c r="F3363" t="inlineStr">
        <is>
          <t>technosphere</t>
        </is>
      </c>
      <c r="G3363" t="inlineStr">
        <is>
          <t>hydrogen, gaseous, low pressure</t>
        </is>
      </c>
      <c r="I3363">
        <v>0</v>
      </c>
    </row>
    <row r="3364">
      <c r="A3364" t="inlineStr">
        <is>
          <t>market for hydrogen, gaseous, low pressure</t>
        </is>
      </c>
      <c r="B3364">
        <v>0.000800532623670244</v>
      </c>
      <c r="C3364" t="inlineStr">
        <is>
          <t>US</t>
        </is>
      </c>
      <c r="D3364" t="inlineStr">
        <is>
          <t>kilogram</t>
        </is>
      </c>
      <c r="F3364" t="inlineStr">
        <is>
          <t>technosphere</t>
        </is>
      </c>
      <c r="G3364" t="inlineStr">
        <is>
          <t>hydrogen, gaseous, low pressure</t>
        </is>
      </c>
      <c r="I3364">
        <v>0</v>
      </c>
    </row>
    <row r="3365">
      <c r="A3365" t="inlineStr">
        <is>
          <t>1,1,1,2-Tetrafluoroethane</t>
        </is>
      </c>
      <c r="B3365">
        <v>3.61473411282046e-06</v>
      </c>
      <c r="D3365" t="inlineStr">
        <is>
          <t>kilogram</t>
        </is>
      </c>
      <c r="E3365" t="inlineStr">
        <is>
          <t>air::unspecified</t>
        </is>
      </c>
      <c r="F3365" t="inlineStr">
        <is>
          <t>biosphere</t>
        </is>
      </c>
      <c r="I3365">
        <v>0</v>
      </c>
    </row>
    <row r="3366">
      <c r="A3366" t="inlineStr">
        <is>
          <t>market for battery capacity (MIX scenario)</t>
        </is>
      </c>
      <c r="B3366">
        <v>1.80736705641023e-05</v>
      </c>
      <c r="C3366" t="inlineStr">
        <is>
          <t>GLO</t>
        </is>
      </c>
      <c r="D3366" t="inlineStr">
        <is>
          <t>kilowatt hour</t>
        </is>
      </c>
      <c r="F3366" t="inlineStr">
        <is>
          <t>technosphere</t>
        </is>
      </c>
      <c r="G3366" t="inlineStr">
        <is>
          <t>electricity storage capacity</t>
        </is>
      </c>
      <c r="H3366" t="inlineStr">
        <is>
          <t> Energy-use allocation: 80 * 6.802721088435375e-08 / 0.3011107705790258 MJ per person kilometer.</t>
        </is>
      </c>
      <c r="I3366">
        <v>0</v>
      </c>
    </row>
    <row r="3367">
      <c r="A3367" t="inlineStr">
        <is>
          <t>fuel tank assembly, compressed hydrogen gas, 700bar</t>
        </is>
      </c>
      <c r="B3367">
        <v>5.979429613276095e-05</v>
      </c>
      <c r="C3367" t="inlineStr">
        <is>
          <t>RER</t>
        </is>
      </c>
      <c r="D3367" t="inlineStr">
        <is>
          <t>kilogram</t>
        </is>
      </c>
      <c r="F3367" t="inlineStr">
        <is>
          <t>technosphere</t>
        </is>
      </c>
      <c r="G3367" t="inlineStr">
        <is>
          <t>fuel tank, compressed hydrogen gas, 700bar</t>
        </is>
      </c>
      <c r="H3367" t="inlineStr">
        <is>
          <t> Energy-use allocation: 264.6691867960618 * 6.802721088435375e-08 / 0.3011107705790258 MJ per person kilometer.</t>
        </is>
      </c>
      <c r="I3367">
        <v>0</v>
      </c>
    </row>
    <row r="3368">
      <c r="A3368" t="inlineStr">
        <is>
          <t>fuel cell system assembly, 1 kWe, proton exchange membrane (PEM)</t>
        </is>
      </c>
      <c r="B3368">
        <v>2.1650617512263743e-05</v>
      </c>
      <c r="C3368" t="inlineStr">
        <is>
          <t>GLO</t>
        </is>
      </c>
      <c r="D3368" t="inlineStr">
        <is>
          <t>unit</t>
        </is>
      </c>
      <c r="F3368" t="inlineStr">
        <is>
          <t>technosphere</t>
        </is>
      </c>
      <c r="G3368" t="inlineStr">
        <is>
          <t>fuel cell system, 1 kWe, proton exchange membrane (PEM)</t>
        </is>
      </c>
      <c r="H3368" t="inlineStr">
        <is>
          <t> Energy-use allocation: 95.83274160265344 * 6.802721088435375e-08 / 0.3011107705790258 MJ per person kilometer.</t>
        </is>
      </c>
      <c r="I3368">
        <v>0</v>
      </c>
    </row>
    <row r="3369">
      <c r="A3369" t="inlineStr">
        <is>
          <t>gearbox, for lorry</t>
        </is>
      </c>
      <c r="B3369">
        <v>3.5606938083595576e-05</v>
      </c>
      <c r="C3369" t="inlineStr">
        <is>
          <t>RER</t>
        </is>
      </c>
      <c r="D3369" t="inlineStr">
        <is>
          <t>kilogram</t>
        </is>
      </c>
      <c r="F3369" t="inlineStr">
        <is>
          <t>technosphere</t>
        </is>
      </c>
      <c r="G3369" t="inlineStr">
        <is>
          <t>gearbox, for lorry</t>
        </is>
      </c>
      <c r="H3369" t="inlineStr">
        <is>
          <t> Energy-use allocation: 157.6079986953735 * 6.802721088435375e-08 / 0.3011107705790258 MJ per person kilometer.</t>
        </is>
      </c>
      <c r="I3369">
        <v>0</v>
      </c>
    </row>
    <row r="3370">
      <c r="A3370" t="inlineStr">
        <is>
          <t>market for converter, for electric passenger car</t>
        </is>
      </c>
      <c r="B3370">
        <v>5.648022051281969e-06</v>
      </c>
      <c r="C3370" t="inlineStr">
        <is>
          <t>GLO</t>
        </is>
      </c>
      <c r="D3370" t="inlineStr">
        <is>
          <t>kilogram</t>
        </is>
      </c>
      <c r="F3370" t="inlineStr">
        <is>
          <t>technosphere</t>
        </is>
      </c>
      <c r="G3370" t="inlineStr">
        <is>
          <t>converter, for electric passenger car</t>
        </is>
      </c>
      <c r="H3370" t="inlineStr">
        <is>
          <t> Energy-use allocation: 25 * 6.802721088435375e-08 / 0.3011107705790258 MJ per person kilometer.</t>
        </is>
      </c>
      <c r="I3370">
        <v>0</v>
      </c>
    </row>
    <row r="3371">
      <c r="A3371" t="inlineStr">
        <is>
          <t>market for electric motor, electric passenger car</t>
        </is>
      </c>
      <c r="B3371">
        <v>2.39517091089493e-05</v>
      </c>
      <c r="C3371" t="inlineStr">
        <is>
          <t>GLO</t>
        </is>
      </c>
      <c r="D3371" t="inlineStr">
        <is>
          <t>kilogram</t>
        </is>
      </c>
      <c r="F3371" t="inlineStr">
        <is>
          <t>technosphere</t>
        </is>
      </c>
      <c r="G3371" t="inlineStr">
        <is>
          <t>electric motor, electric passenger car</t>
        </is>
      </c>
      <c r="H3371" t="inlineStr">
        <is>
          <t> Energy-use allocation: 106.0181285212618 * 6.802721088435375e-08 / 0.3011107705790258 MJ per person kilometer.</t>
        </is>
      </c>
      <c r="I3371">
        <v>0</v>
      </c>
    </row>
    <row r="3372">
      <c r="A3372" t="inlineStr">
        <is>
          <t>market for inverter, for electric passenger car</t>
        </is>
      </c>
      <c r="B3372">
        <v>3.1713505178009935e-06</v>
      </c>
      <c r="C3372" t="inlineStr">
        <is>
          <t>GLO</t>
        </is>
      </c>
      <c r="D3372" t="inlineStr">
        <is>
          <t>kilogram</t>
        </is>
      </c>
      <c r="F3372" t="inlineStr">
        <is>
          <t>technosphere</t>
        </is>
      </c>
      <c r="G3372" t="inlineStr">
        <is>
          <t>inverter, for electric passenger car</t>
        </is>
      </c>
      <c r="H3372" t="inlineStr">
        <is>
          <t> Energy-use allocation: 14.03743863341137 * 6.802721088435375e-08 / 0.3011107705790258 MJ per person kilometer.</t>
        </is>
      </c>
      <c r="I3372">
        <v>0</v>
      </c>
    </row>
    <row r="3373">
      <c r="A3373" t="inlineStr">
        <is>
          <t>market for power distribution unit, for electric passenger car</t>
        </is>
      </c>
      <c r="B3373">
        <v>8.133151753846036e-06</v>
      </c>
      <c r="C3373" t="inlineStr">
        <is>
          <t>GLO</t>
        </is>
      </c>
      <c r="D3373" t="inlineStr">
        <is>
          <t>kilogram</t>
        </is>
      </c>
      <c r="F3373" t="inlineStr">
        <is>
          <t>technosphere</t>
        </is>
      </c>
      <c r="G3373" t="inlineStr">
        <is>
          <t>power distribution unit, for electric passenger car</t>
        </is>
      </c>
      <c r="H3373" t="inlineStr">
        <is>
          <t> Energy-use allocation: 36 * 6.802721088435375e-08 / 0.3011107705790258 MJ per person kilometer.</t>
        </is>
      </c>
      <c r="I3373">
        <v>0</v>
      </c>
    </row>
    <row r="3374">
      <c r="A3374" t="inlineStr">
        <is>
          <t>power electronics, for lorry</t>
        </is>
      </c>
      <c r="B3374">
        <v>4.970259405128133e-05</v>
      </c>
      <c r="C3374" t="inlineStr">
        <is>
          <t>RER</t>
        </is>
      </c>
      <c r="D3374" t="inlineStr">
        <is>
          <t>kilogram</t>
        </is>
      </c>
      <c r="F3374" t="inlineStr">
        <is>
          <t>technosphere</t>
        </is>
      </c>
      <c r="G3374" t="inlineStr">
        <is>
          <t>power electronics, for lorry</t>
        </is>
      </c>
      <c r="H3374" t="inlineStr">
        <is>
          <t> Energy-use allocation: 220 * 6.802721088435375e-08 / 0.3011107705790258 MJ per person kilometer.</t>
        </is>
      </c>
      <c r="I3374">
        <v>0</v>
      </c>
    </row>
    <row r="3375">
      <c r="A3375" t="inlineStr">
        <is>
          <t>retarder, for lorry</t>
        </is>
      </c>
      <c r="B3375">
        <v>1.1868979361198527e-05</v>
      </c>
      <c r="C3375" t="inlineStr">
        <is>
          <t>RER</t>
        </is>
      </c>
      <c r="D3375" t="inlineStr">
        <is>
          <t>kilogram</t>
        </is>
      </c>
      <c r="F3375" t="inlineStr">
        <is>
          <t>technosphere</t>
        </is>
      </c>
      <c r="G3375" t="inlineStr">
        <is>
          <t>retarder, for lorry</t>
        </is>
      </c>
      <c r="H3375" t="inlineStr">
        <is>
          <t> Energy-use allocation: 52.53599956512451 * 6.802721088435375e-08 / 0.3011107705790258 MJ per person kilometer.</t>
        </is>
      </c>
      <c r="I3375">
        <v>0</v>
      </c>
    </row>
    <row r="3376">
      <c r="A3376" t="inlineStr">
        <is>
          <t>transmission, for lorry</t>
        </is>
      </c>
      <c r="B3376">
        <v>5.1432243898526936e-05</v>
      </c>
      <c r="C3376" t="inlineStr">
        <is>
          <t>RER</t>
        </is>
      </c>
      <c r="D3376" t="inlineStr">
        <is>
          <t>kilogram</t>
        </is>
      </c>
      <c r="F3376" t="inlineStr">
        <is>
          <t>technosphere</t>
        </is>
      </c>
      <c r="G3376" t="inlineStr">
        <is>
          <t>transmission, for lorry</t>
        </is>
      </c>
      <c r="H3376" t="inlineStr">
        <is>
          <t> Energy-use allocation: 227.6559981155395 * 6.802721088435375e-08 / 0.3011107705790258 MJ per person kilometer.</t>
        </is>
      </c>
      <c r="I3376">
        <v>0</v>
      </c>
    </row>
    <row r="3377">
      <c r="A3377" t="inlineStr">
        <is>
          <t>market for refrigerant R134a</t>
        </is>
      </c>
      <c r="B3377">
        <v>5.309140728205051e-06</v>
      </c>
      <c r="C3377" t="inlineStr">
        <is>
          <t>GLO</t>
        </is>
      </c>
      <c r="D3377" t="inlineStr">
        <is>
          <t>kilogram</t>
        </is>
      </c>
      <c r="F3377" t="inlineStr">
        <is>
          <t>technosphere</t>
        </is>
      </c>
      <c r="G3377" t="inlineStr">
        <is>
          <t>refrigerant R134a</t>
        </is>
      </c>
      <c r="I3377">
        <v>0</v>
      </c>
    </row>
    <row r="3378">
      <c r="A3378" t="inlineStr">
        <is>
          <t>treatment of brake wear emissions, lorry</t>
        </is>
      </c>
      <c r="B3378">
        <v>-6.976567328559644e-06</v>
      </c>
      <c r="C3378" t="inlineStr">
        <is>
          <t>RER</t>
        </is>
      </c>
      <c r="D3378" t="inlineStr">
        <is>
          <t>kilogram</t>
        </is>
      </c>
      <c r="F3378" t="inlineStr">
        <is>
          <t>technosphere</t>
        </is>
      </c>
      <c r="G3378" t="inlineStr">
        <is>
          <t>brake wear emissions, lorry</t>
        </is>
      </c>
      <c r="I3378">
        <v>0</v>
      </c>
    </row>
    <row r="3379">
      <c r="A3379" t="inlineStr">
        <is>
          <t>treatment of road wear emissions, lorry</t>
        </is>
      </c>
      <c r="B3379">
        <v>-1.413092512481602e-05</v>
      </c>
      <c r="C3379" t="inlineStr">
        <is>
          <t>RER</t>
        </is>
      </c>
      <c r="D3379" t="inlineStr">
        <is>
          <t>kilogram</t>
        </is>
      </c>
      <c r="F3379" t="inlineStr">
        <is>
          <t>technosphere</t>
        </is>
      </c>
      <c r="G3379" t="inlineStr">
        <is>
          <t>road wear emissions, lorry</t>
        </is>
      </c>
      <c r="I3379">
        <v>0</v>
      </c>
    </row>
    <row r="3380">
      <c r="A3380" t="inlineStr">
        <is>
          <t>treatment of tyre wear emissions, lorry</t>
        </is>
      </c>
      <c r="B3380">
        <v>-1.1899051805640736e-05</v>
      </c>
      <c r="C3380" t="inlineStr">
        <is>
          <t>RER</t>
        </is>
      </c>
      <c r="D3380" t="inlineStr">
        <is>
          <t>kilogram</t>
        </is>
      </c>
      <c r="F3380" t="inlineStr">
        <is>
          <t>technosphere</t>
        </is>
      </c>
      <c r="G3380" t="inlineStr">
        <is>
          <t>tyre wear emissions, lorry</t>
        </is>
      </c>
      <c r="I3380">
        <v>0</v>
      </c>
    </row>
    <row r="3381"/>
    <row r="3382">
      <c r="A3382" t="inlineStr">
        <is>
          <t>Activity</t>
        </is>
      </c>
      <c r="B3382" t="inlineStr">
        <is>
          <t>petrol, burned in light duty vehicle</t>
        </is>
      </c>
    </row>
    <row r="3383">
      <c r="A3383" t="inlineStr">
        <is>
          <t>location</t>
        </is>
      </c>
      <c r="B3383" t="inlineStr">
        <is>
          <t>CH</t>
        </is>
      </c>
    </row>
    <row r="3384">
      <c r="A3384" t="inlineStr">
        <is>
          <t>production amount</t>
        </is>
      </c>
      <c r="B3384">
        <v>1</v>
      </c>
    </row>
    <row r="3385">
      <c r="A3385" t="inlineStr">
        <is>
          <t>reference product</t>
        </is>
      </c>
      <c r="B3385" t="inlineStr">
        <is>
          <t>heat</t>
        </is>
      </c>
    </row>
    <row r="3386">
      <c r="A3386" t="inlineStr">
        <is>
          <t>type</t>
        </is>
      </c>
      <c r="B3386" t="inlineStr">
        <is>
          <t>process</t>
        </is>
      </c>
    </row>
    <row r="3387">
      <c r="A3387" t="inlineStr">
        <is>
          <t>unit</t>
        </is>
      </c>
      <c r="B3387" t="inlineStr">
        <is>
          <t>megajoule</t>
        </is>
      </c>
    </row>
    <row r="3388">
      <c r="A3388" t="inlineStr">
        <is>
          <t>energy use source</t>
        </is>
      </c>
      <c r="B3388" t="inlineStr">
        <is>
          <t>{"source": ["transport, freight, lorry, gasoline, 3.5 metric ton", "transport, freight, lorry", "RER", "ton kilometer"], "source unit": "ton kilometer", "purchased MJ per source service": 3.9910248862093187, "boundary": "energy-specific equipment; excludes chassis, body, roads and whole-vehicle maintenance", "retained equipment": [{"supplier": ["exhaust system, for lorry, carculator regional truck 2020", "exhaust system, for lorry", "RER", "kilogram"], "amount per vehicle": 44, "vehicle per source service": 4.901960892311763e-06, "replacement correction factor": 1.0, "amount per MJ": 5.404282995252799e-05}, {"supplier": ["fuel tank, for diesel vehicle, carculator regional truck 2020", "fuel tank", "RER", "kilogram"], "amount per vehicle": 30.33377456665039, "vehicle per source service": 4.901960892311763e-06, "replacement correction factor": 1.0, "amount per MJ": 3.725734138008649e-05}, {"supplier": ["gearbox, for lorry, carculator regional truck 2020", "gearbox, for lorry", "RER", "kilogram"], "amount per vehicle": 29.73600006103516, "vehicle per source service": 4.901960892311763e-06, "replacement correction factor": 1.0, "amount per MJ": 3.652312715379284e-05}, {"supplier": ["internal combustion engine, for lorry, carculator regional truck 2020", "internal combustion engine, for lorry", "RER", "kilogram"], "amount per vehicle": 444.209716796875, "vehicle per source service": 4.901960892311763e-06, "replacement correction factor": 1.0, "amount per MJ": 0.0005455988679116848}, {"supplier": ["lead acid battery, for lorry, carculator regional truck 2020", "lead acid battery, for lorry", "RER", "kilogram"], "amount per vehicle": 38.41129684448242, "vehicle per source service": 4.901960892311763e-06, "replacement correction factor": 1.0, "amount per MJ": 4.7178526900509966e-05}, {"supplier": ["power electronics, for lorry, carculator regional truck 2020", "power electronics, for lorry", "RER", "kilogram"], "amount per vehicle": 24, "vehicle per source service": 4.901960892311763e-06, "replacement correction factor": 1.0, "amount per MJ": 2.9477907246833448e-05}, {"supplier": ["retarder, for lorry, carculator regional truck 2020", "retarder, for lorry", "RER", "kilogram"], "amount per vehicle": 9.911999702453613, "vehicle per source service": 4.901960892311763e-06, "replacement correction factor": 1.0, "amount per MJ": 1.2174375327482016e-05}, {"supplier": ["transmission, for lorry, carculator regional truck 2020", "transmission, for lorry", "RER", "kilogram"], "amount per vehicle": 42.95199584960938, "vehicle per source service": 4.901960892311763e-06, "replacement correction factor": 1.0, "amount per MJ": 5.275562290504836e-05}], "excluded": [{"supplier": "market for road", "amount per source service": 0.002118049344668786}, {"supplier": "market for road maintenance", "amount per source service": 0.00172}, {"supplier": ["assembly operation, for lorry, carculator regional truck 2020", "assembly operation, for lorry", "RER", "kilogram"], "amount per vehicle": 2133.16943359375, "vehicle per source service": 4.901960892311763e-06}, {"supplier": ["frame, blanks and saddle, for lorry, carculator regional truck 2020", "frame, blanks and saddle, for lorry", "RER", "kilogram"], "amount per vehicle": 703, "vehicle per source service": 4.901960892311763e-06}, {"supplier": ["glider lightweighting, carculator regional truck 2020", "glider lightweighting", "GLO", "kilogram"], "amount per vehicle": 35.15000152587891, "vehicle per source service": 4.901960892311763e-06}, {"supplier": ["other components, for hybrid electric lorry, carculator regional truck 2020", "other components, for hybrid electric lorry", "RER", "kilogram"], "amount per vehicle": 119, "vehicle per source service": 4.901960892311763e-06}, {"supplier": ["suspension, for lorry, carculator regional truck 2020", "suspension, for lorry", "RER", "kilogram"], "amount per vehicle": 334, "vehicle per source service": 4.901960892311763e-06}, {"supplier": ["tires and wheels, for lorry, carculator regional truck 2020", "tires and wheels, for lorry", "RER", "kilogram"], "amount per vehicle": 194, "vehicle per source service": 4.901960892311763e-06}, {"supplier": ["maintenance, lorry 16 metric ton", "maintenance, lorry 16 metric ton", "CH", "unit"], "amount per vehicle": 0.21875, "vehicle per source service": 4.901960892311763e-06}, {"supplier": ["treatment of used lorry, 16 metric ton", "used lorry, 16 metric ton", "CH", "unit"], "amount per vehicle": -0.21875, "vehicle per source service": 4.901960892311763e-06}], "alternative fuel recipe retained": false}</t>
        </is>
      </c>
    </row>
    <row r="3389">
      <c r="A3389" t="inlineStr">
        <is>
          <t>comment</t>
        </is>
      </c>
      <c r="B3389" t="inlineStr">
        <is>
          <t>Produces consumption of 1 MJ of purchased energy. Representative powertrain carrier: gasoline. energy-specific equipment; excludes chassis, body, roads and whole-vehicle maintenance. Source transport, freight, lorry, gasoline, 3.5 metric ton [RER]; 3.99102488620932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750 kg payload, 22660 km/year; Swiss climate. Combustion factors: EURO-VI. Operating fuel blends and electricity supplied by Premise regional scenario markets. Energy-battery capacity includes replacements and end of life through Premise capacity markets. Noise retained in companion audit only. Explicit gasoline proxy: diesel vehicle manufacture (including tank), efficiency, maintenance and non-CO2 combustion factors. Fuel energy preserved with target-fuel-specific LHV and CO2; this is not an independently modelled gasoline/LPG vehicle. Manufacture year: 2020. Km over lifetime: 272000 km. Km per year: 22660 km/year. Tank-to-wheel efficiency: 22.2 \%. Tank-to-wheel energy consumption: 2993 kj/km. Fuel consumption: 8.4 l/100km. Electricity consumption: 0.0 kWh/100km. Battery capacity: 0.0 kWh. Fuel tank capacity: 332 kWh. Power share from combustion engine: 100.0 \%. Combustion engine power: 140 kW. Electric motor power: 0.0 kW. Curb mass (excl. driver and cargo): 2133 kg. Driving mass (incl. driver and cargo): 2958 kg. Battery mass: 0.0 kg. Fuel cell system efficiency: 0.0 \%. Number of passengers onboard: 1.0 passenger(s). Available payload: 1291 kg. Payload: 750 kg. Load factor: 58.1 \%. Autonomy on a full tank/battery: 400 km.  Carbon accounting: full-oxidation CO2 plus separately estimated pollutants; not a closed elemental carbon balance.</t>
        </is>
      </c>
    </row>
    <row r="3390">
      <c r="A3390" t="inlineStr">
        <is>
          <t>Exchanges</t>
        </is>
      </c>
    </row>
    <row r="3391">
      <c r="A3391" t="inlineStr">
        <is>
          <t>name</t>
        </is>
      </c>
      <c r="B3391" t="inlineStr">
        <is>
          <t>amount</t>
        </is>
      </c>
      <c r="C3391" t="inlineStr">
        <is>
          <t>location</t>
        </is>
      </c>
      <c r="D3391" t="inlineStr">
        <is>
          <t>unit</t>
        </is>
      </c>
      <c r="E3391" t="inlineStr">
        <is>
          <t>categories</t>
        </is>
      </c>
      <c r="F3391" t="inlineStr">
        <is>
          <t>type</t>
        </is>
      </c>
      <c r="G3391" t="inlineStr">
        <is>
          <t>reference product</t>
        </is>
      </c>
      <c r="H3391" t="inlineStr">
        <is>
          <t>comment</t>
        </is>
      </c>
      <c r="I3391" t="inlineStr">
        <is>
          <t>uncertainty type</t>
        </is>
      </c>
    </row>
    <row r="3392">
      <c r="A3392" t="inlineStr">
        <is>
          <t>petrol, burned in light duty vehicle</t>
        </is>
      </c>
      <c r="B3392">
        <v>1.0</v>
      </c>
      <c r="C3392" t="inlineStr">
        <is>
          <t>CH</t>
        </is>
      </c>
      <c r="D3392" t="inlineStr">
        <is>
          <t>megajoule</t>
        </is>
      </c>
      <c r="F3392" t="inlineStr">
        <is>
          <t>production</t>
        </is>
      </c>
      <c r="G3392" t="inlineStr">
        <is>
          <t>heat</t>
        </is>
      </c>
      <c r="I3392">
        <v>0</v>
      </c>
    </row>
    <row r="3393">
      <c r="A3393" t="inlineStr">
        <is>
          <t>market for petrol, low-sulfur</t>
        </is>
      </c>
      <c r="B3393">
        <v>0.023474178403755867</v>
      </c>
      <c r="C3393" t="inlineStr">
        <is>
          <t>Europe without Switzerland</t>
        </is>
      </c>
      <c r="D3393" t="inlineStr">
        <is>
          <t>kilogram</t>
        </is>
      </c>
      <c r="F3393" t="inlineStr">
        <is>
          <t>technosphere</t>
        </is>
      </c>
      <c r="G3393" t="inlineStr">
        <is>
          <t>petrol, low-sulfur</t>
        </is>
      </c>
      <c r="H3393" t="inlineStr">
        <is>
          <t>Model fuel energy retained: 3.99102488621 MJ/tkm; reference LHV 42.6 MJ/kg. Premise determines regional blends.</t>
        </is>
      </c>
      <c r="I3393">
        <v>0</v>
      </c>
    </row>
    <row r="3394">
      <c r="A3394" t="inlineStr">
        <is>
          <t>market for tetrafluoroethane, R134a</t>
        </is>
      </c>
      <c r="B3394">
        <v>2.5056219974806436e-06</v>
      </c>
      <c r="C3394" t="inlineStr">
        <is>
          <t>GLO</t>
        </is>
      </c>
      <c r="D3394" t="inlineStr">
        <is>
          <t>kilogram</t>
        </is>
      </c>
      <c r="F3394" t="inlineStr">
        <is>
          <t>technosphere</t>
        </is>
      </c>
      <c r="G3394" t="inlineStr">
        <is>
          <t>tetrafluoroethane, R134a</t>
        </is>
      </c>
      <c r="I3394">
        <v>0</v>
      </c>
    </row>
    <row r="3395">
      <c r="A3395" t="inlineStr">
        <is>
          <t>treatment of brake wear emissions, lorry</t>
        </is>
      </c>
      <c r="B3395">
        <v>-6.146224928097693e-06</v>
      </c>
      <c r="C3395" t="inlineStr">
        <is>
          <t>RER</t>
        </is>
      </c>
      <c r="D3395" t="inlineStr">
        <is>
          <t>kilogram</t>
        </is>
      </c>
      <c r="F3395" t="inlineStr">
        <is>
          <t>technosphere</t>
        </is>
      </c>
      <c r="G3395" t="inlineStr">
        <is>
          <t>brake wear emissions, lorry</t>
        </is>
      </c>
      <c r="I3395">
        <v>0</v>
      </c>
    </row>
    <row r="3396">
      <c r="A3396" t="inlineStr">
        <is>
          <t>treatment of road wear emissions, lorry</t>
        </is>
      </c>
      <c r="B3396">
        <v>-8.480316063832114e-06</v>
      </c>
      <c r="C3396" t="inlineStr">
        <is>
          <t>RER</t>
        </is>
      </c>
      <c r="D3396" t="inlineStr">
        <is>
          <t>kilogram</t>
        </is>
      </c>
      <c r="F3396" t="inlineStr">
        <is>
          <t>technosphere</t>
        </is>
      </c>
      <c r="G3396" t="inlineStr">
        <is>
          <t>road wear emissions, lorry</t>
        </is>
      </c>
      <c r="I3396">
        <v>0</v>
      </c>
    </row>
    <row r="3397">
      <c r="A3397" t="inlineStr">
        <is>
          <t>treatment of tyre wear emissions, lorry</t>
        </is>
      </c>
      <c r="B3397">
        <v>-8.613245941385969e-06</v>
      </c>
      <c r="C3397" t="inlineStr">
        <is>
          <t>RER</t>
        </is>
      </c>
      <c r="D3397" t="inlineStr">
        <is>
          <t>kilogram</t>
        </is>
      </c>
      <c r="F3397" t="inlineStr">
        <is>
          <t>technosphere</t>
        </is>
      </c>
      <c r="G3397" t="inlineStr">
        <is>
          <t>tyre wear emissions, lorry</t>
        </is>
      </c>
      <c r="I3397">
        <v>0</v>
      </c>
    </row>
    <row r="3398">
      <c r="A3398" t="inlineStr">
        <is>
          <t>Toluene</t>
        </is>
      </c>
      <c r="B3398">
        <v>9.243643685354034e-11</v>
      </c>
      <c r="D3398" t="inlineStr">
        <is>
          <t>kilogram</t>
        </is>
      </c>
      <c r="E3398" t="inlineStr">
        <is>
          <t>air::non-urban air or from high stacks</t>
        </is>
      </c>
      <c r="F3398" t="inlineStr">
        <is>
          <t>biosphere</t>
        </is>
      </c>
      <c r="I3398">
        <v>0</v>
      </c>
    </row>
    <row r="3399">
      <c r="A3399" t="inlineStr">
        <is>
          <t>NMVOC, non-methane volatile organic compounds</t>
        </is>
      </c>
      <c r="B3399">
        <v>7.515082108670604e-07</v>
      </c>
      <c r="D3399" t="inlineStr">
        <is>
          <t>kilogram</t>
        </is>
      </c>
      <c r="E3399" t="inlineStr">
        <is>
          <t>air::non-urban air or from high stacks</t>
        </is>
      </c>
      <c r="F3399" t="inlineStr">
        <is>
          <t>biosphere</t>
        </is>
      </c>
      <c r="I3399">
        <v>0</v>
      </c>
    </row>
    <row r="3400">
      <c r="A3400" t="inlineStr">
        <is>
          <t>Dinitrogen monoxide</t>
        </is>
      </c>
      <c r="B3400">
        <v>1.748552116484618e-05</v>
      </c>
      <c r="D3400" t="inlineStr">
        <is>
          <t>kilogram</t>
        </is>
      </c>
      <c r="E3400" t="inlineStr">
        <is>
          <t>air::non-urban air or from high stacks</t>
        </is>
      </c>
      <c r="F3400" t="inlineStr">
        <is>
          <t>biosphere</t>
        </is>
      </c>
      <c r="I3400">
        <v>0</v>
      </c>
    </row>
    <row r="3401">
      <c r="A3401" t="inlineStr">
        <is>
          <t>Ethane</t>
        </is>
      </c>
      <c r="B3401">
        <v>7.694601061708916e-11</v>
      </c>
      <c r="D3401" t="inlineStr">
        <is>
          <t>kilogram</t>
        </is>
      </c>
      <c r="E3401" t="inlineStr">
        <is>
          <t>air::urban air close to ground</t>
        </is>
      </c>
      <c r="F3401" t="inlineStr">
        <is>
          <t>biosphere</t>
        </is>
      </c>
      <c r="I3401">
        <v>0</v>
      </c>
    </row>
    <row r="3402">
      <c r="A3402" t="inlineStr">
        <is>
          <t>Pentane</t>
        </is>
      </c>
      <c r="B3402">
        <v>1.5389202123417832e-10</v>
      </c>
      <c r="D3402" t="inlineStr">
        <is>
          <t>kilogram</t>
        </is>
      </c>
      <c r="E3402" t="inlineStr">
        <is>
          <t>air::urban air close to ground</t>
        </is>
      </c>
      <c r="F3402" t="inlineStr">
        <is>
          <t>biosphere</t>
        </is>
      </c>
      <c r="I3402">
        <v>0</v>
      </c>
    </row>
    <row r="3403">
      <c r="A3403" t="inlineStr">
        <is>
          <t>Selenium IV</t>
        </is>
      </c>
      <c r="B3403">
        <v>1.823912502533892e-12</v>
      </c>
      <c r="D3403" t="inlineStr">
        <is>
          <t>kilogram</t>
        </is>
      </c>
      <c r="E3403" t="inlineStr">
        <is>
          <t>air::non-urban air or from high stacks</t>
        </is>
      </c>
      <c r="F3403" t="inlineStr">
        <is>
          <t>biosphere</t>
        </is>
      </c>
      <c r="I3403">
        <v>0</v>
      </c>
    </row>
    <row r="3404">
      <c r="A3404" t="inlineStr">
        <is>
          <t>Arsenic ion</t>
        </is>
      </c>
      <c r="B3404">
        <v>1.823912502533892e-12</v>
      </c>
      <c r="D3404" t="inlineStr">
        <is>
          <t>kilogram</t>
        </is>
      </c>
      <c r="E3404" t="inlineStr">
        <is>
          <t>air::non-urban air or from high stacks</t>
        </is>
      </c>
      <c r="F3404" t="inlineStr">
        <is>
          <t>biosphere</t>
        </is>
      </c>
      <c r="I3404">
        <v>0</v>
      </c>
    </row>
    <row r="3405">
      <c r="A3405" t="inlineStr">
        <is>
          <t>Arsenic ion</t>
        </is>
      </c>
      <c r="B3405">
        <v>5.060875675214197e-13</v>
      </c>
      <c r="D3405" t="inlineStr">
        <is>
          <t>kilogram</t>
        </is>
      </c>
      <c r="E3405" t="inlineStr">
        <is>
          <t>air::urban air close to ground</t>
        </is>
      </c>
      <c r="F3405" t="inlineStr">
        <is>
          <t>biosphere</t>
        </is>
      </c>
      <c r="I3405">
        <v>0</v>
      </c>
    </row>
    <row r="3406">
      <c r="A3406" t="inlineStr">
        <is>
          <t>Particulate Matter, &lt; 2.5 um</t>
        </is>
      </c>
      <c r="B3406">
        <v>1.3079756711442602e-07</v>
      </c>
      <c r="D3406" t="inlineStr">
        <is>
          <t>kilogram</t>
        </is>
      </c>
      <c r="E3406" t="inlineStr">
        <is>
          <t>air::urban air close to ground</t>
        </is>
      </c>
      <c r="F3406" t="inlineStr">
        <is>
          <t>biosphere</t>
        </is>
      </c>
      <c r="I3406">
        <v>0</v>
      </c>
    </row>
    <row r="3407">
      <c r="A3407" t="inlineStr">
        <is>
          <t>Nickel II</t>
        </is>
      </c>
      <c r="B3407">
        <v>3.63999713773777e-12</v>
      </c>
      <c r="D3407" t="inlineStr">
        <is>
          <t>kilogram</t>
        </is>
      </c>
      <c r="E3407" t="inlineStr">
        <is>
          <t>air::non-urban air or from high stacks</t>
        </is>
      </c>
      <c r="F3407" t="inlineStr">
        <is>
          <t>biosphere</t>
        </is>
      </c>
      <c r="I3407">
        <v>0</v>
      </c>
    </row>
    <row r="3408">
      <c r="A3408" t="inlineStr">
        <is>
          <t>Methane, fossil</t>
        </is>
      </c>
      <c r="B3408">
        <v>2.2730256281595843e-08</v>
      </c>
      <c r="D3408" t="inlineStr">
        <is>
          <t>kilogram</t>
        </is>
      </c>
      <c r="E3408" t="inlineStr">
        <is>
          <t>air::non-urban air or from high stacks</t>
        </is>
      </c>
      <c r="F3408" t="inlineStr">
        <is>
          <t>biosphere</t>
        </is>
      </c>
      <c r="I3408">
        <v>0</v>
      </c>
    </row>
    <row r="3409">
      <c r="A3409" t="inlineStr">
        <is>
          <t>Mercury II</t>
        </is>
      </c>
      <c r="B3409">
        <v>9.628379510673034e-11</v>
      </c>
      <c r="D3409" t="inlineStr">
        <is>
          <t>kilogram</t>
        </is>
      </c>
      <c r="E3409" t="inlineStr">
        <is>
          <t>air::non-urban air or from high stacks</t>
        </is>
      </c>
      <c r="F3409" t="inlineStr">
        <is>
          <t>biosphere</t>
        </is>
      </c>
      <c r="I3409">
        <v>0</v>
      </c>
    </row>
    <row r="3410">
      <c r="A3410" t="inlineStr">
        <is>
          <t>Ammonia</t>
        </is>
      </c>
      <c r="B3410">
        <v>7.217503800183741e-06</v>
      </c>
      <c r="D3410" t="inlineStr">
        <is>
          <t>kilogram</t>
        </is>
      </c>
      <c r="E3410" t="inlineStr">
        <is>
          <t>air::non-urban air or from high stacks</t>
        </is>
      </c>
      <c r="F3410" t="inlineStr">
        <is>
          <t>biosphere</t>
        </is>
      </c>
      <c r="I3410">
        <v>0</v>
      </c>
    </row>
    <row r="3411">
      <c r="A3411" t="inlineStr">
        <is>
          <t>Ethane</t>
        </is>
      </c>
      <c r="B3411">
        <v>2.773093012879567e-10</v>
      </c>
      <c r="D3411" t="inlineStr">
        <is>
          <t>kilogram</t>
        </is>
      </c>
      <c r="E3411" t="inlineStr">
        <is>
          <t>air::non-urban air or from high stacks</t>
        </is>
      </c>
      <c r="F3411" t="inlineStr">
        <is>
          <t>biosphere</t>
        </is>
      </c>
      <c r="I3411">
        <v>0</v>
      </c>
    </row>
    <row r="3412">
      <c r="A3412" t="inlineStr">
        <is>
          <t>Nickel II</t>
        </is>
      </c>
      <c r="B3412">
        <v>1.0100030858631943e-12</v>
      </c>
      <c r="D3412" t="inlineStr">
        <is>
          <t>kilogram</t>
        </is>
      </c>
      <c r="E3412" t="inlineStr">
        <is>
          <t>air::urban air close to ground</t>
        </is>
      </c>
      <c r="F3412" t="inlineStr">
        <is>
          <t>biosphere</t>
        </is>
      </c>
      <c r="I3412">
        <v>0</v>
      </c>
    </row>
    <row r="3413">
      <c r="A3413" t="inlineStr">
        <is>
          <t>Cadmium II</t>
        </is>
      </c>
      <c r="B3413">
        <v>9.080423176019399e-13</v>
      </c>
      <c r="D3413" t="inlineStr">
        <is>
          <t>kilogram</t>
        </is>
      </c>
      <c r="E3413" t="inlineStr">
        <is>
          <t>air::non-urban air or from high stacks</t>
        </is>
      </c>
      <c r="F3413" t="inlineStr">
        <is>
          <t>biosphere</t>
        </is>
      </c>
      <c r="I3413">
        <v>0</v>
      </c>
    </row>
    <row r="3414">
      <c r="A3414" t="inlineStr">
        <is>
          <t>Ammonia</t>
        </is>
      </c>
      <c r="B3414">
        <v>2.0026667395187476e-06</v>
      </c>
      <c r="D3414" t="inlineStr">
        <is>
          <t>kilogram</t>
        </is>
      </c>
      <c r="E3414" t="inlineStr">
        <is>
          <t>air::urban air close to ground</t>
        </is>
      </c>
      <c r="F3414" t="inlineStr">
        <is>
          <t>biosphere</t>
        </is>
      </c>
      <c r="I3414">
        <v>0</v>
      </c>
    </row>
    <row r="3415">
      <c r="A3415" t="inlineStr">
        <is>
          <t>Butane</t>
        </is>
      </c>
      <c r="B3415">
        <v>1.386546543530441e-09</v>
      </c>
      <c r="D3415" t="inlineStr">
        <is>
          <t>kilogram</t>
        </is>
      </c>
      <c r="E3415" t="inlineStr">
        <is>
          <t>air::non-urban air or from high stacks</t>
        </is>
      </c>
      <c r="F3415" t="inlineStr">
        <is>
          <t>biosphere</t>
        </is>
      </c>
      <c r="I3415">
        <v>0</v>
      </c>
    </row>
    <row r="3416">
      <c r="A3416" t="inlineStr">
        <is>
          <t>PAH, polycyclic aromatic hydrocarbons</t>
        </is>
      </c>
      <c r="B3416">
        <v>3.95313042263028e-10</v>
      </c>
      <c r="D3416" t="inlineStr">
        <is>
          <t>kilogram</t>
        </is>
      </c>
      <c r="E3416" t="inlineStr">
        <is>
          <t>air::urban air close to ground</t>
        </is>
      </c>
      <c r="F3416" t="inlineStr">
        <is>
          <t>biosphere</t>
        </is>
      </c>
      <c r="I3416">
        <v>0</v>
      </c>
    </row>
    <row r="3417">
      <c r="A3417" t="inlineStr">
        <is>
          <t>Copper ion</t>
        </is>
      </c>
      <c r="B3417">
        <v>1.0411174125438981e-10</v>
      </c>
      <c r="D3417" t="inlineStr">
        <is>
          <t>kilogram</t>
        </is>
      </c>
      <c r="E3417" t="inlineStr">
        <is>
          <t>air::non-urban air or from high stacks</t>
        </is>
      </c>
      <c r="F3417" t="inlineStr">
        <is>
          <t>biosphere</t>
        </is>
      </c>
      <c r="I3417">
        <v>0</v>
      </c>
    </row>
    <row r="3418">
      <c r="A3418" t="inlineStr">
        <is>
          <t>Nitrogen oxides</t>
        </is>
      </c>
      <c r="B3418">
        <v>0.00015431872357991245</v>
      </c>
      <c r="D3418" t="inlineStr">
        <is>
          <t>kilogram</t>
        </is>
      </c>
      <c r="E3418" t="inlineStr">
        <is>
          <t>air::non-urban air or from high stacks</t>
        </is>
      </c>
      <c r="F3418" t="inlineStr">
        <is>
          <t>biosphere</t>
        </is>
      </c>
      <c r="I3418">
        <v>0</v>
      </c>
    </row>
    <row r="3419">
      <c r="A3419" t="inlineStr">
        <is>
          <t>Butane</t>
        </is>
      </c>
      <c r="B3419">
        <v>3.8473003917644926e-10</v>
      </c>
      <c r="D3419" t="inlineStr">
        <is>
          <t>kilogram</t>
        </is>
      </c>
      <c r="E3419" t="inlineStr">
        <is>
          <t>air::urban air close to ground</t>
        </is>
      </c>
      <c r="F3419" t="inlineStr">
        <is>
          <t>biosphere</t>
        </is>
      </c>
      <c r="I3419">
        <v>0</v>
      </c>
    </row>
    <row r="3420">
      <c r="A3420" t="inlineStr">
        <is>
          <t>Copper ion</t>
        </is>
      </c>
      <c r="B3420">
        <v>2.8888260174470147e-11</v>
      </c>
      <c r="D3420" t="inlineStr">
        <is>
          <t>kilogram</t>
        </is>
      </c>
      <c r="E3420" t="inlineStr">
        <is>
          <t>air::urban air close to ground</t>
        </is>
      </c>
      <c r="F3420" t="inlineStr">
        <is>
          <t>biosphere</t>
        </is>
      </c>
      <c r="I3420">
        <v>0</v>
      </c>
    </row>
    <row r="3421">
      <c r="A3421" t="inlineStr">
        <is>
          <t>Chromium III</t>
        </is>
      </c>
      <c r="B3421">
        <v>4.300658476826838e-11</v>
      </c>
      <c r="D3421" t="inlineStr">
        <is>
          <t>kilogram</t>
        </is>
      </c>
      <c r="E3421" t="inlineStr">
        <is>
          <t>air::urban air close to ground</t>
        </is>
      </c>
      <c r="F3421" t="inlineStr">
        <is>
          <t>biosphere</t>
        </is>
      </c>
      <c r="I3421">
        <v>0</v>
      </c>
    </row>
    <row r="3422">
      <c r="A3422" t="inlineStr">
        <is>
          <t>Propane</t>
        </is>
      </c>
      <c r="B3422">
        <v>2.5648669896607567e-10</v>
      </c>
      <c r="D3422" t="inlineStr">
        <is>
          <t>kilogram</t>
        </is>
      </c>
      <c r="E3422" t="inlineStr">
        <is>
          <t>air::urban air close to ground</t>
        </is>
      </c>
      <c r="F3422" t="inlineStr">
        <is>
          <t>biosphere</t>
        </is>
      </c>
      <c r="I3422">
        <v>0</v>
      </c>
    </row>
    <row r="3423">
      <c r="A3423" t="inlineStr">
        <is>
          <t>Toluene</t>
        </is>
      </c>
      <c r="B3423">
        <v>2.5648669432974354e-11</v>
      </c>
      <c r="D3423" t="inlineStr">
        <is>
          <t>kilogram</t>
        </is>
      </c>
      <c r="E3423" t="inlineStr">
        <is>
          <t>air::urban air close to ground</t>
        </is>
      </c>
      <c r="F3423" t="inlineStr">
        <is>
          <t>biosphere</t>
        </is>
      </c>
      <c r="I3423">
        <v>0</v>
      </c>
    </row>
    <row r="3424">
      <c r="A3424" t="inlineStr">
        <is>
          <t>Dinitrogen monoxide</t>
        </is>
      </c>
      <c r="B3424">
        <v>4.851770376583125e-06</v>
      </c>
      <c r="D3424" t="inlineStr">
        <is>
          <t>kilogram</t>
        </is>
      </c>
      <c r="E3424" t="inlineStr">
        <is>
          <t>air::urban air close to ground</t>
        </is>
      </c>
      <c r="F3424" t="inlineStr">
        <is>
          <t>biosphere</t>
        </is>
      </c>
      <c r="I3424">
        <v>0</v>
      </c>
    </row>
    <row r="3425">
      <c r="A3425" t="inlineStr">
        <is>
          <t>Zinc II</t>
        </is>
      </c>
      <c r="B3425">
        <v>9.100888235995045e-11</v>
      </c>
      <c r="D3425" t="inlineStr">
        <is>
          <t>kilogram</t>
        </is>
      </c>
      <c r="E3425" t="inlineStr">
        <is>
          <t>air::urban air close to ground</t>
        </is>
      </c>
      <c r="F3425" t="inlineStr">
        <is>
          <t>biosphere</t>
        </is>
      </c>
      <c r="I3425">
        <v>0</v>
      </c>
    </row>
    <row r="3426">
      <c r="A3426" t="inlineStr">
        <is>
          <t>Chromium VI</t>
        </is>
      </c>
      <c r="B3426">
        <v>3.0920405567789884e-13</v>
      </c>
      <c r="D3426" t="inlineStr">
        <is>
          <t>kilogram</t>
        </is>
      </c>
      <c r="E3426" t="inlineStr">
        <is>
          <t>air::non-urban air or from high stacks</t>
        </is>
      </c>
      <c r="F3426" t="inlineStr">
        <is>
          <t>biosphere</t>
        </is>
      </c>
      <c r="I3426">
        <v>0</v>
      </c>
    </row>
    <row r="3427">
      <c r="A3427" t="inlineStr">
        <is>
          <t>Benzene</t>
        </is>
      </c>
      <c r="B3427">
        <v>1.5816453300202538e-08</v>
      </c>
      <c r="D3427" t="inlineStr">
        <is>
          <t>kilogram</t>
        </is>
      </c>
      <c r="E3427" t="inlineStr">
        <is>
          <t>air::non-urban air or from high stacks</t>
        </is>
      </c>
      <c r="F3427" t="inlineStr">
        <is>
          <t>biosphere</t>
        </is>
      </c>
      <c r="I3427">
        <v>0</v>
      </c>
    </row>
    <row r="3428">
      <c r="A3428" t="inlineStr">
        <is>
          <t>Carbon monoxide, fossil</t>
        </is>
      </c>
      <c r="B3428">
        <v>9.571080014863452e-06</v>
      </c>
      <c r="D3428" t="inlineStr">
        <is>
          <t>kilogram</t>
        </is>
      </c>
      <c r="E3428" t="inlineStr">
        <is>
          <t>air::non-urban air or from high stacks</t>
        </is>
      </c>
      <c r="F3428" t="inlineStr">
        <is>
          <t>biosphere</t>
        </is>
      </c>
      <c r="I3428">
        <v>0</v>
      </c>
    </row>
    <row r="3429">
      <c r="A3429" t="inlineStr">
        <is>
          <t>Chromium VI</t>
        </is>
      </c>
      <c r="B3429">
        <v>8.579596070666692e-14</v>
      </c>
      <c r="D3429" t="inlineStr">
        <is>
          <t>kilogram</t>
        </is>
      </c>
      <c r="E3429" t="inlineStr">
        <is>
          <t>air::urban air close to ground</t>
        </is>
      </c>
      <c r="F3429" t="inlineStr">
        <is>
          <t>biosphere</t>
        </is>
      </c>
      <c r="I3429">
        <v>0</v>
      </c>
    </row>
    <row r="3430">
      <c r="A3430" t="inlineStr">
        <is>
          <t>Methane, fossil</t>
        </is>
      </c>
      <c r="B3430">
        <v>6.307045522480661e-09</v>
      </c>
      <c r="D3430" t="inlineStr">
        <is>
          <t>kilogram</t>
        </is>
      </c>
      <c r="E3430" t="inlineStr">
        <is>
          <t>air::urban air close to ground</t>
        </is>
      </c>
      <c r="F3430" t="inlineStr">
        <is>
          <t>biosphere</t>
        </is>
      </c>
      <c r="I3430">
        <v>0</v>
      </c>
    </row>
    <row r="3431">
      <c r="A3431" t="inlineStr">
        <is>
          <t>Sulfur dioxide</t>
        </is>
      </c>
      <c r="B3431">
        <v>4.6773095510999156e-07</v>
      </c>
      <c r="D3431" t="inlineStr">
        <is>
          <t>kilogram</t>
        </is>
      </c>
      <c r="E3431" t="inlineStr">
        <is>
          <t>air</t>
        </is>
      </c>
      <c r="F3431" t="inlineStr">
        <is>
          <t>biosphere</t>
        </is>
      </c>
      <c r="I3431">
        <v>0</v>
      </c>
    </row>
    <row r="3432">
      <c r="A3432" t="inlineStr">
        <is>
          <t>NMVOC, non-methane volatile organic compounds</t>
        </is>
      </c>
      <c r="B3432">
        <v>2.0852368049182237e-07</v>
      </c>
      <c r="D3432" t="inlineStr">
        <is>
          <t>kilogram</t>
        </is>
      </c>
      <c r="E3432" t="inlineStr">
        <is>
          <t>air::urban air close to ground</t>
        </is>
      </c>
      <c r="F3432" t="inlineStr">
        <is>
          <t>biosphere</t>
        </is>
      </c>
      <c r="I3432">
        <v>0</v>
      </c>
    </row>
    <row r="3433">
      <c r="A3433" t="inlineStr">
        <is>
          <t>Formaldehyde</t>
        </is>
      </c>
      <c r="B3433">
        <v>2.154488160043064e-08</v>
      </c>
      <c r="D3433" t="inlineStr">
        <is>
          <t>kilogram</t>
        </is>
      </c>
      <c r="E3433" t="inlineStr">
        <is>
          <t>air::urban air close to ground</t>
        </is>
      </c>
      <c r="F3433" t="inlineStr">
        <is>
          <t>biosphere</t>
        </is>
      </c>
      <c r="I3433">
        <v>0</v>
      </c>
    </row>
    <row r="3434">
      <c r="A3434" t="inlineStr">
        <is>
          <t>Nitrogen oxides</t>
        </is>
      </c>
      <c r="B3434">
        <v>4.281937009148978e-05</v>
      </c>
      <c r="D3434" t="inlineStr">
        <is>
          <t>kilogram</t>
        </is>
      </c>
      <c r="E3434" t="inlineStr">
        <is>
          <t>air::urban air close to ground</t>
        </is>
      </c>
      <c r="F3434" t="inlineStr">
        <is>
          <t>biosphere</t>
        </is>
      </c>
      <c r="I3434">
        <v>0</v>
      </c>
    </row>
    <row r="3435">
      <c r="A3435" t="inlineStr">
        <is>
          <t>Formaldehyde</t>
        </is>
      </c>
      <c r="B3435">
        <v>7.764660999840779e-08</v>
      </c>
      <c r="D3435" t="inlineStr">
        <is>
          <t>kilogram</t>
        </is>
      </c>
      <c r="E3435" t="inlineStr">
        <is>
          <t>air::non-urban air or from high stacks</t>
        </is>
      </c>
      <c r="F3435" t="inlineStr">
        <is>
          <t>biosphere</t>
        </is>
      </c>
      <c r="I3435">
        <v>0</v>
      </c>
    </row>
    <row r="3436">
      <c r="A3436" t="inlineStr">
        <is>
          <t>Zinc II</t>
        </is>
      </c>
      <c r="B3436">
        <v>3.279911253311527e-10</v>
      </c>
      <c r="D3436" t="inlineStr">
        <is>
          <t>kilogram</t>
        </is>
      </c>
      <c r="E3436" t="inlineStr">
        <is>
          <t>air::non-urban air or from high stacks</t>
        </is>
      </c>
      <c r="F3436" t="inlineStr">
        <is>
          <t>biosphere</t>
        </is>
      </c>
      <c r="I3436">
        <v>0</v>
      </c>
    </row>
    <row r="3437">
      <c r="A3437" t="inlineStr">
        <is>
          <t>Carbon monoxide, fossil</t>
        </is>
      </c>
      <c r="B3437">
        <v>2.6557219462377033e-06</v>
      </c>
      <c r="D3437" t="inlineStr">
        <is>
          <t>kilogram</t>
        </is>
      </c>
      <c r="E3437" t="inlineStr">
        <is>
          <t>air::urban air close to ground</t>
        </is>
      </c>
      <c r="F3437" t="inlineStr">
        <is>
          <t>biosphere</t>
        </is>
      </c>
      <c r="I3437">
        <v>0</v>
      </c>
    </row>
    <row r="3438">
      <c r="A3438" t="inlineStr">
        <is>
          <t>m-Xylene</t>
        </is>
      </c>
      <c r="B3438">
        <v>2.5135697574304484e-09</v>
      </c>
      <c r="D3438" t="inlineStr">
        <is>
          <t>kilogram</t>
        </is>
      </c>
      <c r="E3438" t="inlineStr">
        <is>
          <t>air::urban air close to ground</t>
        </is>
      </c>
      <c r="F3438" t="inlineStr">
        <is>
          <t>biosphere</t>
        </is>
      </c>
      <c r="I3438">
        <v>0</v>
      </c>
    </row>
    <row r="3439">
      <c r="A3439" t="inlineStr">
        <is>
          <t>PAH, polycyclic aromatic hydrocarbons</t>
        </is>
      </c>
      <c r="B3439">
        <v>1.4246870148684847e-09</v>
      </c>
      <c r="D3439" t="inlineStr">
        <is>
          <t>kilogram</t>
        </is>
      </c>
      <c r="E3439" t="inlineStr">
        <is>
          <t>air::non-urban air or from high stacks</t>
        </is>
      </c>
      <c r="F3439" t="inlineStr">
        <is>
          <t>biosphere</t>
        </is>
      </c>
      <c r="I3439">
        <v>0</v>
      </c>
    </row>
    <row r="3440">
      <c r="A3440" t="inlineStr">
        <is>
          <t>Particulate Matter, &lt; 2.5 um</t>
        </is>
      </c>
      <c r="B3440">
        <v>4.713874505095078e-07</v>
      </c>
      <c r="D3440" t="inlineStr">
        <is>
          <t>kilogram</t>
        </is>
      </c>
      <c r="E3440" t="inlineStr">
        <is>
          <t>air::non-urban air or from high stacks</t>
        </is>
      </c>
      <c r="F3440" t="inlineStr">
        <is>
          <t>biosphere</t>
        </is>
      </c>
      <c r="I3440">
        <v>0</v>
      </c>
    </row>
    <row r="3441">
      <c r="A3441" t="inlineStr">
        <is>
          <t>Pentane</t>
        </is>
      </c>
      <c r="B3441">
        <v>5.546186025759134e-10</v>
      </c>
      <c r="D3441" t="inlineStr">
        <is>
          <t>kilogram</t>
        </is>
      </c>
      <c r="E3441" t="inlineStr">
        <is>
          <t>air::non-urban air or from high stacks</t>
        </is>
      </c>
      <c r="F3441" t="inlineStr">
        <is>
          <t>biosphere</t>
        </is>
      </c>
      <c r="I3441">
        <v>0</v>
      </c>
    </row>
    <row r="3442">
      <c r="A3442" t="inlineStr">
        <is>
          <t>1,1,1,2-Tetrafluoroethane</t>
        </is>
      </c>
      <c r="B3442">
        <v>1.1545513170329437e-06</v>
      </c>
      <c r="D3442" t="inlineStr">
        <is>
          <t>kilogram</t>
        </is>
      </c>
      <c r="E3442" t="inlineStr">
        <is>
          <t>air</t>
        </is>
      </c>
      <c r="F3442" t="inlineStr">
        <is>
          <t>biosphere</t>
        </is>
      </c>
      <c r="I3442">
        <v>0</v>
      </c>
    </row>
    <row r="3443">
      <c r="A3443" t="inlineStr">
        <is>
          <t>Acetaldehyde</t>
        </is>
      </c>
      <c r="B3443">
        <v>1.1721441766279489e-08</v>
      </c>
      <c r="D3443" t="inlineStr">
        <is>
          <t>kilogram</t>
        </is>
      </c>
      <c r="E3443" t="inlineStr">
        <is>
          <t>air::urban air close to ground</t>
        </is>
      </c>
      <c r="F3443" t="inlineStr">
        <is>
          <t>biosphere</t>
        </is>
      </c>
      <c r="I3443">
        <v>0</v>
      </c>
    </row>
    <row r="3444">
      <c r="A3444" t="inlineStr">
        <is>
          <t>Benzene</t>
        </is>
      </c>
      <c r="B3444">
        <v>4.388647882951463e-09</v>
      </c>
      <c r="D3444" t="inlineStr">
        <is>
          <t>kilogram</t>
        </is>
      </c>
      <c r="E3444" t="inlineStr">
        <is>
          <t>air::urban air close to ground</t>
        </is>
      </c>
      <c r="F3444" t="inlineStr">
        <is>
          <t>biosphere</t>
        </is>
      </c>
      <c r="I3444">
        <v>0</v>
      </c>
    </row>
    <row r="3445">
      <c r="A3445" t="inlineStr">
        <is>
          <t>Mercury II</t>
        </is>
      </c>
      <c r="B3445">
        <v>2.6716210415283214e-11</v>
      </c>
      <c r="D3445" t="inlineStr">
        <is>
          <t>kilogram</t>
        </is>
      </c>
      <c r="E3445" t="inlineStr">
        <is>
          <t>air::urban air close to ground</t>
        </is>
      </c>
      <c r="F3445" t="inlineStr">
        <is>
          <t>biosphere</t>
        </is>
      </c>
      <c r="I3445">
        <v>0</v>
      </c>
    </row>
    <row r="3446">
      <c r="A3446" t="inlineStr">
        <is>
          <t>Cadmium II</t>
        </is>
      </c>
      <c r="B3446">
        <v>2.519577591708872e-13</v>
      </c>
      <c r="D3446" t="inlineStr">
        <is>
          <t>kilogram</t>
        </is>
      </c>
      <c r="E3446" t="inlineStr">
        <is>
          <t>air::urban air close to ground</t>
        </is>
      </c>
      <c r="F3446" t="inlineStr">
        <is>
          <t>biosphere</t>
        </is>
      </c>
      <c r="I3446">
        <v>0</v>
      </c>
    </row>
    <row r="3447">
      <c r="A3447" t="inlineStr">
        <is>
          <t>Propane</t>
        </is>
      </c>
      <c r="B3447">
        <v>9.243643128994173e-10</v>
      </c>
      <c r="D3447" t="inlineStr">
        <is>
          <t>kilogram</t>
        </is>
      </c>
      <c r="E3447" t="inlineStr">
        <is>
          <t>air::non-urban air or from high stacks</t>
        </is>
      </c>
      <c r="F3447" t="inlineStr">
        <is>
          <t>biosphere</t>
        </is>
      </c>
      <c r="I3447">
        <v>0</v>
      </c>
    </row>
    <row r="3448">
      <c r="A3448" t="inlineStr">
        <is>
          <t>Chromium III</t>
        </is>
      </c>
      <c r="B3448">
        <v>1.549934283048337e-10</v>
      </c>
      <c r="D3448" t="inlineStr">
        <is>
          <t>kilogram</t>
        </is>
      </c>
      <c r="E3448" t="inlineStr">
        <is>
          <t>air::non-urban air or from high stacks</t>
        </is>
      </c>
      <c r="F3448" t="inlineStr">
        <is>
          <t>biosphere</t>
        </is>
      </c>
      <c r="I3448">
        <v>0</v>
      </c>
    </row>
    <row r="3449">
      <c r="A3449" t="inlineStr">
        <is>
          <t>Acrolein</t>
        </is>
      </c>
      <c r="B3449">
        <v>4.539814566135943e-09</v>
      </c>
      <c r="D3449" t="inlineStr">
        <is>
          <t>kilogram</t>
        </is>
      </c>
      <c r="E3449" t="inlineStr">
        <is>
          <t>air::urban air close to ground</t>
        </is>
      </c>
      <c r="F3449" t="inlineStr">
        <is>
          <t>biosphere</t>
        </is>
      </c>
      <c r="I3449">
        <v>0</v>
      </c>
    </row>
    <row r="3450">
      <c r="A3450" t="inlineStr">
        <is>
          <t>Benzaldehyde</t>
        </is>
      </c>
      <c r="B3450">
        <v>3.513867696090325e-09</v>
      </c>
      <c r="D3450" t="inlineStr">
        <is>
          <t>kilogram</t>
        </is>
      </c>
      <c r="E3450" t="inlineStr">
        <is>
          <t>air::urban air close to ground</t>
        </is>
      </c>
      <c r="F3450" t="inlineStr">
        <is>
          <t>biosphere</t>
        </is>
      </c>
      <c r="I3450">
        <v>0</v>
      </c>
    </row>
    <row r="3451">
      <c r="A3451" t="inlineStr">
        <is>
          <t>Heptane</t>
        </is>
      </c>
      <c r="B3451">
        <v>7.694600783528985e-10</v>
      </c>
      <c r="D3451" t="inlineStr">
        <is>
          <t>kilogram</t>
        </is>
      </c>
      <c r="E3451" t="inlineStr">
        <is>
          <t>air::urban air close to ground</t>
        </is>
      </c>
      <c r="F3451" t="inlineStr">
        <is>
          <t>biosphere</t>
        </is>
      </c>
      <c r="I3451">
        <v>0</v>
      </c>
    </row>
    <row r="3452">
      <c r="A3452" t="inlineStr">
        <is>
          <t>o-Xylene</t>
        </is>
      </c>
      <c r="B3452">
        <v>1.0259467958643027e-09</v>
      </c>
      <c r="D3452" t="inlineStr">
        <is>
          <t>kilogram</t>
        </is>
      </c>
      <c r="E3452" t="inlineStr">
        <is>
          <t>air::urban air close to ground</t>
        </is>
      </c>
      <c r="F3452" t="inlineStr">
        <is>
          <t>biosphere</t>
        </is>
      </c>
      <c r="I3452">
        <v>0</v>
      </c>
    </row>
    <row r="3453">
      <c r="A3453" t="inlineStr">
        <is>
          <t>Selenium IV</t>
        </is>
      </c>
      <c r="B3453">
        <v>5.060875675214197e-13</v>
      </c>
      <c r="D3453" t="inlineStr">
        <is>
          <t>kilogram</t>
        </is>
      </c>
      <c r="E3453" t="inlineStr">
        <is>
          <t>air::urban air close to ground</t>
        </is>
      </c>
      <c r="F3453" t="inlineStr">
        <is>
          <t>biosphere</t>
        </is>
      </c>
      <c r="I3453">
        <v>0</v>
      </c>
    </row>
    <row r="3454">
      <c r="A3454" t="inlineStr">
        <is>
          <t>Styrene</t>
        </is>
      </c>
      <c r="B3454">
        <v>1.4363254697012354e-09</v>
      </c>
      <c r="D3454" t="inlineStr">
        <is>
          <t>kilogram</t>
        </is>
      </c>
      <c r="E3454" t="inlineStr">
        <is>
          <t>air::urban air close to ground</t>
        </is>
      </c>
      <c r="F3454" t="inlineStr">
        <is>
          <t>biosphere</t>
        </is>
      </c>
      <c r="I3454">
        <v>0</v>
      </c>
    </row>
    <row r="3455">
      <c r="A3455" t="inlineStr">
        <is>
          <t>Acetaldehyde</t>
        </is>
      </c>
      <c r="B3455">
        <v>4.224345053862089e-08</v>
      </c>
      <c r="D3455" t="inlineStr">
        <is>
          <t>kilogram</t>
        </is>
      </c>
      <c r="E3455" t="inlineStr">
        <is>
          <t>air::non-urban air or from high stacks</t>
        </is>
      </c>
      <c r="F3455" t="inlineStr">
        <is>
          <t>biosphere</t>
        </is>
      </c>
      <c r="I3455">
        <v>0</v>
      </c>
    </row>
    <row r="3456">
      <c r="A3456" t="inlineStr">
        <is>
          <t>Acrolein</t>
        </is>
      </c>
      <c r="B3456">
        <v>1.6361249183986677e-08</v>
      </c>
      <c r="D3456" t="inlineStr">
        <is>
          <t>kilogram</t>
        </is>
      </c>
      <c r="E3456" t="inlineStr">
        <is>
          <t>air::non-urban air or from high stacks</t>
        </is>
      </c>
      <c r="F3456" t="inlineStr">
        <is>
          <t>biosphere</t>
        </is>
      </c>
      <c r="I3456">
        <v>0</v>
      </c>
    </row>
    <row r="3457">
      <c r="A3457" t="inlineStr">
        <is>
          <t>Benzaldehyde</t>
        </is>
      </c>
      <c r="B3457">
        <v>1.266379133893849e-08</v>
      </c>
      <c r="D3457" t="inlineStr">
        <is>
          <t>kilogram</t>
        </is>
      </c>
      <c r="E3457" t="inlineStr">
        <is>
          <t>air::non-urban air or from high stacks</t>
        </is>
      </c>
      <c r="F3457" t="inlineStr">
        <is>
          <t>biosphere</t>
        </is>
      </c>
      <c r="I3457">
        <v>0</v>
      </c>
    </row>
    <row r="3458">
      <c r="A3458" t="inlineStr">
        <is>
          <t>Heptane</t>
        </is>
      </c>
      <c r="B3458">
        <v>2.7730930870608808e-09</v>
      </c>
      <c r="D3458" t="inlineStr">
        <is>
          <t>kilogram</t>
        </is>
      </c>
      <c r="E3458" t="inlineStr">
        <is>
          <t>air::non-urban air or from high stacks</t>
        </is>
      </c>
      <c r="F3458" t="inlineStr">
        <is>
          <t>biosphere</t>
        </is>
      </c>
      <c r="I3458">
        <v>0</v>
      </c>
    </row>
    <row r="3459">
      <c r="A3459" t="inlineStr">
        <is>
          <t>m-Xylene</t>
        </is>
      </c>
      <c r="B3459">
        <v>9.058770533467024e-09</v>
      </c>
      <c r="D3459" t="inlineStr">
        <is>
          <t>kilogram</t>
        </is>
      </c>
      <c r="E3459" t="inlineStr">
        <is>
          <t>air::non-urban air or from high stacks</t>
        </is>
      </c>
      <c r="F3459" t="inlineStr">
        <is>
          <t>biosphere</t>
        </is>
      </c>
      <c r="I3459">
        <v>0</v>
      </c>
    </row>
    <row r="3460">
      <c r="A3460" t="inlineStr">
        <is>
          <t>o-Xylene</t>
        </is>
      </c>
      <c r="B3460">
        <v>3.6974572515976697e-09</v>
      </c>
      <c r="D3460" t="inlineStr">
        <is>
          <t>kilogram</t>
        </is>
      </c>
      <c r="E3460" t="inlineStr">
        <is>
          <t>air::non-urban air or from high stacks</t>
        </is>
      </c>
      <c r="F3460" t="inlineStr">
        <is>
          <t>biosphere</t>
        </is>
      </c>
      <c r="I3460">
        <v>0</v>
      </c>
    </row>
    <row r="3461">
      <c r="A3461" t="inlineStr">
        <is>
          <t>Styrene</t>
        </is>
      </c>
      <c r="B3461">
        <v>5.176440389616945e-09</v>
      </c>
      <c r="D3461" t="inlineStr">
        <is>
          <t>kilogram</t>
        </is>
      </c>
      <c r="E3461" t="inlineStr">
        <is>
          <t>air::non-urban air or from high stacks</t>
        </is>
      </c>
      <c r="F3461" t="inlineStr">
        <is>
          <t>biosphere</t>
        </is>
      </c>
      <c r="I3461">
        <v>0</v>
      </c>
    </row>
    <row r="3462">
      <c r="A3462" t="inlineStr">
        <is>
          <t>exhaust system, for lorry, carculator regional truck 2020</t>
        </is>
      </c>
      <c r="B3462">
        <v>5.404282995252799e-05</v>
      </c>
      <c r="C3462" t="inlineStr">
        <is>
          <t>RER</t>
        </is>
      </c>
      <c r="D3462" t="inlineStr">
        <is>
          <t>kilogram</t>
        </is>
      </c>
      <c r="F3462" t="inlineStr">
        <is>
          <t>technosphere</t>
        </is>
      </c>
      <c r="G3462" t="inlineStr">
        <is>
          <t>exhaust system, for lorry</t>
        </is>
      </c>
      <c r="H3462" t="inlineStr">
        <is>
          <t> Energy-use allocation: 44 * 4.901960892311763e-06 / 3.9910248862093187 MJ per ton kilometer.</t>
        </is>
      </c>
      <c r="I3462">
        <v>0</v>
      </c>
    </row>
    <row r="3463">
      <c r="A3463" t="inlineStr">
        <is>
          <t>fuel tank, for diesel vehicle, carculator regional truck 2020</t>
        </is>
      </c>
      <c r="B3463">
        <v>3.725734138008649e-05</v>
      </c>
      <c r="C3463" t="inlineStr">
        <is>
          <t>RER</t>
        </is>
      </c>
      <c r="D3463" t="inlineStr">
        <is>
          <t>kilogram</t>
        </is>
      </c>
      <c r="F3463" t="inlineStr">
        <is>
          <t>technosphere</t>
        </is>
      </c>
      <c r="G3463" t="inlineStr">
        <is>
          <t>fuel tank</t>
        </is>
      </c>
      <c r="H3463" t="inlineStr">
        <is>
          <t> Energy-use allocation: 30.33377456665039 * 4.901960892311763e-06 / 3.9910248862093187 MJ per ton kilometer.</t>
        </is>
      </c>
      <c r="I3463">
        <v>0</v>
      </c>
    </row>
    <row r="3464">
      <c r="A3464" t="inlineStr">
        <is>
          <t>gearbox, for lorry, carculator regional truck 2020</t>
        </is>
      </c>
      <c r="B3464">
        <v>3.652312715379284e-05</v>
      </c>
      <c r="C3464" t="inlineStr">
        <is>
          <t>RER</t>
        </is>
      </c>
      <c r="D3464" t="inlineStr">
        <is>
          <t>kilogram</t>
        </is>
      </c>
      <c r="F3464" t="inlineStr">
        <is>
          <t>technosphere</t>
        </is>
      </c>
      <c r="G3464" t="inlineStr">
        <is>
          <t>gearbox, for lorry</t>
        </is>
      </c>
      <c r="H3464" t="inlineStr">
        <is>
          <t> Energy-use allocation: 29.73600006103516 * 4.901960892311763e-06 / 3.9910248862093187 MJ per ton kilometer.</t>
        </is>
      </c>
      <c r="I3464">
        <v>0</v>
      </c>
    </row>
    <row r="3465">
      <c r="A3465" t="inlineStr">
        <is>
          <t>internal combustion engine, for lorry, carculator regional truck 2020</t>
        </is>
      </c>
      <c r="B3465">
        <v>0.0005455988679116848</v>
      </c>
      <c r="C3465" t="inlineStr">
        <is>
          <t>RER</t>
        </is>
      </c>
      <c r="D3465" t="inlineStr">
        <is>
          <t>kilogram</t>
        </is>
      </c>
      <c r="F3465" t="inlineStr">
        <is>
          <t>technosphere</t>
        </is>
      </c>
      <c r="G3465" t="inlineStr">
        <is>
          <t>internal combustion engine, for lorry</t>
        </is>
      </c>
      <c r="H3465" t="inlineStr">
        <is>
          <t> Energy-use allocation: 444.209716796875 * 4.901960892311763e-06 / 3.9910248862093187 MJ per ton kilometer.</t>
        </is>
      </c>
      <c r="I3465">
        <v>0</v>
      </c>
    </row>
    <row r="3466">
      <c r="A3466" t="inlineStr">
        <is>
          <t>lead acid battery, for lorry, carculator regional truck 2020</t>
        </is>
      </c>
      <c r="B3466">
        <v>4.7178526900509966e-05</v>
      </c>
      <c r="C3466" t="inlineStr">
        <is>
          <t>RER</t>
        </is>
      </c>
      <c r="D3466" t="inlineStr">
        <is>
          <t>kilogram</t>
        </is>
      </c>
      <c r="F3466" t="inlineStr">
        <is>
          <t>technosphere</t>
        </is>
      </c>
      <c r="G3466" t="inlineStr">
        <is>
          <t>lead acid battery, for lorry</t>
        </is>
      </c>
      <c r="H3466" t="inlineStr">
        <is>
          <t> Energy-use allocation: 38.41129684448242 * 4.901960892311763e-06 / 3.9910248862093187 MJ per ton kilometer.</t>
        </is>
      </c>
      <c r="I3466">
        <v>0</v>
      </c>
    </row>
    <row r="3467">
      <c r="A3467" t="inlineStr">
        <is>
          <t>power electronics, for lorry, carculator regional truck 2020</t>
        </is>
      </c>
      <c r="B3467">
        <v>2.9477907246833448e-05</v>
      </c>
      <c r="C3467" t="inlineStr">
        <is>
          <t>RER</t>
        </is>
      </c>
      <c r="D3467" t="inlineStr">
        <is>
          <t>kilogram</t>
        </is>
      </c>
      <c r="F3467" t="inlineStr">
        <is>
          <t>technosphere</t>
        </is>
      </c>
      <c r="G3467" t="inlineStr">
        <is>
          <t>power electronics, for lorry</t>
        </is>
      </c>
      <c r="H3467" t="inlineStr">
        <is>
          <t> Energy-use allocation: 24 * 4.901960892311763e-06 / 3.9910248862093187 MJ per ton kilometer.</t>
        </is>
      </c>
      <c r="I3467">
        <v>0</v>
      </c>
    </row>
    <row r="3468">
      <c r="A3468" t="inlineStr">
        <is>
          <t>retarder, for lorry, carculator regional truck 2020</t>
        </is>
      </c>
      <c r="B3468">
        <v>1.2174375327482016e-05</v>
      </c>
      <c r="C3468" t="inlineStr">
        <is>
          <t>RER</t>
        </is>
      </c>
      <c r="D3468" t="inlineStr">
        <is>
          <t>kilogram</t>
        </is>
      </c>
      <c r="F3468" t="inlineStr">
        <is>
          <t>technosphere</t>
        </is>
      </c>
      <c r="G3468" t="inlineStr">
        <is>
          <t>retarder, for lorry</t>
        </is>
      </c>
      <c r="H3468" t="inlineStr">
        <is>
          <t> Energy-use allocation: 9.911999702453613 * 4.901960892311763e-06 / 3.9910248862093187 MJ per ton kilometer.</t>
        </is>
      </c>
      <c r="I3468">
        <v>0</v>
      </c>
    </row>
    <row r="3469">
      <c r="A3469" t="inlineStr">
        <is>
          <t>transmission, for lorry, carculator regional truck 2020</t>
        </is>
      </c>
      <c r="B3469">
        <v>5.275562290504836e-05</v>
      </c>
      <c r="C3469" t="inlineStr">
        <is>
          <t>RER</t>
        </is>
      </c>
      <c r="D3469" t="inlineStr">
        <is>
          <t>kilogram</t>
        </is>
      </c>
      <c r="F3469" t="inlineStr">
        <is>
          <t>technosphere</t>
        </is>
      </c>
      <c r="G3469" t="inlineStr">
        <is>
          <t>transmission, for lorry</t>
        </is>
      </c>
      <c r="H3469" t="inlineStr">
        <is>
          <t> Energy-use allocation: 42.95199584960938 * 4.901960892311763e-06 / 3.9910248862093187 MJ per ton kilometer.</t>
        </is>
      </c>
      <c r="I3469">
        <v>0</v>
      </c>
    </row>
    <row r="3470">
      <c r="A3470" t="inlineStr">
        <is>
          <t>Carbon dioxide, fossil</t>
        </is>
      </c>
      <c r="B3470">
        <v>0.0737</v>
      </c>
      <c r="D3470" t="inlineStr">
        <is>
          <t>kilogram</t>
        </is>
      </c>
      <c r="E3470" t="inlineStr">
        <is>
          <t>air</t>
        </is>
      </c>
      <c r="F3470" t="inlineStr">
        <is>
          <t>biosphere</t>
        </is>
      </c>
      <c r="H3470" t="inlineStr">
        <is>
          <t>Reference-fuel full-oxidation CO2; Premise reclassifies fossil/biogenic carbon with regional blends. Pollutants are separate model estimates, not an elemental closure.</t>
        </is>
      </c>
      <c r="I3470">
        <v>0</v>
      </c>
    </row>
    <row r="3471"/>
    <row r="3472">
      <c r="A3472" t="inlineStr">
        <is>
          <t>Activity</t>
        </is>
      </c>
      <c r="B3472" t="inlineStr">
        <is>
          <t>petrol, burned in heavy duty vehicle</t>
        </is>
      </c>
    </row>
    <row r="3473">
      <c r="A3473" t="inlineStr">
        <is>
          <t>location</t>
        </is>
      </c>
      <c r="B3473" t="inlineStr">
        <is>
          <t>CH</t>
        </is>
      </c>
    </row>
    <row r="3474">
      <c r="A3474" t="inlineStr">
        <is>
          <t>production amount</t>
        </is>
      </c>
      <c r="B3474">
        <v>1</v>
      </c>
    </row>
    <row r="3475">
      <c r="A3475" t="inlineStr">
        <is>
          <t>reference product</t>
        </is>
      </c>
      <c r="B3475" t="inlineStr">
        <is>
          <t>heat</t>
        </is>
      </c>
    </row>
    <row r="3476">
      <c r="A3476" t="inlineStr">
        <is>
          <t>type</t>
        </is>
      </c>
      <c r="B3476" t="inlineStr">
        <is>
          <t>process</t>
        </is>
      </c>
    </row>
    <row r="3477">
      <c r="A3477" t="inlineStr">
        <is>
          <t>unit</t>
        </is>
      </c>
      <c r="B3477" t="inlineStr">
        <is>
          <t>megajoule</t>
        </is>
      </c>
    </row>
    <row r="3478">
      <c r="A3478" t="inlineStr">
        <is>
          <t>energy use source</t>
        </is>
      </c>
      <c r="B3478" t="inlineStr">
        <is>
          <t>{"source": ["transport, freight, lorry, gasoline, 40 metric ton", "transport, freight, lorry", "RER", "ton kilometer"], "source unit": "ton kilometer", "purchased MJ per source service": 1.213448585841592, "boundary": "energy-specific equipment; excludes chassis, body, roads and whole-vehicle maintenance", "retained equipment": [{"supplier": ["exhaust system, for lorry, carculator regional truck 2020", "exhaust system, for lorry", "RER", "kilogram"], "amount per vehicle": 220, "vehicle per source service": 1.367427797431765e-07, "replacement correction factor": 1.0, "amount per MJ": 2.479166558394756e-05}, {"supplier": ["fuel tank, for diesel vehicle, carculator regional truck 2020", "fuel tank", "RER", "kilogram"], "amount per vehicle": 54.85818481445312, "vehicle per source service": 1.367427797431765e-07, "replacement correction factor": 1.0, "amount per MJ": 6.181935329374145e-06}, {"supplier": ["gearbox, for lorry, carculator regional truck 2020", "gearbox, for lorry", "RER", "kilogram"], "amount per vehicle": 201.6000061035156, "vehicle per source service": 1.367427797431765e-07, "replacement correction factor": 1.0, "amount per MJ": 2.2718181513818843e-05}, {"supplier": ["internal combustion engine, for lorry, carculator regional truck 2020", "internal combustion engine, for lorry", "RER", "kilogram"], "amount per vehicle": 1081.695922851562, "vehicle per source service": 1.367427797431765e-07, "replacement correction factor": 1.0, "amount per MJ": 0.00012189565264934301}, {"supplier": ["lead acid battery, for lorry, carculator regional truck 2020", "lead acid battery, for lorry", "RER", "kilogram"], "amount per vehicle": 33.41176605224609, "vehicle per source service": 1.367427797431765e-07, "replacement correction factor": 1.0, "amount per MJ": 3.7651515024380757e-06}, {"supplier": ["power electronics, for lorry, carculator regional truck 2020", "power electronics, for lorry", "RER", "kilogram"], "amount per vehicle": 265, "vehicle per source service": 1.367427797431765e-07, "replacement correction factor": 1.0, "amount per MJ": 2.9862688089755015e-05}, {"supplier": ["retarder, for lorry, carculator regional truck 2020", "retarder, for lorry", "RER", "kilogram"], "amount per vehicle": 67.19999694824219, "vehicle per source service": 1.367427797431765e-07, "replacement correction factor": 1.0, "amount per MJ": 7.572726598105077e-06}, {"supplier": ["transmission, for lorry, carculator regional truck 2020", "transmission, for lorry", "RER", "kilogram"], "amount per vehicle": 291.1999816894531, "vehicle per source service": 1.367427797431765e-07, "replacement correction factor": 1.0, "amount per MJ": 3.2815148018620794e-05}], "excluded": [{"supplier": "market for road", "amount per source service": 0.001309316183237128}, {"supplier": "market for road maintenance", "amount per source service": 0.0001252427161273638}, {"supplier": ["assembly operation, for lorry, carculator regional truck 2020", "assembly operation, for lorry", "RER", "kilogram"], "amount per vehicle": 14738.513671875, "vehicle per source service": 1.367427797431765e-07}, {"supplier": ["frame, blanks and saddle, for lorry, carculator regional truck 2020", "frame, blanks and saddle, for lorry", "RER", "kilogram"], "amount per vehicle": 5539,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carculator regional truck 2020", "other components, for hybrid electric lorry", "RER", "kilogram"], "amount per vehicle": 1059, "vehicle per source service": 1.367427797431765e-07}, {"supplier": ["suspension, for lorry, carculator regional truck 2020", "suspension, for lorry", "RER", "kilogram"], "amount per vehicle": 3440, "vehicle per source service": 1.367427797431765e-07}, {"supplier": ["tires and wheels, for lorry, carculator regional truck 2020", "tires and wheels, for lorry", "RER", "kilogram"], "amount per vehicle": 1422, "vehicle per source service": 1.367427797431765e-07}, {"supplier": ["maintenance, lorry 40 metric ton", "maintenance, lorry 40 metric ton", "CH", "unit"], "amount per vehicle": 1, "vehicle per source service": 1.367427797431765e-07}, {"supplier": ["treatment of used lorry, 40 metric ton", "used lorry, 40 metric ton", "CH", "unit"], "amount per vehicle": -1, "vehicle per source service": 1.367427797431765e-07}], "alternative fuel recipe retained": false}</t>
        </is>
      </c>
    </row>
    <row r="3479">
      <c r="A3479" t="inlineStr">
        <is>
          <t>comment</t>
        </is>
      </c>
      <c r="B3479" t="inlineStr">
        <is>
          <t>Produces consumption of 1 MJ of purchased energy. Representative powertrain carrier: gasoline. energy-specific equipment; excludes chassis, body, roads and whole-vehicle maintenance. Source transport, freight, lorry, gasoline,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Explicit gasoline proxy: diesel vehicle manufacture (including tank), efficiency, maintenance and non-CO2 combustion factors. Fuel energy preserved with target-fuel-specific LHV and CO2; this is not an independently modelled gasoline/LPG vehicle.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3480">
      <c r="A3480" t="inlineStr">
        <is>
          <t>Exchanges</t>
        </is>
      </c>
    </row>
    <row r="3481">
      <c r="A3481" t="inlineStr">
        <is>
          <t>name</t>
        </is>
      </c>
      <c r="B3481" t="inlineStr">
        <is>
          <t>amount</t>
        </is>
      </c>
      <c r="C3481" t="inlineStr">
        <is>
          <t>location</t>
        </is>
      </c>
      <c r="D3481" t="inlineStr">
        <is>
          <t>unit</t>
        </is>
      </c>
      <c r="E3481" t="inlineStr">
        <is>
          <t>categories</t>
        </is>
      </c>
      <c r="F3481" t="inlineStr">
        <is>
          <t>type</t>
        </is>
      </c>
      <c r="G3481" t="inlineStr">
        <is>
          <t>reference product</t>
        </is>
      </c>
      <c r="H3481" t="inlineStr">
        <is>
          <t>comment</t>
        </is>
      </c>
      <c r="I3481" t="inlineStr">
        <is>
          <t>uncertainty type</t>
        </is>
      </c>
    </row>
    <row r="3482">
      <c r="A3482" t="inlineStr">
        <is>
          <t>petrol, burned in heavy duty vehicle</t>
        </is>
      </c>
      <c r="B3482">
        <v>1.0</v>
      </c>
      <c r="C3482" t="inlineStr">
        <is>
          <t>CH</t>
        </is>
      </c>
      <c r="D3482" t="inlineStr">
        <is>
          <t>megajoule</t>
        </is>
      </c>
      <c r="F3482" t="inlineStr">
        <is>
          <t>production</t>
        </is>
      </c>
      <c r="G3482" t="inlineStr">
        <is>
          <t>heat</t>
        </is>
      </c>
      <c r="I3482">
        <v>0</v>
      </c>
    </row>
    <row r="3483">
      <c r="A3483" t="inlineStr">
        <is>
          <t>market for petrol, low-sulfur</t>
        </is>
      </c>
      <c r="B3483">
        <v>0.02347417840375587</v>
      </c>
      <c r="C3483" t="inlineStr">
        <is>
          <t>Europe without Switzerland</t>
        </is>
      </c>
      <c r="D3483" t="inlineStr">
        <is>
          <t>kilogram</t>
        </is>
      </c>
      <c r="F3483" t="inlineStr">
        <is>
          <t>technosphere</t>
        </is>
      </c>
      <c r="G3483" t="inlineStr">
        <is>
          <t>petrol, low-sulfur</t>
        </is>
      </c>
      <c r="H3483" t="inlineStr">
        <is>
          <t>Model fuel energy retained: 1.21344858584 MJ/tkm; reference LHV 42.6 MJ/kg. Premise determines regional blends.</t>
        </is>
      </c>
      <c r="I3483">
        <v>0</v>
      </c>
    </row>
    <row r="3484">
      <c r="A3484" t="inlineStr">
        <is>
          <t>market for tetrafluoroethane, R134a</t>
        </is>
      </c>
      <c r="B3484">
        <v>2.2988634886667232e-07</v>
      </c>
      <c r="C3484" t="inlineStr">
        <is>
          <t>GLO</t>
        </is>
      </c>
      <c r="D3484" t="inlineStr">
        <is>
          <t>kilogram</t>
        </is>
      </c>
      <c r="F3484" t="inlineStr">
        <is>
          <t>technosphere</t>
        </is>
      </c>
      <c r="G3484" t="inlineStr">
        <is>
          <t>tetrafluoroethane, R134a</t>
        </is>
      </c>
      <c r="I3484">
        <v>0</v>
      </c>
    </row>
    <row r="3485">
      <c r="A3485" t="inlineStr">
        <is>
          <t>treatment of brake wear emissions, lorry</t>
        </is>
      </c>
      <c r="B3485">
        <v>-8.332264901167273e-06</v>
      </c>
      <c r="C3485" t="inlineStr">
        <is>
          <t>RER</t>
        </is>
      </c>
      <c r="D3485" t="inlineStr">
        <is>
          <t>kilogram</t>
        </is>
      </c>
      <c r="F3485" t="inlineStr">
        <is>
          <t>technosphere</t>
        </is>
      </c>
      <c r="G3485" t="inlineStr">
        <is>
          <t>brake wear emissions, lorry</t>
        </is>
      </c>
      <c r="I3485">
        <v>0</v>
      </c>
    </row>
    <row r="3486">
      <c r="A3486" t="inlineStr">
        <is>
          <t>treatment of road wear emissions, lorry</t>
        </is>
      </c>
      <c r="B3486">
        <v>-1.0511814175882649e-05</v>
      </c>
      <c r="C3486" t="inlineStr">
        <is>
          <t>RER</t>
        </is>
      </c>
      <c r="D3486" t="inlineStr">
        <is>
          <t>kilogram</t>
        </is>
      </c>
      <c r="F3486" t="inlineStr">
        <is>
          <t>technosphere</t>
        </is>
      </c>
      <c r="G3486" t="inlineStr">
        <is>
          <t>road wear emissions, lorry</t>
        </is>
      </c>
      <c r="I3486">
        <v>0</v>
      </c>
    </row>
    <row r="3487">
      <c r="A3487" t="inlineStr">
        <is>
          <t>treatment of tyre wear emissions, lorry</t>
        </is>
      </c>
      <c r="B3487">
        <v>-8.542764058308781e-06</v>
      </c>
      <c r="C3487" t="inlineStr">
        <is>
          <t>RER</t>
        </is>
      </c>
      <c r="D3487" t="inlineStr">
        <is>
          <t>kilogram</t>
        </is>
      </c>
      <c r="F3487" t="inlineStr">
        <is>
          <t>technosphere</t>
        </is>
      </c>
      <c r="G3487" t="inlineStr">
        <is>
          <t>tyre wear emissions, lorry</t>
        </is>
      </c>
      <c r="I3487">
        <v>0</v>
      </c>
    </row>
    <row r="3488">
      <c r="A3488" t="inlineStr">
        <is>
          <t>Toluene</t>
        </is>
      </c>
      <c r="B3488">
        <v>9.728174040611211e-11</v>
      </c>
      <c r="D3488" t="inlineStr">
        <is>
          <t>kilogram</t>
        </is>
      </c>
      <c r="E3488" t="inlineStr">
        <is>
          <t>air::non-urban air or from high stacks</t>
        </is>
      </c>
      <c r="F3488" t="inlineStr">
        <is>
          <t>biosphere</t>
        </is>
      </c>
      <c r="I3488">
        <v>0</v>
      </c>
    </row>
    <row r="3489">
      <c r="A3489" t="inlineStr">
        <is>
          <t>NMVOC, non-methane volatile organic compounds</t>
        </is>
      </c>
      <c r="B3489">
        <v>7.909005533746074e-07</v>
      </c>
      <c r="D3489" t="inlineStr">
        <is>
          <t>kilogram</t>
        </is>
      </c>
      <c r="E3489" t="inlineStr">
        <is>
          <t>air::non-urban air or from high stacks</t>
        </is>
      </c>
      <c r="F3489" t="inlineStr">
        <is>
          <t>biosphere</t>
        </is>
      </c>
      <c r="I3489">
        <v>0</v>
      </c>
    </row>
    <row r="3490">
      <c r="A3490" t="inlineStr">
        <is>
          <t>Dinitrogen monoxide</t>
        </is>
      </c>
      <c r="B3490">
        <v>1.972512020458022e-05</v>
      </c>
      <c r="D3490" t="inlineStr">
        <is>
          <t>kilogram</t>
        </is>
      </c>
      <c r="E3490" t="inlineStr">
        <is>
          <t>air::non-urban air or from high stacks</t>
        </is>
      </c>
      <c r="F3490" t="inlineStr">
        <is>
          <t>biosphere</t>
        </is>
      </c>
      <c r="I3490">
        <v>0</v>
      </c>
    </row>
    <row r="3491">
      <c r="A3491" t="inlineStr">
        <is>
          <t>Ethane</t>
        </is>
      </c>
      <c r="B3491">
        <v>1.0891786400309833e-10</v>
      </c>
      <c r="D3491" t="inlineStr">
        <is>
          <t>kilogram</t>
        </is>
      </c>
      <c r="E3491" t="inlineStr">
        <is>
          <t>air::urban air close to ground</t>
        </is>
      </c>
      <c r="F3491" t="inlineStr">
        <is>
          <t>biosphere</t>
        </is>
      </c>
      <c r="I3491">
        <v>0</v>
      </c>
    </row>
    <row r="3492">
      <c r="A3492" t="inlineStr">
        <is>
          <t>Pentane</t>
        </is>
      </c>
      <c r="B3492">
        <v>2.1783572800619673e-10</v>
      </c>
      <c r="D3492" t="inlineStr">
        <is>
          <t>kilogram</t>
        </is>
      </c>
      <c r="E3492" t="inlineStr">
        <is>
          <t>air::urban air close to ground</t>
        </is>
      </c>
      <c r="F3492" t="inlineStr">
        <is>
          <t>biosphere</t>
        </is>
      </c>
      <c r="I3492">
        <v>0</v>
      </c>
    </row>
    <row r="3493">
      <c r="A3493" t="inlineStr">
        <is>
          <t>Selenium IV</t>
        </is>
      </c>
      <c r="B3493">
        <v>1.6967614759358545e-12</v>
      </c>
      <c r="D3493" t="inlineStr">
        <is>
          <t>kilogram</t>
        </is>
      </c>
      <c r="E3493" t="inlineStr">
        <is>
          <t>air::non-urban air or from high stacks</t>
        </is>
      </c>
      <c r="F3493" t="inlineStr">
        <is>
          <t>biosphere</t>
        </is>
      </c>
      <c r="I3493">
        <v>0</v>
      </c>
    </row>
    <row r="3494">
      <c r="A3494" t="inlineStr">
        <is>
          <t>Arsenic ion</t>
        </is>
      </c>
      <c r="B3494">
        <v>1.6967614759358545e-12</v>
      </c>
      <c r="D3494" t="inlineStr">
        <is>
          <t>kilogram</t>
        </is>
      </c>
      <c r="E3494" t="inlineStr">
        <is>
          <t>air::non-urban air or from high stacks</t>
        </is>
      </c>
      <c r="F3494" t="inlineStr">
        <is>
          <t>biosphere</t>
        </is>
      </c>
      <c r="I3494">
        <v>0</v>
      </c>
    </row>
    <row r="3495">
      <c r="A3495" t="inlineStr">
        <is>
          <t>Arsenic ion</t>
        </is>
      </c>
      <c r="B3495">
        <v>6.332385327245513e-13</v>
      </c>
      <c r="D3495" t="inlineStr">
        <is>
          <t>kilogram</t>
        </is>
      </c>
      <c r="E3495" t="inlineStr">
        <is>
          <t>air::urban air close to ground</t>
        </is>
      </c>
      <c r="F3495" t="inlineStr">
        <is>
          <t>biosphere</t>
        </is>
      </c>
      <c r="I3495">
        <v>0</v>
      </c>
    </row>
    <row r="3496">
      <c r="A3496" t="inlineStr">
        <is>
          <t>Particulate Matter, &lt; 2.5 um</t>
        </is>
      </c>
      <c r="B3496">
        <v>1.782528260305557e-07</v>
      </c>
      <c r="D3496" t="inlineStr">
        <is>
          <t>kilogram</t>
        </is>
      </c>
      <c r="E3496" t="inlineStr">
        <is>
          <t>air::urban air close to ground</t>
        </is>
      </c>
      <c r="F3496" t="inlineStr">
        <is>
          <t>biosphere</t>
        </is>
      </c>
      <c r="I3496">
        <v>0</v>
      </c>
    </row>
    <row r="3497">
      <c r="A3497" t="inlineStr">
        <is>
          <t>Nickel II</t>
        </is>
      </c>
      <c r="B3497">
        <v>3.38624069233295e-12</v>
      </c>
      <c r="D3497" t="inlineStr">
        <is>
          <t>kilogram</t>
        </is>
      </c>
      <c r="E3497" t="inlineStr">
        <is>
          <t>air::non-urban air or from high stacks</t>
        </is>
      </c>
      <c r="F3497" t="inlineStr">
        <is>
          <t>biosphere</t>
        </is>
      </c>
      <c r="I3497">
        <v>0</v>
      </c>
    </row>
    <row r="3498">
      <c r="A3498" t="inlineStr">
        <is>
          <t>Methane, fossil</t>
        </is>
      </c>
      <c r="B3498">
        <v>2.392171407358291e-08</v>
      </c>
      <c r="D3498" t="inlineStr">
        <is>
          <t>kilogram</t>
        </is>
      </c>
      <c r="E3498" t="inlineStr">
        <is>
          <t>air::non-urban air or from high stacks</t>
        </is>
      </c>
      <c r="F3498" t="inlineStr">
        <is>
          <t>biosphere</t>
        </is>
      </c>
      <c r="I3498">
        <v>0</v>
      </c>
    </row>
    <row r="3499">
      <c r="A3499" t="inlineStr">
        <is>
          <t>Mercury II</t>
        </is>
      </c>
      <c r="B3499">
        <v>8.957152806237828e-11</v>
      </c>
      <c r="D3499" t="inlineStr">
        <is>
          <t>kilogram</t>
        </is>
      </c>
      <c r="E3499" t="inlineStr">
        <is>
          <t>air::non-urban air or from high stacks</t>
        </is>
      </c>
      <c r="F3499" t="inlineStr">
        <is>
          <t>biosphere</t>
        </is>
      </c>
      <c r="I3499">
        <v>0</v>
      </c>
    </row>
    <row r="3500">
      <c r="A3500" t="inlineStr">
        <is>
          <t>Ammonia</t>
        </is>
      </c>
      <c r="B3500">
        <v>6.8945750782647576e-06</v>
      </c>
      <c r="D3500" t="inlineStr">
        <is>
          <t>kilogram</t>
        </is>
      </c>
      <c r="E3500" t="inlineStr">
        <is>
          <t>air::non-urban air or from high stacks</t>
        </is>
      </c>
      <c r="F3500" t="inlineStr">
        <is>
          <t>biosphere</t>
        </is>
      </c>
      <c r="I3500">
        <v>0</v>
      </c>
    </row>
    <row r="3501">
      <c r="A3501" t="inlineStr">
        <is>
          <t>Ethane</t>
        </is>
      </c>
      <c r="B3501">
        <v>2.918452212183362e-10</v>
      </c>
      <c r="D3501" t="inlineStr">
        <is>
          <t>kilogram</t>
        </is>
      </c>
      <c r="E3501" t="inlineStr">
        <is>
          <t>air::non-urban air or from high stacks</t>
        </is>
      </c>
      <c r="F3501" t="inlineStr">
        <is>
          <t>biosphere</t>
        </is>
      </c>
      <c r="I3501">
        <v>0</v>
      </c>
    </row>
    <row r="3502">
      <c r="A3502" t="inlineStr">
        <is>
          <t>Nickel II</t>
        </is>
      </c>
      <c r="B3502">
        <v>1.263759195389486e-12</v>
      </c>
      <c r="D3502" t="inlineStr">
        <is>
          <t>kilogram</t>
        </is>
      </c>
      <c r="E3502" t="inlineStr">
        <is>
          <t>air::urban air close to ground</t>
        </is>
      </c>
      <c r="F3502" t="inlineStr">
        <is>
          <t>biosphere</t>
        </is>
      </c>
      <c r="I3502">
        <v>0</v>
      </c>
    </row>
    <row r="3503">
      <c r="A3503" t="inlineStr">
        <is>
          <t>Cadmium II</t>
        </is>
      </c>
      <c r="B3503">
        <v>8.447396081985476e-13</v>
      </c>
      <c r="D3503" t="inlineStr">
        <is>
          <t>kilogram</t>
        </is>
      </c>
      <c r="E3503" t="inlineStr">
        <is>
          <t>air::non-urban air or from high stacks</t>
        </is>
      </c>
      <c r="F3503" t="inlineStr">
        <is>
          <t>biosphere</t>
        </is>
      </c>
      <c r="I3503">
        <v>0</v>
      </c>
    </row>
    <row r="3504">
      <c r="A3504" t="inlineStr">
        <is>
          <t>Ammonia</t>
        </is>
      </c>
      <c r="B3504">
        <v>2.5730845837667334e-06</v>
      </c>
      <c r="D3504" t="inlineStr">
        <is>
          <t>kilogram</t>
        </is>
      </c>
      <c r="E3504" t="inlineStr">
        <is>
          <t>air::urban air close to ground</t>
        </is>
      </c>
      <c r="F3504" t="inlineStr">
        <is>
          <t>biosphere</t>
        </is>
      </c>
      <c r="I3504">
        <v>0</v>
      </c>
    </row>
    <row r="3505">
      <c r="A3505" t="inlineStr">
        <is>
          <t>Butane</t>
        </is>
      </c>
      <c r="B3505">
        <v>1.4592261593886939e-09</v>
      </c>
      <c r="D3505" t="inlineStr">
        <is>
          <t>kilogram</t>
        </is>
      </c>
      <c r="E3505" t="inlineStr">
        <is>
          <t>air::non-urban air or from high stacks</t>
        </is>
      </c>
      <c r="F3505" t="inlineStr">
        <is>
          <t>biosphere</t>
        </is>
      </c>
      <c r="I3505">
        <v>0</v>
      </c>
    </row>
    <row r="3506">
      <c r="A3506" t="inlineStr">
        <is>
          <t>PAH, polycyclic aromatic hydrocarbons</t>
        </is>
      </c>
      <c r="B3506">
        <v>4.946326620454796e-10</v>
      </c>
      <c r="D3506" t="inlineStr">
        <is>
          <t>kilogram</t>
        </is>
      </c>
      <c r="E3506" t="inlineStr">
        <is>
          <t>air::urban air close to ground</t>
        </is>
      </c>
      <c r="F3506" t="inlineStr">
        <is>
          <t>biosphere</t>
        </is>
      </c>
      <c r="I3506">
        <v>0</v>
      </c>
    </row>
    <row r="3507">
      <c r="A3507" t="inlineStr">
        <is>
          <t>Copper ion</t>
        </is>
      </c>
      <c r="B3507">
        <v>9.685376539404843e-11</v>
      </c>
      <c r="D3507" t="inlineStr">
        <is>
          <t>kilogram</t>
        </is>
      </c>
      <c r="E3507" t="inlineStr">
        <is>
          <t>air::non-urban air or from high stacks</t>
        </is>
      </c>
      <c r="F3507" t="inlineStr">
        <is>
          <t>biosphere</t>
        </is>
      </c>
      <c r="I3507">
        <v>0</v>
      </c>
    </row>
    <row r="3508">
      <c r="A3508" t="inlineStr">
        <is>
          <t>Nitrogen oxides</t>
        </is>
      </c>
      <c r="B3508">
        <v>0.00018753997183161046</v>
      </c>
      <c r="D3508" t="inlineStr">
        <is>
          <t>kilogram</t>
        </is>
      </c>
      <c r="E3508" t="inlineStr">
        <is>
          <t>air::non-urban air or from high stacks</t>
        </is>
      </c>
      <c r="F3508" t="inlineStr">
        <is>
          <t>biosphere</t>
        </is>
      </c>
      <c r="I3508">
        <v>0</v>
      </c>
    </row>
    <row r="3509">
      <c r="A3509" t="inlineStr">
        <is>
          <t>Butane</t>
        </is>
      </c>
      <c r="B3509">
        <v>5.445893377811626e-10</v>
      </c>
      <c r="D3509" t="inlineStr">
        <is>
          <t>kilogram</t>
        </is>
      </c>
      <c r="E3509" t="inlineStr">
        <is>
          <t>air::urban air close to ground</t>
        </is>
      </c>
      <c r="F3509" t="inlineStr">
        <is>
          <t>biosphere</t>
        </is>
      </c>
      <c r="I3509">
        <v>0</v>
      </c>
    </row>
    <row r="3510">
      <c r="A3510" t="inlineStr">
        <is>
          <t>Copper ion</t>
        </is>
      </c>
      <c r="B3510">
        <v>3.614623166320588e-11</v>
      </c>
      <c r="D3510" t="inlineStr">
        <is>
          <t>kilogram</t>
        </is>
      </c>
      <c r="E3510" t="inlineStr">
        <is>
          <t>air::urban air close to ground</t>
        </is>
      </c>
      <c r="F3510" t="inlineStr">
        <is>
          <t>biosphere</t>
        </is>
      </c>
      <c r="I3510">
        <v>0</v>
      </c>
    </row>
    <row r="3511">
      <c r="A3511" t="inlineStr">
        <is>
          <t>Chromium III</t>
        </is>
      </c>
      <c r="B3511">
        <v>5.381168419635998e-11</v>
      </c>
      <c r="D3511" t="inlineStr">
        <is>
          <t>kilogram</t>
        </is>
      </c>
      <c r="E3511" t="inlineStr">
        <is>
          <t>air::urban air close to ground</t>
        </is>
      </c>
      <c r="F3511" t="inlineStr">
        <is>
          <t>biosphere</t>
        </is>
      </c>
      <c r="I3511">
        <v>0</v>
      </c>
    </row>
    <row r="3512">
      <c r="A3512" t="inlineStr">
        <is>
          <t>Propane</t>
        </is>
      </c>
      <c r="B3512">
        <v>3.630595348332139e-10</v>
      </c>
      <c r="D3512" t="inlineStr">
        <is>
          <t>kilogram</t>
        </is>
      </c>
      <c r="E3512" t="inlineStr">
        <is>
          <t>air::urban air close to ground</t>
        </is>
      </c>
      <c r="F3512" t="inlineStr">
        <is>
          <t>biosphere</t>
        </is>
      </c>
      <c r="I3512">
        <v>0</v>
      </c>
    </row>
    <row r="3513">
      <c r="A3513" t="inlineStr">
        <is>
          <t>Toluene</t>
        </is>
      </c>
      <c r="B3513">
        <v>3.6305953927463155e-11</v>
      </c>
      <c r="D3513" t="inlineStr">
        <is>
          <t>kilogram</t>
        </is>
      </c>
      <c r="E3513" t="inlineStr">
        <is>
          <t>air::urban air close to ground</t>
        </is>
      </c>
      <c r="F3513" t="inlineStr">
        <is>
          <t>biosphere</t>
        </is>
      </c>
      <c r="I3513">
        <v>0</v>
      </c>
    </row>
    <row r="3514">
      <c r="A3514" t="inlineStr">
        <is>
          <t>Dinitrogen monoxide</t>
        </is>
      </c>
      <c r="B3514">
        <v>7.361498269225742e-06</v>
      </c>
      <c r="D3514" t="inlineStr">
        <is>
          <t>kilogram</t>
        </is>
      </c>
      <c r="E3514" t="inlineStr">
        <is>
          <t>air::urban air close to ground</t>
        </is>
      </c>
      <c r="F3514" t="inlineStr">
        <is>
          <t>biosphere</t>
        </is>
      </c>
      <c r="I3514">
        <v>0</v>
      </c>
    </row>
    <row r="3515">
      <c r="A3515" t="inlineStr">
        <is>
          <t>Zinc II</t>
        </is>
      </c>
      <c r="B3515">
        <v>1.138742197000915e-10</v>
      </c>
      <c r="D3515" t="inlineStr">
        <is>
          <t>kilogram</t>
        </is>
      </c>
      <c r="E3515" t="inlineStr">
        <is>
          <t>air::urban air close to ground</t>
        </is>
      </c>
      <c r="F3515" t="inlineStr">
        <is>
          <t>biosphere</t>
        </is>
      </c>
      <c r="I3515">
        <v>0</v>
      </c>
    </row>
    <row r="3516">
      <c r="A3516" t="inlineStr">
        <is>
          <t>Chromium VI</t>
        </is>
      </c>
      <c r="B3516">
        <v>2.876484190151482e-13</v>
      </c>
      <c r="D3516" t="inlineStr">
        <is>
          <t>kilogram</t>
        </is>
      </c>
      <c r="E3516" t="inlineStr">
        <is>
          <t>air::non-urban air or from high stacks</t>
        </is>
      </c>
      <c r="F3516" t="inlineStr">
        <is>
          <t>biosphere</t>
        </is>
      </c>
      <c r="I3516">
        <v>0</v>
      </c>
    </row>
    <row r="3517">
      <c r="A3517" t="inlineStr">
        <is>
          <t>Benzene</t>
        </is>
      </c>
      <c r="B3517">
        <v>1.66455206231541e-08</v>
      </c>
      <c r="D3517" t="inlineStr">
        <is>
          <t>kilogram</t>
        </is>
      </c>
      <c r="E3517" t="inlineStr">
        <is>
          <t>air::non-urban air or from high stacks</t>
        </is>
      </c>
      <c r="F3517" t="inlineStr">
        <is>
          <t>biosphere</t>
        </is>
      </c>
      <c r="I3517">
        <v>0</v>
      </c>
    </row>
    <row r="3518">
      <c r="A3518" t="inlineStr">
        <is>
          <t>Carbon monoxide, fossil</t>
        </is>
      </c>
      <c r="B3518">
        <v>9.188384379664336e-06</v>
      </c>
      <c r="D3518" t="inlineStr">
        <is>
          <t>kilogram</t>
        </is>
      </c>
      <c r="E3518" t="inlineStr">
        <is>
          <t>air::non-urban air or from high stacks</t>
        </is>
      </c>
      <c r="F3518" t="inlineStr">
        <is>
          <t>biosphere</t>
        </is>
      </c>
      <c r="I3518">
        <v>0</v>
      </c>
    </row>
    <row r="3519">
      <c r="A3519" t="inlineStr">
        <is>
          <t>Chromium VI</t>
        </is>
      </c>
      <c r="B3519">
        <v>1.0735159075537384e-13</v>
      </c>
      <c r="D3519" t="inlineStr">
        <is>
          <t>kilogram</t>
        </is>
      </c>
      <c r="E3519" t="inlineStr">
        <is>
          <t>air::urban air close to ground</t>
        </is>
      </c>
      <c r="F3519" t="inlineStr">
        <is>
          <t>biosphere</t>
        </is>
      </c>
      <c r="I3519">
        <v>0</v>
      </c>
    </row>
    <row r="3520">
      <c r="A3520" t="inlineStr">
        <is>
          <t>Methane, fossil</t>
        </is>
      </c>
      <c r="B3520">
        <v>8.927684532596898e-09</v>
      </c>
      <c r="D3520" t="inlineStr">
        <is>
          <t>kilogram</t>
        </is>
      </c>
      <c r="E3520" t="inlineStr">
        <is>
          <t>air::urban air close to ground</t>
        </is>
      </c>
      <c r="F3520" t="inlineStr">
        <is>
          <t>biosphere</t>
        </is>
      </c>
      <c r="I3520">
        <v>0</v>
      </c>
    </row>
    <row r="3521">
      <c r="A3521" t="inlineStr">
        <is>
          <t>Sulfur dioxide</t>
        </is>
      </c>
      <c r="B3521">
        <v>4.677309449527075e-07</v>
      </c>
      <c r="D3521" t="inlineStr">
        <is>
          <t>kilogram</t>
        </is>
      </c>
      <c r="E3521" t="inlineStr">
        <is>
          <t>air</t>
        </is>
      </c>
      <c r="F3521" t="inlineStr">
        <is>
          <t>biosphere</t>
        </is>
      </c>
      <c r="I3521">
        <v>0</v>
      </c>
    </row>
    <row r="3522">
      <c r="A3522" t="inlineStr">
        <is>
          <t>NMVOC, non-methane volatile organic compounds</t>
        </is>
      </c>
      <c r="B3522">
        <v>2.951674180216947e-07</v>
      </c>
      <c r="D3522" t="inlineStr">
        <is>
          <t>kilogram</t>
        </is>
      </c>
      <c r="E3522" t="inlineStr">
        <is>
          <t>air::urban air close to ground</t>
        </is>
      </c>
      <c r="F3522" t="inlineStr">
        <is>
          <t>biosphere</t>
        </is>
      </c>
      <c r="I3522">
        <v>0</v>
      </c>
    </row>
    <row r="3523">
      <c r="A3523" t="inlineStr">
        <is>
          <t>Formaldehyde</t>
        </is>
      </c>
      <c r="B3523">
        <v>3.0497002062992906e-08</v>
      </c>
      <c r="D3523" t="inlineStr">
        <is>
          <t>kilogram</t>
        </is>
      </c>
      <c r="E3523" t="inlineStr">
        <is>
          <t>air::urban air close to ground</t>
        </is>
      </c>
      <c r="F3523" t="inlineStr">
        <is>
          <t>biosphere</t>
        </is>
      </c>
      <c r="I3523">
        <v>0</v>
      </c>
    </row>
    <row r="3524">
      <c r="A3524" t="inlineStr">
        <is>
          <t>Nitrogen oxides</t>
        </is>
      </c>
      <c r="B3524">
        <v>6.99907066197852e-05</v>
      </c>
      <c r="D3524" t="inlineStr">
        <is>
          <t>kilogram</t>
        </is>
      </c>
      <c r="E3524" t="inlineStr">
        <is>
          <t>air::urban air close to ground</t>
        </is>
      </c>
      <c r="F3524" t="inlineStr">
        <is>
          <t>biosphere</t>
        </is>
      </c>
      <c r="I3524">
        <v>0</v>
      </c>
    </row>
    <row r="3525">
      <c r="A3525" t="inlineStr">
        <is>
          <t>Formaldehyde</t>
        </is>
      </c>
      <c r="B3525">
        <v>8.171666492576686e-08</v>
      </c>
      <c r="D3525" t="inlineStr">
        <is>
          <t>kilogram</t>
        </is>
      </c>
      <c r="E3525" t="inlineStr">
        <is>
          <t>air::non-urban air or from high stacks</t>
        </is>
      </c>
      <c r="F3525" t="inlineStr">
        <is>
          <t>biosphere</t>
        </is>
      </c>
      <c r="I3525">
        <v>0</v>
      </c>
    </row>
    <row r="3526">
      <c r="A3526" t="inlineStr">
        <is>
          <t>Zinc II</t>
        </is>
      </c>
      <c r="B3526">
        <v>3.0512575307981485e-10</v>
      </c>
      <c r="D3526" t="inlineStr">
        <is>
          <t>kilogram</t>
        </is>
      </c>
      <c r="E3526" t="inlineStr">
        <is>
          <t>air::non-urban air or from high stacks</t>
        </is>
      </c>
      <c r="F3526" t="inlineStr">
        <is>
          <t>biosphere</t>
        </is>
      </c>
      <c r="I3526">
        <v>0</v>
      </c>
    </row>
    <row r="3527">
      <c r="A3527" t="inlineStr">
        <is>
          <t>Carbon monoxide, fossil</t>
        </is>
      </c>
      <c r="B3527">
        <v>3.4291435191313603e-06</v>
      </c>
      <c r="D3527" t="inlineStr">
        <is>
          <t>kilogram</t>
        </is>
      </c>
      <c r="E3527" t="inlineStr">
        <is>
          <t>air::urban air close to ground</t>
        </is>
      </c>
      <c r="F3527" t="inlineStr">
        <is>
          <t>biosphere</t>
        </is>
      </c>
      <c r="I3527">
        <v>0</v>
      </c>
    </row>
    <row r="3528">
      <c r="A3528" t="inlineStr">
        <is>
          <t>m-Xylene</t>
        </is>
      </c>
      <c r="B3528">
        <v>3.557983498215643e-09</v>
      </c>
      <c r="D3528" t="inlineStr">
        <is>
          <t>kilogram</t>
        </is>
      </c>
      <c r="E3528" t="inlineStr">
        <is>
          <t>air::urban air close to ground</t>
        </is>
      </c>
      <c r="F3528" t="inlineStr">
        <is>
          <t>biosphere</t>
        </is>
      </c>
      <c r="I3528">
        <v>0</v>
      </c>
    </row>
    <row r="3529">
      <c r="A3529" t="inlineStr">
        <is>
          <t>PAH, polycyclic aromatic hydrocarbons</t>
        </is>
      </c>
      <c r="B3529">
        <v>1.3253673720206763e-09</v>
      </c>
      <c r="D3529" t="inlineStr">
        <is>
          <t>kilogram</t>
        </is>
      </c>
      <c r="E3529" t="inlineStr">
        <is>
          <t>air::non-urban air or from high stacks</t>
        </is>
      </c>
      <c r="F3529" t="inlineStr">
        <is>
          <t>biosphere</t>
        </is>
      </c>
      <c r="I3529">
        <v>0</v>
      </c>
    </row>
    <row r="3530">
      <c r="A3530" t="inlineStr">
        <is>
          <t>Particulate Matter, &lt; 2.5 um</t>
        </is>
      </c>
      <c r="B3530">
        <v>4.776281554847677e-07</v>
      </c>
      <c r="D3530" t="inlineStr">
        <is>
          <t>kilogram</t>
        </is>
      </c>
      <c r="E3530" t="inlineStr">
        <is>
          <t>air::non-urban air or from high stacks</t>
        </is>
      </c>
      <c r="F3530" t="inlineStr">
        <is>
          <t>biosphere</t>
        </is>
      </c>
      <c r="I3530">
        <v>0</v>
      </c>
    </row>
    <row r="3531">
      <c r="A3531" t="inlineStr">
        <is>
          <t>Pentane</t>
        </is>
      </c>
      <c r="B3531">
        <v>5.836904424366724e-10</v>
      </c>
      <c r="D3531" t="inlineStr">
        <is>
          <t>kilogram</t>
        </is>
      </c>
      <c r="E3531" t="inlineStr">
        <is>
          <t>air::non-urban air or from high stacks</t>
        </is>
      </c>
      <c r="F3531" t="inlineStr">
        <is>
          <t>biosphere</t>
        </is>
      </c>
      <c r="I3531">
        <v>0</v>
      </c>
    </row>
    <row r="3532">
      <c r="A3532" t="inlineStr">
        <is>
          <t>1,1,1,2-Tetrafluoroethane</t>
        </is>
      </c>
      <c r="B3532">
        <v>1.0592803277176513e-07</v>
      </c>
      <c r="D3532" t="inlineStr">
        <is>
          <t>kilogram</t>
        </is>
      </c>
      <c r="E3532" t="inlineStr">
        <is>
          <t>air</t>
        </is>
      </c>
      <c r="F3532" t="inlineStr">
        <is>
          <t>biosphere</t>
        </is>
      </c>
      <c r="I3532">
        <v>0</v>
      </c>
    </row>
    <row r="3533">
      <c r="A3533" t="inlineStr">
        <is>
          <t>Acetaldehyde</t>
        </is>
      </c>
      <c r="B3533">
        <v>1.659182111140383e-08</v>
      </c>
      <c r="D3533" t="inlineStr">
        <is>
          <t>kilogram</t>
        </is>
      </c>
      <c r="E3533" t="inlineStr">
        <is>
          <t>air::urban air close to ground</t>
        </is>
      </c>
      <c r="F3533" t="inlineStr">
        <is>
          <t>biosphere</t>
        </is>
      </c>
      <c r="I3533">
        <v>0</v>
      </c>
    </row>
    <row r="3534">
      <c r="A3534" t="inlineStr">
        <is>
          <t>Benzene</t>
        </is>
      </c>
      <c r="B3534">
        <v>6.212178142196781e-09</v>
      </c>
      <c r="D3534" t="inlineStr">
        <is>
          <t>kilogram</t>
        </is>
      </c>
      <c r="E3534" t="inlineStr">
        <is>
          <t>air::urban air close to ground</t>
        </is>
      </c>
      <c r="F3534" t="inlineStr">
        <is>
          <t>biosphere</t>
        </is>
      </c>
      <c r="I3534">
        <v>0</v>
      </c>
    </row>
    <row r="3535">
      <c r="A3535" t="inlineStr">
        <is>
          <t>Mercury II</t>
        </is>
      </c>
      <c r="B3535">
        <v>3.342847041832336e-11</v>
      </c>
      <c r="D3535" t="inlineStr">
        <is>
          <t>kilogram</t>
        </is>
      </c>
      <c r="E3535" t="inlineStr">
        <is>
          <t>air::urban air close to ground</t>
        </is>
      </c>
      <c r="F3535" t="inlineStr">
        <is>
          <t>biosphere</t>
        </is>
      </c>
      <c r="I3535">
        <v>0</v>
      </c>
    </row>
    <row r="3536">
      <c r="A3536" t="inlineStr">
        <is>
          <t>Cadmium II</t>
        </is>
      </c>
      <c r="B3536">
        <v>3.1526036603104326e-13</v>
      </c>
      <c r="D3536" t="inlineStr">
        <is>
          <t>kilogram</t>
        </is>
      </c>
      <c r="E3536" t="inlineStr">
        <is>
          <t>air::urban air close to ground</t>
        </is>
      </c>
      <c r="F3536" t="inlineStr">
        <is>
          <t>biosphere</t>
        </is>
      </c>
      <c r="I3536">
        <v>0</v>
      </c>
    </row>
    <row r="3537">
      <c r="A3537" t="inlineStr">
        <is>
          <t>Propane</t>
        </is>
      </c>
      <c r="B3537">
        <v>9.728174395924625e-10</v>
      </c>
      <c r="D3537" t="inlineStr">
        <is>
          <t>kilogram</t>
        </is>
      </c>
      <c r="E3537" t="inlineStr">
        <is>
          <t>air::non-urban air or from high stacks</t>
        </is>
      </c>
      <c r="F3537" t="inlineStr">
        <is>
          <t>biosphere</t>
        </is>
      </c>
      <c r="I3537">
        <v>0</v>
      </c>
    </row>
    <row r="3538">
      <c r="A3538" t="inlineStr">
        <is>
          <t>Chromium III</t>
        </is>
      </c>
      <c r="B3538">
        <v>1.441883169327399e-10</v>
      </c>
      <c r="D3538" t="inlineStr">
        <is>
          <t>kilogram</t>
        </is>
      </c>
      <c r="E3538" t="inlineStr">
        <is>
          <t>air::non-urban air or from high stacks</t>
        </is>
      </c>
      <c r="F3538" t="inlineStr">
        <is>
          <t>biosphere</t>
        </is>
      </c>
      <c r="I3538">
        <v>0</v>
      </c>
    </row>
    <row r="3539">
      <c r="A3539" t="inlineStr">
        <is>
          <t>Acrolein</t>
        </is>
      </c>
      <c r="B3539">
        <v>6.426154136073841e-09</v>
      </c>
      <c r="D3539" t="inlineStr">
        <is>
          <t>kilogram</t>
        </is>
      </c>
      <c r="E3539" t="inlineStr">
        <is>
          <t>air::urban air close to ground</t>
        </is>
      </c>
      <c r="F3539" t="inlineStr">
        <is>
          <t>biosphere</t>
        </is>
      </c>
      <c r="I3539">
        <v>0</v>
      </c>
    </row>
    <row r="3540">
      <c r="A3540" t="inlineStr">
        <is>
          <t>Benzaldehyde</t>
        </is>
      </c>
      <c r="B3540">
        <v>4.9739159967409846e-09</v>
      </c>
      <c r="D3540" t="inlineStr">
        <is>
          <t>kilogram</t>
        </is>
      </c>
      <c r="E3540" t="inlineStr">
        <is>
          <t>air::urban air close to ground</t>
        </is>
      </c>
      <c r="F3540" t="inlineStr">
        <is>
          <t>biosphere</t>
        </is>
      </c>
      <c r="I3540">
        <v>0</v>
      </c>
    </row>
    <row r="3541">
      <c r="A3541" t="inlineStr">
        <is>
          <t>Heptane</t>
        </is>
      </c>
      <c r="B3541">
        <v>1.0891786755623256e-09</v>
      </c>
      <c r="D3541" t="inlineStr">
        <is>
          <t>kilogram</t>
        </is>
      </c>
      <c r="E3541" t="inlineStr">
        <is>
          <t>air::urban air close to ground</t>
        </is>
      </c>
      <c r="F3541" t="inlineStr">
        <is>
          <t>biosphere</t>
        </is>
      </c>
      <c r="I3541">
        <v>0</v>
      </c>
    </row>
    <row r="3542">
      <c r="A3542" t="inlineStr">
        <is>
          <t>o-Xylene</t>
        </is>
      </c>
      <c r="B3542">
        <v>1.4522381393328552e-09</v>
      </c>
      <c r="D3542" t="inlineStr">
        <is>
          <t>kilogram</t>
        </is>
      </c>
      <c r="E3542" t="inlineStr">
        <is>
          <t>air::urban air close to ground</t>
        </is>
      </c>
      <c r="F3542" t="inlineStr">
        <is>
          <t>biosphere</t>
        </is>
      </c>
      <c r="I3542">
        <v>0</v>
      </c>
    </row>
    <row r="3543">
      <c r="A3543" t="inlineStr">
        <is>
          <t>Selenium IV</t>
        </is>
      </c>
      <c r="B3543">
        <v>6.332385327245513e-13</v>
      </c>
      <c r="D3543" t="inlineStr">
        <is>
          <t>kilogram</t>
        </is>
      </c>
      <c r="E3543" t="inlineStr">
        <is>
          <t>air::urban air close to ground</t>
        </is>
      </c>
      <c r="F3543" t="inlineStr">
        <is>
          <t>biosphere</t>
        </is>
      </c>
      <c r="I3543">
        <v>0</v>
      </c>
    </row>
    <row r="3544">
      <c r="A3544" t="inlineStr">
        <is>
          <t>Styrene</t>
        </is>
      </c>
      <c r="B3544">
        <v>2.0331335087662913e-09</v>
      </c>
      <c r="D3544" t="inlineStr">
        <is>
          <t>kilogram</t>
        </is>
      </c>
      <c r="E3544" t="inlineStr">
        <is>
          <t>air::urban air close to ground</t>
        </is>
      </c>
      <c r="F3544" t="inlineStr">
        <is>
          <t>biosphere</t>
        </is>
      </c>
      <c r="I3544">
        <v>0</v>
      </c>
    </row>
    <row r="3545">
      <c r="A3545" t="inlineStr">
        <is>
          <t>Acetaldehyde</t>
        </is>
      </c>
      <c r="B3545">
        <v>4.445775630717378e-08</v>
      </c>
      <c r="D3545" t="inlineStr">
        <is>
          <t>kilogram</t>
        </is>
      </c>
      <c r="E3545" t="inlineStr">
        <is>
          <t>air::non-urban air or from high stacks</t>
        </is>
      </c>
      <c r="F3545" t="inlineStr">
        <is>
          <t>biosphere</t>
        </is>
      </c>
      <c r="I3545">
        <v>0</v>
      </c>
    </row>
    <row r="3546">
      <c r="A3546" t="inlineStr">
        <is>
          <t>Acrolein</t>
        </is>
      </c>
      <c r="B3546">
        <v>1.7218867998584824e-08</v>
      </c>
      <c r="D3546" t="inlineStr">
        <is>
          <t>kilogram</t>
        </is>
      </c>
      <c r="E3546" t="inlineStr">
        <is>
          <t>air::non-urban air or from high stacks</t>
        </is>
      </c>
      <c r="F3546" t="inlineStr">
        <is>
          <t>biosphere</t>
        </is>
      </c>
      <c r="I3546">
        <v>0</v>
      </c>
    </row>
    <row r="3547">
      <c r="A3547" t="inlineStr">
        <is>
          <t>Benzaldehyde</t>
        </is>
      </c>
      <c r="B3547">
        <v>1.3327598240214975e-08</v>
      </c>
      <c r="D3547" t="inlineStr">
        <is>
          <t>kilogram</t>
        </is>
      </c>
      <c r="E3547" t="inlineStr">
        <is>
          <t>air::non-urban air or from high stacks</t>
        </is>
      </c>
      <c r="F3547" t="inlineStr">
        <is>
          <t>biosphere</t>
        </is>
      </c>
      <c r="I3547">
        <v>0</v>
      </c>
    </row>
    <row r="3548">
      <c r="A3548" t="inlineStr">
        <is>
          <t>Heptane</t>
        </is>
      </c>
      <c r="B3548">
        <v>2.9184523187773877e-09</v>
      </c>
      <c r="D3548" t="inlineStr">
        <is>
          <t>kilogram</t>
        </is>
      </c>
      <c r="E3548" t="inlineStr">
        <is>
          <t>air::non-urban air or from high stacks</t>
        </is>
      </c>
      <c r="F3548" t="inlineStr">
        <is>
          <t>biosphere</t>
        </is>
      </c>
      <c r="I3548">
        <v>0</v>
      </c>
    </row>
    <row r="3549">
      <c r="A3549" t="inlineStr">
        <is>
          <t>m-Xylene</t>
        </is>
      </c>
      <c r="B3549">
        <v>9.533610453204963e-09</v>
      </c>
      <c r="D3549" t="inlineStr">
        <is>
          <t>kilogram</t>
        </is>
      </c>
      <c r="E3549" t="inlineStr">
        <is>
          <t>air::non-urban air or from high stacks</t>
        </is>
      </c>
      <c r="F3549" t="inlineStr">
        <is>
          <t>biosphere</t>
        </is>
      </c>
      <c r="I3549">
        <v>0</v>
      </c>
    </row>
    <row r="3550">
      <c r="A3550" t="inlineStr">
        <is>
          <t>o-Xylene</t>
        </is>
      </c>
      <c r="B3550">
        <v>3.89126975836985e-09</v>
      </c>
      <c r="D3550" t="inlineStr">
        <is>
          <t>kilogram</t>
        </is>
      </c>
      <c r="E3550" t="inlineStr">
        <is>
          <t>air::non-urban air or from high stacks</t>
        </is>
      </c>
      <c r="F3550" t="inlineStr">
        <is>
          <t>biosphere</t>
        </is>
      </c>
      <c r="I3550">
        <v>0</v>
      </c>
    </row>
    <row r="3551">
      <c r="A3551" t="inlineStr">
        <is>
          <t>Styrene</t>
        </is>
      </c>
      <c r="B3551">
        <v>5.4477778891183776e-09</v>
      </c>
      <c r="D3551" t="inlineStr">
        <is>
          <t>kilogram</t>
        </is>
      </c>
      <c r="E3551" t="inlineStr">
        <is>
          <t>air::non-urban air or from high stacks</t>
        </is>
      </c>
      <c r="F3551" t="inlineStr">
        <is>
          <t>biosphere</t>
        </is>
      </c>
      <c r="I3551">
        <v>0</v>
      </c>
    </row>
    <row r="3552">
      <c r="A3552" t="inlineStr">
        <is>
          <t>exhaust system, for lorry, carculator regional truck 2020</t>
        </is>
      </c>
      <c r="B3552">
        <v>2.479166558394756e-05</v>
      </c>
      <c r="C3552" t="inlineStr">
        <is>
          <t>RER</t>
        </is>
      </c>
      <c r="D3552" t="inlineStr">
        <is>
          <t>kilogram</t>
        </is>
      </c>
      <c r="F3552" t="inlineStr">
        <is>
          <t>technosphere</t>
        </is>
      </c>
      <c r="G3552" t="inlineStr">
        <is>
          <t>exhaust system, for lorry</t>
        </is>
      </c>
      <c r="H3552" t="inlineStr">
        <is>
          <t> Energy-use allocation: 220 * 1.367427797431765e-07 / 1.213448585841592 MJ per ton kilometer.</t>
        </is>
      </c>
      <c r="I3552">
        <v>0</v>
      </c>
    </row>
    <row r="3553">
      <c r="A3553" t="inlineStr">
        <is>
          <t>fuel tank, for diesel vehicle, carculator regional truck 2020</t>
        </is>
      </c>
      <c r="B3553">
        <v>6.181935329374145e-06</v>
      </c>
      <c r="C3553" t="inlineStr">
        <is>
          <t>RER</t>
        </is>
      </c>
      <c r="D3553" t="inlineStr">
        <is>
          <t>kilogram</t>
        </is>
      </c>
      <c r="F3553" t="inlineStr">
        <is>
          <t>technosphere</t>
        </is>
      </c>
      <c r="G3553" t="inlineStr">
        <is>
          <t>fuel tank</t>
        </is>
      </c>
      <c r="H3553" t="inlineStr">
        <is>
          <t> Energy-use allocation: 54.85818481445312 * 1.367427797431765e-07 / 1.213448585841592 MJ per ton kilometer.</t>
        </is>
      </c>
      <c r="I3553">
        <v>0</v>
      </c>
    </row>
    <row r="3554">
      <c r="A3554" t="inlineStr">
        <is>
          <t>gearbox, for lorry, carculator regional truck 2020</t>
        </is>
      </c>
      <c r="B3554">
        <v>2.2718181513818843e-05</v>
      </c>
      <c r="C3554" t="inlineStr">
        <is>
          <t>RER</t>
        </is>
      </c>
      <c r="D3554" t="inlineStr">
        <is>
          <t>kilogram</t>
        </is>
      </c>
      <c r="F3554" t="inlineStr">
        <is>
          <t>technosphere</t>
        </is>
      </c>
      <c r="G3554" t="inlineStr">
        <is>
          <t>gearbox, for lorry</t>
        </is>
      </c>
      <c r="H3554" t="inlineStr">
        <is>
          <t> Energy-use allocation: 201.6000061035156 * 1.367427797431765e-07 / 1.213448585841592 MJ per ton kilometer.</t>
        </is>
      </c>
      <c r="I3554">
        <v>0</v>
      </c>
    </row>
    <row r="3555">
      <c r="A3555" t="inlineStr">
        <is>
          <t>internal combustion engine, for lorry, carculator regional truck 2020</t>
        </is>
      </c>
      <c r="B3555">
        <v>0.00012189565264934301</v>
      </c>
      <c r="C3555" t="inlineStr">
        <is>
          <t>RER</t>
        </is>
      </c>
      <c r="D3555" t="inlineStr">
        <is>
          <t>kilogram</t>
        </is>
      </c>
      <c r="F3555" t="inlineStr">
        <is>
          <t>technosphere</t>
        </is>
      </c>
      <c r="G3555" t="inlineStr">
        <is>
          <t>internal combustion engine, for lorry</t>
        </is>
      </c>
      <c r="H3555" t="inlineStr">
        <is>
          <t> Energy-use allocation: 1081.695922851562 * 1.367427797431765e-07 / 1.213448585841592 MJ per ton kilometer.</t>
        </is>
      </c>
      <c r="I3555">
        <v>0</v>
      </c>
    </row>
    <row r="3556">
      <c r="A3556" t="inlineStr">
        <is>
          <t>lead acid battery, for lorry, carculator regional truck 2020</t>
        </is>
      </c>
      <c r="B3556">
        <v>3.7651515024380757e-06</v>
      </c>
      <c r="C3556" t="inlineStr">
        <is>
          <t>RER</t>
        </is>
      </c>
      <c r="D3556" t="inlineStr">
        <is>
          <t>kilogram</t>
        </is>
      </c>
      <c r="F3556" t="inlineStr">
        <is>
          <t>technosphere</t>
        </is>
      </c>
      <c r="G3556" t="inlineStr">
        <is>
          <t>lead acid battery, for lorry</t>
        </is>
      </c>
      <c r="H3556" t="inlineStr">
        <is>
          <t> Energy-use allocation: 33.41176605224609 * 1.367427797431765e-07 / 1.213448585841592 MJ per ton kilometer.</t>
        </is>
      </c>
      <c r="I3556">
        <v>0</v>
      </c>
    </row>
    <row r="3557">
      <c r="A3557" t="inlineStr">
        <is>
          <t>power electronics, for lorry, carculator regional truck 2020</t>
        </is>
      </c>
      <c r="B3557">
        <v>2.9862688089755015e-05</v>
      </c>
      <c r="C3557" t="inlineStr">
        <is>
          <t>RER</t>
        </is>
      </c>
      <c r="D3557" t="inlineStr">
        <is>
          <t>kilogram</t>
        </is>
      </c>
      <c r="F3557" t="inlineStr">
        <is>
          <t>technosphere</t>
        </is>
      </c>
      <c r="G3557" t="inlineStr">
        <is>
          <t>power electronics, for lorry</t>
        </is>
      </c>
      <c r="H3557" t="inlineStr">
        <is>
          <t> Energy-use allocation: 265 * 1.367427797431765e-07 / 1.213448585841592 MJ per ton kilometer.</t>
        </is>
      </c>
      <c r="I3557">
        <v>0</v>
      </c>
    </row>
    <row r="3558">
      <c r="A3558" t="inlineStr">
        <is>
          <t>retarder, for lorry, carculator regional truck 2020</t>
        </is>
      </c>
      <c r="B3558">
        <v>7.572726598105077e-06</v>
      </c>
      <c r="C3558" t="inlineStr">
        <is>
          <t>RER</t>
        </is>
      </c>
      <c r="D3558" t="inlineStr">
        <is>
          <t>kilogram</t>
        </is>
      </c>
      <c r="F3558" t="inlineStr">
        <is>
          <t>technosphere</t>
        </is>
      </c>
      <c r="G3558" t="inlineStr">
        <is>
          <t>retarder, for lorry</t>
        </is>
      </c>
      <c r="H3558" t="inlineStr">
        <is>
          <t> Energy-use allocation: 67.19999694824219 * 1.367427797431765e-07 / 1.213448585841592 MJ per ton kilometer.</t>
        </is>
      </c>
      <c r="I3558">
        <v>0</v>
      </c>
    </row>
    <row r="3559">
      <c r="A3559" t="inlineStr">
        <is>
          <t>transmission, for lorry, carculator regional truck 2020</t>
        </is>
      </c>
      <c r="B3559">
        <v>3.2815148018620794e-05</v>
      </c>
      <c r="C3559" t="inlineStr">
        <is>
          <t>RER</t>
        </is>
      </c>
      <c r="D3559" t="inlineStr">
        <is>
          <t>kilogram</t>
        </is>
      </c>
      <c r="F3559" t="inlineStr">
        <is>
          <t>technosphere</t>
        </is>
      </c>
      <c r="G3559" t="inlineStr">
        <is>
          <t>transmission, for lorry</t>
        </is>
      </c>
      <c r="H3559" t="inlineStr">
        <is>
          <t> Energy-use allocation: 291.1999816894531 * 1.367427797431765e-07 / 1.213448585841592 MJ per ton kilometer.</t>
        </is>
      </c>
      <c r="I3559">
        <v>0</v>
      </c>
    </row>
    <row r="3560">
      <c r="A3560" t="inlineStr">
        <is>
          <t>Carbon dioxide, fossil</t>
        </is>
      </c>
      <c r="B3560">
        <v>0.07370000000000002</v>
      </c>
      <c r="D3560" t="inlineStr">
        <is>
          <t>kilogram</t>
        </is>
      </c>
      <c r="E3560" t="inlineStr">
        <is>
          <t>air</t>
        </is>
      </c>
      <c r="F3560" t="inlineStr">
        <is>
          <t>biosphere</t>
        </is>
      </c>
      <c r="H3560" t="inlineStr">
        <is>
          <t>Reference-fuel full-oxidation CO2; Premise reclassifies fossil/biogenic carbon with regional blends. Pollutants are separate model estimates, not an elemental closure.</t>
        </is>
      </c>
      <c r="I3560">
        <v>0</v>
      </c>
    </row>
    <row r="3561"/>
    <row r="3562">
      <c r="A3562" t="inlineStr">
        <is>
          <t>Activity</t>
        </is>
      </c>
      <c r="B3562" t="inlineStr">
        <is>
          <t>diesel, burned in light duty vehicle</t>
        </is>
      </c>
    </row>
    <row r="3563">
      <c r="A3563" t="inlineStr">
        <is>
          <t>location</t>
        </is>
      </c>
      <c r="B3563" t="inlineStr">
        <is>
          <t>CH</t>
        </is>
      </c>
    </row>
    <row r="3564">
      <c r="A3564" t="inlineStr">
        <is>
          <t>production amount</t>
        </is>
      </c>
      <c r="B3564">
        <v>1</v>
      </c>
    </row>
    <row r="3565">
      <c r="A3565" t="inlineStr">
        <is>
          <t>reference product</t>
        </is>
      </c>
      <c r="B3565" t="inlineStr">
        <is>
          <t>heat</t>
        </is>
      </c>
    </row>
    <row r="3566">
      <c r="A3566" t="inlineStr">
        <is>
          <t>type</t>
        </is>
      </c>
      <c r="B3566" t="inlineStr">
        <is>
          <t>process</t>
        </is>
      </c>
    </row>
    <row r="3567">
      <c r="A3567" t="inlineStr">
        <is>
          <t>unit</t>
        </is>
      </c>
      <c r="B3567" t="inlineStr">
        <is>
          <t>megajoule</t>
        </is>
      </c>
    </row>
    <row r="3568">
      <c r="A3568" t="inlineStr">
        <is>
          <t>energy use source</t>
        </is>
      </c>
      <c r="B3568" t="inlineStr">
        <is>
          <t>{"source": ["transport, freight, lorry, diesel, 3.5 metric ton", "transport, freight, lorry", "RER", "ton kilometer"], "source unit": "ton kilometer", "purchased MJ per source service": 3.9910248862093187, "boundary": "energy-specific equipment; excludes chassis, body, roads and whole-vehicle maintenance", "retained equipment": [{"supplier": ["exhaust system, for lorry, carculator regional truck 2020", "exhaust system, for lorry", "RER", "kilogram"], "amount per vehicle": 44, "vehicle per source service": 4.901960892311763e-06, "replacement correction factor": 1.0, "amount per MJ": 5.404282995252799e-05}, {"supplier": ["fuel tank, for diesel vehicle, carculator regional truck 2020", "fuel tank", "RER", "kilogram"], "amount per vehicle": 30.33377456665039, "vehicle per source service": 4.901960892311763e-06, "replacement correction factor": 1.0, "amount per MJ": 3.725734138008649e-05}, {"supplier": ["gearbox, for lorry, carculator regional truck 2020", "gearbox, for lorry", "RER", "kilogram"], "amount per vehicle": 29.73600006103516, "vehicle per source service": 4.901960892311763e-06, "replacement correction factor": 1.0, "amount per MJ": 3.652312715379284e-05}, {"supplier": ["internal combustion engine, for lorry, carculator regional truck 2020", "internal combustion engine, for lorry", "RER", "kilogram"], "amount per vehicle": 444.209716796875, "vehicle per source service": 4.901960892311763e-06, "replacement correction factor": 1.0, "amount per MJ": 0.0005455988679116848}, {"supplier": ["lead acid battery, for lorry, carculator regional truck 2020", "lead acid battery, for lorry", "RER", "kilogram"], "amount per vehicle": 38.41129684448242, "vehicle per source service": 4.901960892311763e-06, "replacement correction factor": 1.0, "amount per MJ": 4.7178526900509966e-05}, {"supplier": ["power electronics, for lorry, carculator regional truck 2020", "power electronics, for lorry", "RER", "kilogram"], "amount per vehicle": 24, "vehicle per source service": 4.901960892311763e-06, "replacement correction factor": 1.0, "amount per MJ": 2.9477907246833448e-05}, {"supplier": ["retarder, for lorry, carculator regional truck 2020", "retarder, for lorry", "RER", "kilogram"], "amount per vehicle": 9.911999702453613, "vehicle per source service": 4.901960892311763e-06, "replacement correction factor": 1.0, "amount per MJ": 1.2174375327482016e-05}, {"supplier": ["transmission, for lorry, carculator regional truck 2020", "transmission, for lorry", "RER", "kilogram"], "amount per vehicle": 42.95199584960938, "vehicle per source service": 4.901960892311763e-06, "replacement correction factor": 1.0, "amount per MJ": 5.275562290504836e-05}], "excluded": [{"supplier": "market for road", "amount per source service": 0.002118049344668786}, {"supplier": "market for road maintenance", "amount per source service": 0.00172}, {"supplier": ["assembly operation, for lorry, carculator regional truck 2020", "assembly operation, for lorry", "RER", "kilogram"], "amount per vehicle": 2133.16943359375, "vehicle per source service": 4.901960892311763e-06}, {"supplier": ["frame, blanks and saddle, for lorry, carculator regional truck 2020", "frame, blanks and saddle, for lorry", "RER", "kilogram"], "amount per vehicle": 703, "vehicle per source service": 4.901960892311763e-06}, {"supplier": ["glider lightweighting, carculator regional truck 2020", "glider lightweighting", "GLO", "kilogram"], "amount per vehicle": 35.15000152587891, "vehicle per source service": 4.901960892311763e-06}, {"supplier": ["other components, for hybrid electric lorry, carculator regional truck 2020", "other components, for hybrid electric lorry", "RER", "kilogram"], "amount per vehicle": 119, "vehicle per source service": 4.901960892311763e-06}, {"supplier": ["suspension, for lorry, carculator regional truck 2020", "suspension, for lorry", "RER", "kilogram"], "amount per vehicle": 334, "vehicle per source service": 4.901960892311763e-06}, {"supplier": ["tires and wheels, for lorry, carculator regional truck 2020", "tires and wheels, for lorry", "RER", "kilogram"], "amount per vehicle": 194, "vehicle per source service": 4.901960892311763e-06}, {"supplier": ["maintenance, lorry 16 metric ton", "maintenance, lorry 16 metric ton", "CH", "unit"], "amount per vehicle": 0.21875, "vehicle per source service": 4.901960892311763e-06}, {"supplier": ["treatment of used lorry, 16 metric ton", "used lorry, 16 metric ton", "CH", "unit"], "amount per vehicle": -0.21875, "vehicle per source service": 4.901960892311763e-06}], "alternative fuel recipe retained": false}</t>
        </is>
      </c>
    </row>
    <row r="3569">
      <c r="A3569" t="inlineStr">
        <is>
          <t>comment</t>
        </is>
      </c>
      <c r="B3569" t="inlineStr">
        <is>
          <t>Produces consumption of 1 MJ of purchased energy. Representative powertrain carrier: diesel. energy-specific equipment; excludes chassis, body, roads and whole-vehicle maintenance. Source transport, freight, lorry, diesel, 3.5 metric ton [RER]; 3.99102488620932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750 kg payload, 22660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272000 km. Km per year: 22660 km/year. Tank-to-wheel efficiency: 22.2 \%. Tank-to-wheel energy consumption: 2993 kj/km. Fuel consumption: 8.4 l/100km. Electricity consumption: 0.0 kWh/100km. Battery capacity: 0.0 kWh. Fuel tank capacity: 332 kWh. Power share from combustion engine: 100.0 \%. Combustion engine power: 140 kW. Electric motor power: 0.0 kW. Curb mass (excl. driver and cargo): 2133 kg. Driving mass (incl. driver and cargo): 2958 kg. Battery mass: 0.0 kg. Fuel cell system efficiency: 0.0 \%. Number of passengers onboard: 1.0 passenger(s). Available payload: 1291 kg. Payload: 750 kg. Load factor: 58.1 \%. Autonomy on a full tank/battery: 400 km.  Carbon accounting: full-oxidation CO2 plus separately estimated pollutants; not a closed elemental carbon balance.</t>
        </is>
      </c>
    </row>
    <row r="3570">
      <c r="A3570" t="inlineStr">
        <is>
          <t>Exchanges</t>
        </is>
      </c>
    </row>
    <row r="3571">
      <c r="A3571" t="inlineStr">
        <is>
          <t>name</t>
        </is>
      </c>
      <c r="B3571" t="inlineStr">
        <is>
          <t>amount</t>
        </is>
      </c>
      <c r="C3571" t="inlineStr">
        <is>
          <t>location</t>
        </is>
      </c>
      <c r="D3571" t="inlineStr">
        <is>
          <t>unit</t>
        </is>
      </c>
      <c r="E3571" t="inlineStr">
        <is>
          <t>categories</t>
        </is>
      </c>
      <c r="F3571" t="inlineStr">
        <is>
          <t>type</t>
        </is>
      </c>
      <c r="G3571" t="inlineStr">
        <is>
          <t>reference product</t>
        </is>
      </c>
      <c r="H3571" t="inlineStr">
        <is>
          <t>comment</t>
        </is>
      </c>
      <c r="I3571" t="inlineStr">
        <is>
          <t>uncertainty type</t>
        </is>
      </c>
    </row>
    <row r="3572">
      <c r="A3572" t="inlineStr">
        <is>
          <t>diesel, burned in light duty vehicle</t>
        </is>
      </c>
      <c r="B3572">
        <v>1.0</v>
      </c>
      <c r="C3572" t="inlineStr">
        <is>
          <t>CH</t>
        </is>
      </c>
      <c r="D3572" t="inlineStr">
        <is>
          <t>megajoule</t>
        </is>
      </c>
      <c r="F3572" t="inlineStr">
        <is>
          <t>production</t>
        </is>
      </c>
      <c r="G3572" t="inlineStr">
        <is>
          <t>heat</t>
        </is>
      </c>
      <c r="I3572">
        <v>0</v>
      </c>
    </row>
    <row r="3573">
      <c r="A3573" t="inlineStr">
        <is>
          <t>market for diesel, low-sulfur</t>
        </is>
      </c>
      <c r="B3573">
        <v>0.023255813953488372</v>
      </c>
      <c r="C3573" t="inlineStr">
        <is>
          <t>Europe without Switzerland</t>
        </is>
      </c>
      <c r="D3573" t="inlineStr">
        <is>
          <t>kilogram</t>
        </is>
      </c>
      <c r="F3573" t="inlineStr">
        <is>
          <t>technosphere</t>
        </is>
      </c>
      <c r="G3573" t="inlineStr">
        <is>
          <t>diesel, low-sulfur</t>
        </is>
      </c>
      <c r="H3573" t="inlineStr">
        <is>
          <t>Model fuel energy retained: 3.99102488621 MJ/tkm; reference LHV 43.0 MJ/kg. Premise determines regional blends.</t>
        </is>
      </c>
      <c r="I3573">
        <v>0</v>
      </c>
    </row>
    <row r="3574">
      <c r="A3574" t="inlineStr">
        <is>
          <t>market for tetrafluoroethane, R134a</t>
        </is>
      </c>
      <c r="B3574">
        <v>2.5056219974806436e-06</v>
      </c>
      <c r="C3574" t="inlineStr">
        <is>
          <t>GLO</t>
        </is>
      </c>
      <c r="D3574" t="inlineStr">
        <is>
          <t>kilogram</t>
        </is>
      </c>
      <c r="F3574" t="inlineStr">
        <is>
          <t>technosphere</t>
        </is>
      </c>
      <c r="G3574" t="inlineStr">
        <is>
          <t>tetrafluoroethane, R134a</t>
        </is>
      </c>
      <c r="I3574">
        <v>0</v>
      </c>
    </row>
    <row r="3575">
      <c r="A3575" t="inlineStr">
        <is>
          <t>treatment of brake wear emissions, lorry</t>
        </is>
      </c>
      <c r="B3575">
        <v>-6.146224928097693e-06</v>
      </c>
      <c r="C3575" t="inlineStr">
        <is>
          <t>RER</t>
        </is>
      </c>
      <c r="D3575" t="inlineStr">
        <is>
          <t>kilogram</t>
        </is>
      </c>
      <c r="F3575" t="inlineStr">
        <is>
          <t>technosphere</t>
        </is>
      </c>
      <c r="G3575" t="inlineStr">
        <is>
          <t>brake wear emissions, lorry</t>
        </is>
      </c>
      <c r="I3575">
        <v>0</v>
      </c>
    </row>
    <row r="3576">
      <c r="A3576" t="inlineStr">
        <is>
          <t>treatment of road wear emissions, lorry</t>
        </is>
      </c>
      <c r="B3576">
        <v>-8.480316063832114e-06</v>
      </c>
      <c r="C3576" t="inlineStr">
        <is>
          <t>RER</t>
        </is>
      </c>
      <c r="D3576" t="inlineStr">
        <is>
          <t>kilogram</t>
        </is>
      </c>
      <c r="F3576" t="inlineStr">
        <is>
          <t>technosphere</t>
        </is>
      </c>
      <c r="G3576" t="inlineStr">
        <is>
          <t>road wear emissions, lorry</t>
        </is>
      </c>
      <c r="I3576">
        <v>0</v>
      </c>
    </row>
    <row r="3577">
      <c r="A3577" t="inlineStr">
        <is>
          <t>treatment of tyre wear emissions, lorry</t>
        </is>
      </c>
      <c r="B3577">
        <v>-8.613245941385969e-06</v>
      </c>
      <c r="C3577" t="inlineStr">
        <is>
          <t>RER</t>
        </is>
      </c>
      <c r="D3577" t="inlineStr">
        <is>
          <t>kilogram</t>
        </is>
      </c>
      <c r="F3577" t="inlineStr">
        <is>
          <t>technosphere</t>
        </is>
      </c>
      <c r="G3577" t="inlineStr">
        <is>
          <t>tyre wear emissions, lorry</t>
        </is>
      </c>
      <c r="I3577">
        <v>0</v>
      </c>
    </row>
    <row r="3578">
      <c r="A3578" t="inlineStr">
        <is>
          <t>Toluene</t>
        </is>
      </c>
      <c r="B3578">
        <v>9.243643685354034e-11</v>
      </c>
      <c r="D3578" t="inlineStr">
        <is>
          <t>kilogram</t>
        </is>
      </c>
      <c r="E3578" t="inlineStr">
        <is>
          <t>air::non-urban air or from high stacks</t>
        </is>
      </c>
      <c r="F3578" t="inlineStr">
        <is>
          <t>biosphere</t>
        </is>
      </c>
      <c r="I3578">
        <v>0</v>
      </c>
    </row>
    <row r="3579">
      <c r="A3579" t="inlineStr">
        <is>
          <t>NMVOC, non-methane volatile organic compounds</t>
        </is>
      </c>
      <c r="B3579">
        <v>7.515082108670604e-07</v>
      </c>
      <c r="D3579" t="inlineStr">
        <is>
          <t>kilogram</t>
        </is>
      </c>
      <c r="E3579" t="inlineStr">
        <is>
          <t>air::non-urban air or from high stacks</t>
        </is>
      </c>
      <c r="F3579" t="inlineStr">
        <is>
          <t>biosphere</t>
        </is>
      </c>
      <c r="I3579">
        <v>0</v>
      </c>
    </row>
    <row r="3580">
      <c r="A3580" t="inlineStr">
        <is>
          <t>Dinitrogen monoxide</t>
        </is>
      </c>
      <c r="B3580">
        <v>1.748552116484618e-05</v>
      </c>
      <c r="D3580" t="inlineStr">
        <is>
          <t>kilogram</t>
        </is>
      </c>
      <c r="E3580" t="inlineStr">
        <is>
          <t>air::non-urban air or from high stacks</t>
        </is>
      </c>
      <c r="F3580" t="inlineStr">
        <is>
          <t>biosphere</t>
        </is>
      </c>
      <c r="I3580">
        <v>0</v>
      </c>
    </row>
    <row r="3581">
      <c r="A3581" t="inlineStr">
        <is>
          <t>Ethane</t>
        </is>
      </c>
      <c r="B3581">
        <v>7.694601061708916e-11</v>
      </c>
      <c r="D3581" t="inlineStr">
        <is>
          <t>kilogram</t>
        </is>
      </c>
      <c r="E3581" t="inlineStr">
        <is>
          <t>air::urban air close to ground</t>
        </is>
      </c>
      <c r="F3581" t="inlineStr">
        <is>
          <t>biosphere</t>
        </is>
      </c>
      <c r="I3581">
        <v>0</v>
      </c>
    </row>
    <row r="3582">
      <c r="A3582" t="inlineStr">
        <is>
          <t>Pentane</t>
        </is>
      </c>
      <c r="B3582">
        <v>1.5389202123417832e-10</v>
      </c>
      <c r="D3582" t="inlineStr">
        <is>
          <t>kilogram</t>
        </is>
      </c>
      <c r="E3582" t="inlineStr">
        <is>
          <t>air::urban air close to ground</t>
        </is>
      </c>
      <c r="F3582" t="inlineStr">
        <is>
          <t>biosphere</t>
        </is>
      </c>
      <c r="I3582">
        <v>0</v>
      </c>
    </row>
    <row r="3583">
      <c r="A3583" t="inlineStr">
        <is>
          <t>Selenium IV</t>
        </is>
      </c>
      <c r="B3583">
        <v>1.823912502533892e-12</v>
      </c>
      <c r="D3583" t="inlineStr">
        <is>
          <t>kilogram</t>
        </is>
      </c>
      <c r="E3583" t="inlineStr">
        <is>
          <t>air::non-urban air or from high stacks</t>
        </is>
      </c>
      <c r="F3583" t="inlineStr">
        <is>
          <t>biosphere</t>
        </is>
      </c>
      <c r="I3583">
        <v>0</v>
      </c>
    </row>
    <row r="3584">
      <c r="A3584" t="inlineStr">
        <is>
          <t>Arsenic ion</t>
        </is>
      </c>
      <c r="B3584">
        <v>1.823912502533892e-12</v>
      </c>
      <c r="D3584" t="inlineStr">
        <is>
          <t>kilogram</t>
        </is>
      </c>
      <c r="E3584" t="inlineStr">
        <is>
          <t>air::non-urban air or from high stacks</t>
        </is>
      </c>
      <c r="F3584" t="inlineStr">
        <is>
          <t>biosphere</t>
        </is>
      </c>
      <c r="I3584">
        <v>0</v>
      </c>
    </row>
    <row r="3585">
      <c r="A3585" t="inlineStr">
        <is>
          <t>Arsenic ion</t>
        </is>
      </c>
      <c r="B3585">
        <v>5.060875675214197e-13</v>
      </c>
      <c r="D3585" t="inlineStr">
        <is>
          <t>kilogram</t>
        </is>
      </c>
      <c r="E3585" t="inlineStr">
        <is>
          <t>air::urban air close to ground</t>
        </is>
      </c>
      <c r="F3585" t="inlineStr">
        <is>
          <t>biosphere</t>
        </is>
      </c>
      <c r="I3585">
        <v>0</v>
      </c>
    </row>
    <row r="3586">
      <c r="A3586" t="inlineStr">
        <is>
          <t>Particulate Matter, &lt; 2.5 um</t>
        </is>
      </c>
      <c r="B3586">
        <v>1.3079756711442602e-07</v>
      </c>
      <c r="D3586" t="inlineStr">
        <is>
          <t>kilogram</t>
        </is>
      </c>
      <c r="E3586" t="inlineStr">
        <is>
          <t>air::urban air close to ground</t>
        </is>
      </c>
      <c r="F3586" t="inlineStr">
        <is>
          <t>biosphere</t>
        </is>
      </c>
      <c r="I3586">
        <v>0</v>
      </c>
    </row>
    <row r="3587">
      <c r="A3587" t="inlineStr">
        <is>
          <t>Nickel II</t>
        </is>
      </c>
      <c r="B3587">
        <v>3.63999713773777e-12</v>
      </c>
      <c r="D3587" t="inlineStr">
        <is>
          <t>kilogram</t>
        </is>
      </c>
      <c r="E3587" t="inlineStr">
        <is>
          <t>air::non-urban air or from high stacks</t>
        </is>
      </c>
      <c r="F3587" t="inlineStr">
        <is>
          <t>biosphere</t>
        </is>
      </c>
      <c r="I3587">
        <v>0</v>
      </c>
    </row>
    <row r="3588">
      <c r="A3588" t="inlineStr">
        <is>
          <t>Methane, fossil</t>
        </is>
      </c>
      <c r="B3588">
        <v>2.2730256281595843e-08</v>
      </c>
      <c r="D3588" t="inlineStr">
        <is>
          <t>kilogram</t>
        </is>
      </c>
      <c r="E3588" t="inlineStr">
        <is>
          <t>air::non-urban air or from high stacks</t>
        </is>
      </c>
      <c r="F3588" t="inlineStr">
        <is>
          <t>biosphere</t>
        </is>
      </c>
      <c r="I3588">
        <v>0</v>
      </c>
    </row>
    <row r="3589">
      <c r="A3589" t="inlineStr">
        <is>
          <t>Mercury II</t>
        </is>
      </c>
      <c r="B3589">
        <v>9.628379510673034e-11</v>
      </c>
      <c r="D3589" t="inlineStr">
        <is>
          <t>kilogram</t>
        </is>
      </c>
      <c r="E3589" t="inlineStr">
        <is>
          <t>air::non-urban air or from high stacks</t>
        </is>
      </c>
      <c r="F3589" t="inlineStr">
        <is>
          <t>biosphere</t>
        </is>
      </c>
      <c r="I3589">
        <v>0</v>
      </c>
    </row>
    <row r="3590">
      <c r="A3590" t="inlineStr">
        <is>
          <t>Ammonia</t>
        </is>
      </c>
      <c r="B3590">
        <v>7.217503800183741e-06</v>
      </c>
      <c r="D3590" t="inlineStr">
        <is>
          <t>kilogram</t>
        </is>
      </c>
      <c r="E3590" t="inlineStr">
        <is>
          <t>air::non-urban air or from high stacks</t>
        </is>
      </c>
      <c r="F3590" t="inlineStr">
        <is>
          <t>biosphere</t>
        </is>
      </c>
      <c r="I3590">
        <v>0</v>
      </c>
    </row>
    <row r="3591">
      <c r="A3591" t="inlineStr">
        <is>
          <t>Ethane</t>
        </is>
      </c>
      <c r="B3591">
        <v>2.773093012879567e-10</v>
      </c>
      <c r="D3591" t="inlineStr">
        <is>
          <t>kilogram</t>
        </is>
      </c>
      <c r="E3591" t="inlineStr">
        <is>
          <t>air::non-urban air or from high stacks</t>
        </is>
      </c>
      <c r="F3591" t="inlineStr">
        <is>
          <t>biosphere</t>
        </is>
      </c>
      <c r="I3591">
        <v>0</v>
      </c>
    </row>
    <row r="3592">
      <c r="A3592" t="inlineStr">
        <is>
          <t>Nickel II</t>
        </is>
      </c>
      <c r="B3592">
        <v>1.0100030858631943e-12</v>
      </c>
      <c r="D3592" t="inlineStr">
        <is>
          <t>kilogram</t>
        </is>
      </c>
      <c r="E3592" t="inlineStr">
        <is>
          <t>air::urban air close to ground</t>
        </is>
      </c>
      <c r="F3592" t="inlineStr">
        <is>
          <t>biosphere</t>
        </is>
      </c>
      <c r="I3592">
        <v>0</v>
      </c>
    </row>
    <row r="3593">
      <c r="A3593" t="inlineStr">
        <is>
          <t>Cadmium II</t>
        </is>
      </c>
      <c r="B3593">
        <v>9.080423176019399e-13</v>
      </c>
      <c r="D3593" t="inlineStr">
        <is>
          <t>kilogram</t>
        </is>
      </c>
      <c r="E3593" t="inlineStr">
        <is>
          <t>air::non-urban air or from high stacks</t>
        </is>
      </c>
      <c r="F3593" t="inlineStr">
        <is>
          <t>biosphere</t>
        </is>
      </c>
      <c r="I3593">
        <v>0</v>
      </c>
    </row>
    <row r="3594">
      <c r="A3594" t="inlineStr">
        <is>
          <t>Ammonia</t>
        </is>
      </c>
      <c r="B3594">
        <v>2.0026667395187476e-06</v>
      </c>
      <c r="D3594" t="inlineStr">
        <is>
          <t>kilogram</t>
        </is>
      </c>
      <c r="E3594" t="inlineStr">
        <is>
          <t>air::urban air close to ground</t>
        </is>
      </c>
      <c r="F3594" t="inlineStr">
        <is>
          <t>biosphere</t>
        </is>
      </c>
      <c r="I3594">
        <v>0</v>
      </c>
    </row>
    <row r="3595">
      <c r="A3595" t="inlineStr">
        <is>
          <t>Butane</t>
        </is>
      </c>
      <c r="B3595">
        <v>1.386546543530441e-09</v>
      </c>
      <c r="D3595" t="inlineStr">
        <is>
          <t>kilogram</t>
        </is>
      </c>
      <c r="E3595" t="inlineStr">
        <is>
          <t>air::non-urban air or from high stacks</t>
        </is>
      </c>
      <c r="F3595" t="inlineStr">
        <is>
          <t>biosphere</t>
        </is>
      </c>
      <c r="I3595">
        <v>0</v>
      </c>
    </row>
    <row r="3596">
      <c r="A3596" t="inlineStr">
        <is>
          <t>PAH, polycyclic aromatic hydrocarbons</t>
        </is>
      </c>
      <c r="B3596">
        <v>3.95313042263028e-10</v>
      </c>
      <c r="D3596" t="inlineStr">
        <is>
          <t>kilogram</t>
        </is>
      </c>
      <c r="E3596" t="inlineStr">
        <is>
          <t>air::urban air close to ground</t>
        </is>
      </c>
      <c r="F3596" t="inlineStr">
        <is>
          <t>biosphere</t>
        </is>
      </c>
      <c r="I3596">
        <v>0</v>
      </c>
    </row>
    <row r="3597">
      <c r="A3597" t="inlineStr">
        <is>
          <t>Copper ion</t>
        </is>
      </c>
      <c r="B3597">
        <v>1.0411174125438981e-10</v>
      </c>
      <c r="D3597" t="inlineStr">
        <is>
          <t>kilogram</t>
        </is>
      </c>
      <c r="E3597" t="inlineStr">
        <is>
          <t>air::non-urban air or from high stacks</t>
        </is>
      </c>
      <c r="F3597" t="inlineStr">
        <is>
          <t>biosphere</t>
        </is>
      </c>
      <c r="I3597">
        <v>0</v>
      </c>
    </row>
    <row r="3598">
      <c r="A3598" t="inlineStr">
        <is>
          <t>Nitrogen oxides</t>
        </is>
      </c>
      <c r="B3598">
        <v>0.00015431872357991245</v>
      </c>
      <c r="D3598" t="inlineStr">
        <is>
          <t>kilogram</t>
        </is>
      </c>
      <c r="E3598" t="inlineStr">
        <is>
          <t>air::non-urban air or from high stacks</t>
        </is>
      </c>
      <c r="F3598" t="inlineStr">
        <is>
          <t>biosphere</t>
        </is>
      </c>
      <c r="I3598">
        <v>0</v>
      </c>
    </row>
    <row r="3599">
      <c r="A3599" t="inlineStr">
        <is>
          <t>Butane</t>
        </is>
      </c>
      <c r="B3599">
        <v>3.8473003917644926e-10</v>
      </c>
      <c r="D3599" t="inlineStr">
        <is>
          <t>kilogram</t>
        </is>
      </c>
      <c r="E3599" t="inlineStr">
        <is>
          <t>air::urban air close to ground</t>
        </is>
      </c>
      <c r="F3599" t="inlineStr">
        <is>
          <t>biosphere</t>
        </is>
      </c>
      <c r="I3599">
        <v>0</v>
      </c>
    </row>
    <row r="3600">
      <c r="A3600" t="inlineStr">
        <is>
          <t>Copper ion</t>
        </is>
      </c>
      <c r="B3600">
        <v>2.8888260174470147e-11</v>
      </c>
      <c r="D3600" t="inlineStr">
        <is>
          <t>kilogram</t>
        </is>
      </c>
      <c r="E3600" t="inlineStr">
        <is>
          <t>air::urban air close to ground</t>
        </is>
      </c>
      <c r="F3600" t="inlineStr">
        <is>
          <t>biosphere</t>
        </is>
      </c>
      <c r="I3600">
        <v>0</v>
      </c>
    </row>
    <row r="3601">
      <c r="A3601" t="inlineStr">
        <is>
          <t>Chromium III</t>
        </is>
      </c>
      <c r="B3601">
        <v>4.300658476826838e-11</v>
      </c>
      <c r="D3601" t="inlineStr">
        <is>
          <t>kilogram</t>
        </is>
      </c>
      <c r="E3601" t="inlineStr">
        <is>
          <t>air::urban air close to ground</t>
        </is>
      </c>
      <c r="F3601" t="inlineStr">
        <is>
          <t>biosphere</t>
        </is>
      </c>
      <c r="I3601">
        <v>0</v>
      </c>
    </row>
    <row r="3602">
      <c r="A3602" t="inlineStr">
        <is>
          <t>Propane</t>
        </is>
      </c>
      <c r="B3602">
        <v>2.5648669896607567e-10</v>
      </c>
      <c r="D3602" t="inlineStr">
        <is>
          <t>kilogram</t>
        </is>
      </c>
      <c r="E3602" t="inlineStr">
        <is>
          <t>air::urban air close to ground</t>
        </is>
      </c>
      <c r="F3602" t="inlineStr">
        <is>
          <t>biosphere</t>
        </is>
      </c>
      <c r="I3602">
        <v>0</v>
      </c>
    </row>
    <row r="3603">
      <c r="A3603" t="inlineStr">
        <is>
          <t>Toluene</t>
        </is>
      </c>
      <c r="B3603">
        <v>2.5648669432974354e-11</v>
      </c>
      <c r="D3603" t="inlineStr">
        <is>
          <t>kilogram</t>
        </is>
      </c>
      <c r="E3603" t="inlineStr">
        <is>
          <t>air::urban air close to ground</t>
        </is>
      </c>
      <c r="F3603" t="inlineStr">
        <is>
          <t>biosphere</t>
        </is>
      </c>
      <c r="I3603">
        <v>0</v>
      </c>
    </row>
    <row r="3604">
      <c r="A3604" t="inlineStr">
        <is>
          <t>Dinitrogen monoxide</t>
        </is>
      </c>
      <c r="B3604">
        <v>4.851770376583125e-06</v>
      </c>
      <c r="D3604" t="inlineStr">
        <is>
          <t>kilogram</t>
        </is>
      </c>
      <c r="E3604" t="inlineStr">
        <is>
          <t>air::urban air close to ground</t>
        </is>
      </c>
      <c r="F3604" t="inlineStr">
        <is>
          <t>biosphere</t>
        </is>
      </c>
      <c r="I3604">
        <v>0</v>
      </c>
    </row>
    <row r="3605">
      <c r="A3605" t="inlineStr">
        <is>
          <t>Zinc II</t>
        </is>
      </c>
      <c r="B3605">
        <v>9.100888235995045e-11</v>
      </c>
      <c r="D3605" t="inlineStr">
        <is>
          <t>kilogram</t>
        </is>
      </c>
      <c r="E3605" t="inlineStr">
        <is>
          <t>air::urban air close to ground</t>
        </is>
      </c>
      <c r="F3605" t="inlineStr">
        <is>
          <t>biosphere</t>
        </is>
      </c>
      <c r="I3605">
        <v>0</v>
      </c>
    </row>
    <row r="3606">
      <c r="A3606" t="inlineStr">
        <is>
          <t>Chromium VI</t>
        </is>
      </c>
      <c r="B3606">
        <v>3.0920405567789884e-13</v>
      </c>
      <c r="D3606" t="inlineStr">
        <is>
          <t>kilogram</t>
        </is>
      </c>
      <c r="E3606" t="inlineStr">
        <is>
          <t>air::non-urban air or from high stacks</t>
        </is>
      </c>
      <c r="F3606" t="inlineStr">
        <is>
          <t>biosphere</t>
        </is>
      </c>
      <c r="I3606">
        <v>0</v>
      </c>
    </row>
    <row r="3607">
      <c r="A3607" t="inlineStr">
        <is>
          <t>Benzene</t>
        </is>
      </c>
      <c r="B3607">
        <v>1.5816453300202538e-08</v>
      </c>
      <c r="D3607" t="inlineStr">
        <is>
          <t>kilogram</t>
        </is>
      </c>
      <c r="E3607" t="inlineStr">
        <is>
          <t>air::non-urban air or from high stacks</t>
        </is>
      </c>
      <c r="F3607" t="inlineStr">
        <is>
          <t>biosphere</t>
        </is>
      </c>
      <c r="I3607">
        <v>0</v>
      </c>
    </row>
    <row r="3608">
      <c r="A3608" t="inlineStr">
        <is>
          <t>Carbon monoxide, fossil</t>
        </is>
      </c>
      <c r="B3608">
        <v>9.571080014863452e-06</v>
      </c>
      <c r="D3608" t="inlineStr">
        <is>
          <t>kilogram</t>
        </is>
      </c>
      <c r="E3608" t="inlineStr">
        <is>
          <t>air::non-urban air or from high stacks</t>
        </is>
      </c>
      <c r="F3608" t="inlineStr">
        <is>
          <t>biosphere</t>
        </is>
      </c>
      <c r="I3608">
        <v>0</v>
      </c>
    </row>
    <row r="3609">
      <c r="A3609" t="inlineStr">
        <is>
          <t>Chromium VI</t>
        </is>
      </c>
      <c r="B3609">
        <v>8.579596070666692e-14</v>
      </c>
      <c r="D3609" t="inlineStr">
        <is>
          <t>kilogram</t>
        </is>
      </c>
      <c r="E3609" t="inlineStr">
        <is>
          <t>air::urban air close to ground</t>
        </is>
      </c>
      <c r="F3609" t="inlineStr">
        <is>
          <t>biosphere</t>
        </is>
      </c>
      <c r="I3609">
        <v>0</v>
      </c>
    </row>
    <row r="3610">
      <c r="A3610" t="inlineStr">
        <is>
          <t>Methane, fossil</t>
        </is>
      </c>
      <c r="B3610">
        <v>6.307045522480661e-09</v>
      </c>
      <c r="D3610" t="inlineStr">
        <is>
          <t>kilogram</t>
        </is>
      </c>
      <c r="E3610" t="inlineStr">
        <is>
          <t>air::urban air close to ground</t>
        </is>
      </c>
      <c r="F3610" t="inlineStr">
        <is>
          <t>biosphere</t>
        </is>
      </c>
      <c r="I3610">
        <v>0</v>
      </c>
    </row>
    <row r="3611">
      <c r="A3611" t="inlineStr">
        <is>
          <t>Sulfur dioxide</t>
        </is>
      </c>
      <c r="B3611">
        <v>4.6773095510999156e-07</v>
      </c>
      <c r="D3611" t="inlineStr">
        <is>
          <t>kilogram</t>
        </is>
      </c>
      <c r="E3611" t="inlineStr">
        <is>
          <t>air</t>
        </is>
      </c>
      <c r="F3611" t="inlineStr">
        <is>
          <t>biosphere</t>
        </is>
      </c>
      <c r="I3611">
        <v>0</v>
      </c>
    </row>
    <row r="3612">
      <c r="A3612" t="inlineStr">
        <is>
          <t>NMVOC, non-methane volatile organic compounds</t>
        </is>
      </c>
      <c r="B3612">
        <v>2.0852368049182237e-07</v>
      </c>
      <c r="D3612" t="inlineStr">
        <is>
          <t>kilogram</t>
        </is>
      </c>
      <c r="E3612" t="inlineStr">
        <is>
          <t>air::urban air close to ground</t>
        </is>
      </c>
      <c r="F3612" t="inlineStr">
        <is>
          <t>biosphere</t>
        </is>
      </c>
      <c r="I3612">
        <v>0</v>
      </c>
    </row>
    <row r="3613">
      <c r="A3613" t="inlineStr">
        <is>
          <t>Formaldehyde</t>
        </is>
      </c>
      <c r="B3613">
        <v>2.154488160043064e-08</v>
      </c>
      <c r="D3613" t="inlineStr">
        <is>
          <t>kilogram</t>
        </is>
      </c>
      <c r="E3613" t="inlineStr">
        <is>
          <t>air::urban air close to ground</t>
        </is>
      </c>
      <c r="F3613" t="inlineStr">
        <is>
          <t>biosphere</t>
        </is>
      </c>
      <c r="I3613">
        <v>0</v>
      </c>
    </row>
    <row r="3614">
      <c r="A3614" t="inlineStr">
        <is>
          <t>Nitrogen oxides</t>
        </is>
      </c>
      <c r="B3614">
        <v>4.281937009148978e-05</v>
      </c>
      <c r="D3614" t="inlineStr">
        <is>
          <t>kilogram</t>
        </is>
      </c>
      <c r="E3614" t="inlineStr">
        <is>
          <t>air::urban air close to ground</t>
        </is>
      </c>
      <c r="F3614" t="inlineStr">
        <is>
          <t>biosphere</t>
        </is>
      </c>
      <c r="I3614">
        <v>0</v>
      </c>
    </row>
    <row r="3615">
      <c r="A3615" t="inlineStr">
        <is>
          <t>Formaldehyde</t>
        </is>
      </c>
      <c r="B3615">
        <v>7.764660999840779e-08</v>
      </c>
      <c r="D3615" t="inlineStr">
        <is>
          <t>kilogram</t>
        </is>
      </c>
      <c r="E3615" t="inlineStr">
        <is>
          <t>air::non-urban air or from high stacks</t>
        </is>
      </c>
      <c r="F3615" t="inlineStr">
        <is>
          <t>biosphere</t>
        </is>
      </c>
      <c r="I3615">
        <v>0</v>
      </c>
    </row>
    <row r="3616">
      <c r="A3616" t="inlineStr">
        <is>
          <t>Zinc II</t>
        </is>
      </c>
      <c r="B3616">
        <v>3.279911253311527e-10</v>
      </c>
      <c r="D3616" t="inlineStr">
        <is>
          <t>kilogram</t>
        </is>
      </c>
      <c r="E3616" t="inlineStr">
        <is>
          <t>air::non-urban air or from high stacks</t>
        </is>
      </c>
      <c r="F3616" t="inlineStr">
        <is>
          <t>biosphere</t>
        </is>
      </c>
      <c r="I3616">
        <v>0</v>
      </c>
    </row>
    <row r="3617">
      <c r="A3617" t="inlineStr">
        <is>
          <t>Carbon monoxide, fossil</t>
        </is>
      </c>
      <c r="B3617">
        <v>2.6557219462377033e-06</v>
      </c>
      <c r="D3617" t="inlineStr">
        <is>
          <t>kilogram</t>
        </is>
      </c>
      <c r="E3617" t="inlineStr">
        <is>
          <t>air::urban air close to ground</t>
        </is>
      </c>
      <c r="F3617" t="inlineStr">
        <is>
          <t>biosphere</t>
        </is>
      </c>
      <c r="I3617">
        <v>0</v>
      </c>
    </row>
    <row r="3618">
      <c r="A3618" t="inlineStr">
        <is>
          <t>m-Xylene</t>
        </is>
      </c>
      <c r="B3618">
        <v>2.5135697574304484e-09</v>
      </c>
      <c r="D3618" t="inlineStr">
        <is>
          <t>kilogram</t>
        </is>
      </c>
      <c r="E3618" t="inlineStr">
        <is>
          <t>air::urban air close to ground</t>
        </is>
      </c>
      <c r="F3618" t="inlineStr">
        <is>
          <t>biosphere</t>
        </is>
      </c>
      <c r="I3618">
        <v>0</v>
      </c>
    </row>
    <row r="3619">
      <c r="A3619" t="inlineStr">
        <is>
          <t>PAH, polycyclic aromatic hydrocarbons</t>
        </is>
      </c>
      <c r="B3619">
        <v>1.4246870148684847e-09</v>
      </c>
      <c r="D3619" t="inlineStr">
        <is>
          <t>kilogram</t>
        </is>
      </c>
      <c r="E3619" t="inlineStr">
        <is>
          <t>air::non-urban air or from high stacks</t>
        </is>
      </c>
      <c r="F3619" t="inlineStr">
        <is>
          <t>biosphere</t>
        </is>
      </c>
      <c r="I3619">
        <v>0</v>
      </c>
    </row>
    <row r="3620">
      <c r="A3620" t="inlineStr">
        <is>
          <t>Particulate Matter, &lt; 2.5 um</t>
        </is>
      </c>
      <c r="B3620">
        <v>4.713874505095078e-07</v>
      </c>
      <c r="D3620" t="inlineStr">
        <is>
          <t>kilogram</t>
        </is>
      </c>
      <c r="E3620" t="inlineStr">
        <is>
          <t>air::non-urban air or from high stacks</t>
        </is>
      </c>
      <c r="F3620" t="inlineStr">
        <is>
          <t>biosphere</t>
        </is>
      </c>
      <c r="I3620">
        <v>0</v>
      </c>
    </row>
    <row r="3621">
      <c r="A3621" t="inlineStr">
        <is>
          <t>Pentane</t>
        </is>
      </c>
      <c r="B3621">
        <v>5.546186025759134e-10</v>
      </c>
      <c r="D3621" t="inlineStr">
        <is>
          <t>kilogram</t>
        </is>
      </c>
      <c r="E3621" t="inlineStr">
        <is>
          <t>air::non-urban air or from high stacks</t>
        </is>
      </c>
      <c r="F3621" t="inlineStr">
        <is>
          <t>biosphere</t>
        </is>
      </c>
      <c r="I3621">
        <v>0</v>
      </c>
    </row>
    <row r="3622">
      <c r="A3622" t="inlineStr">
        <is>
          <t>1,1,1,2-Tetrafluoroethane</t>
        </is>
      </c>
      <c r="B3622">
        <v>1.1545513170329437e-06</v>
      </c>
      <c r="D3622" t="inlineStr">
        <is>
          <t>kilogram</t>
        </is>
      </c>
      <c r="E3622" t="inlineStr">
        <is>
          <t>air</t>
        </is>
      </c>
      <c r="F3622" t="inlineStr">
        <is>
          <t>biosphere</t>
        </is>
      </c>
      <c r="I3622">
        <v>0</v>
      </c>
    </row>
    <row r="3623">
      <c r="A3623" t="inlineStr">
        <is>
          <t>Acetaldehyde</t>
        </is>
      </c>
      <c r="B3623">
        <v>1.1721441766279489e-08</v>
      </c>
      <c r="D3623" t="inlineStr">
        <is>
          <t>kilogram</t>
        </is>
      </c>
      <c r="E3623" t="inlineStr">
        <is>
          <t>air::urban air close to ground</t>
        </is>
      </c>
      <c r="F3623" t="inlineStr">
        <is>
          <t>biosphere</t>
        </is>
      </c>
      <c r="I3623">
        <v>0</v>
      </c>
    </row>
    <row r="3624">
      <c r="A3624" t="inlineStr">
        <is>
          <t>Benzene</t>
        </is>
      </c>
      <c r="B3624">
        <v>4.388647882951463e-09</v>
      </c>
      <c r="D3624" t="inlineStr">
        <is>
          <t>kilogram</t>
        </is>
      </c>
      <c r="E3624" t="inlineStr">
        <is>
          <t>air::urban air close to ground</t>
        </is>
      </c>
      <c r="F3624" t="inlineStr">
        <is>
          <t>biosphere</t>
        </is>
      </c>
      <c r="I3624">
        <v>0</v>
      </c>
    </row>
    <row r="3625">
      <c r="A3625" t="inlineStr">
        <is>
          <t>Mercury II</t>
        </is>
      </c>
      <c r="B3625">
        <v>2.6716210415283214e-11</v>
      </c>
      <c r="D3625" t="inlineStr">
        <is>
          <t>kilogram</t>
        </is>
      </c>
      <c r="E3625" t="inlineStr">
        <is>
          <t>air::urban air close to ground</t>
        </is>
      </c>
      <c r="F3625" t="inlineStr">
        <is>
          <t>biosphere</t>
        </is>
      </c>
      <c r="I3625">
        <v>0</v>
      </c>
    </row>
    <row r="3626">
      <c r="A3626" t="inlineStr">
        <is>
          <t>Cadmium II</t>
        </is>
      </c>
      <c r="B3626">
        <v>2.519577591708872e-13</v>
      </c>
      <c r="D3626" t="inlineStr">
        <is>
          <t>kilogram</t>
        </is>
      </c>
      <c r="E3626" t="inlineStr">
        <is>
          <t>air::urban air close to ground</t>
        </is>
      </c>
      <c r="F3626" t="inlineStr">
        <is>
          <t>biosphere</t>
        </is>
      </c>
      <c r="I3626">
        <v>0</v>
      </c>
    </row>
    <row r="3627">
      <c r="A3627" t="inlineStr">
        <is>
          <t>Propane</t>
        </is>
      </c>
      <c r="B3627">
        <v>9.243643128994173e-10</v>
      </c>
      <c r="D3627" t="inlineStr">
        <is>
          <t>kilogram</t>
        </is>
      </c>
      <c r="E3627" t="inlineStr">
        <is>
          <t>air::non-urban air or from high stacks</t>
        </is>
      </c>
      <c r="F3627" t="inlineStr">
        <is>
          <t>biosphere</t>
        </is>
      </c>
      <c r="I3627">
        <v>0</v>
      </c>
    </row>
    <row r="3628">
      <c r="A3628" t="inlineStr">
        <is>
          <t>Chromium III</t>
        </is>
      </c>
      <c r="B3628">
        <v>1.549934283048337e-10</v>
      </c>
      <c r="D3628" t="inlineStr">
        <is>
          <t>kilogram</t>
        </is>
      </c>
      <c r="E3628" t="inlineStr">
        <is>
          <t>air::non-urban air or from high stacks</t>
        </is>
      </c>
      <c r="F3628" t="inlineStr">
        <is>
          <t>biosphere</t>
        </is>
      </c>
      <c r="I3628">
        <v>0</v>
      </c>
    </row>
    <row r="3629">
      <c r="A3629" t="inlineStr">
        <is>
          <t>Acrolein</t>
        </is>
      </c>
      <c r="B3629">
        <v>4.539814566135943e-09</v>
      </c>
      <c r="D3629" t="inlineStr">
        <is>
          <t>kilogram</t>
        </is>
      </c>
      <c r="E3629" t="inlineStr">
        <is>
          <t>air::urban air close to ground</t>
        </is>
      </c>
      <c r="F3629" t="inlineStr">
        <is>
          <t>biosphere</t>
        </is>
      </c>
      <c r="I3629">
        <v>0</v>
      </c>
    </row>
    <row r="3630">
      <c r="A3630" t="inlineStr">
        <is>
          <t>Benzaldehyde</t>
        </is>
      </c>
      <c r="B3630">
        <v>3.513867696090325e-09</v>
      </c>
      <c r="D3630" t="inlineStr">
        <is>
          <t>kilogram</t>
        </is>
      </c>
      <c r="E3630" t="inlineStr">
        <is>
          <t>air::urban air close to ground</t>
        </is>
      </c>
      <c r="F3630" t="inlineStr">
        <is>
          <t>biosphere</t>
        </is>
      </c>
      <c r="I3630">
        <v>0</v>
      </c>
    </row>
    <row r="3631">
      <c r="A3631" t="inlineStr">
        <is>
          <t>Heptane</t>
        </is>
      </c>
      <c r="B3631">
        <v>7.694600783528985e-10</v>
      </c>
      <c r="D3631" t="inlineStr">
        <is>
          <t>kilogram</t>
        </is>
      </c>
      <c r="E3631" t="inlineStr">
        <is>
          <t>air::urban air close to ground</t>
        </is>
      </c>
      <c r="F3631" t="inlineStr">
        <is>
          <t>biosphere</t>
        </is>
      </c>
      <c r="I3631">
        <v>0</v>
      </c>
    </row>
    <row r="3632">
      <c r="A3632" t="inlineStr">
        <is>
          <t>o-Xylene</t>
        </is>
      </c>
      <c r="B3632">
        <v>1.0259467958643027e-09</v>
      </c>
      <c r="D3632" t="inlineStr">
        <is>
          <t>kilogram</t>
        </is>
      </c>
      <c r="E3632" t="inlineStr">
        <is>
          <t>air::urban air close to ground</t>
        </is>
      </c>
      <c r="F3632" t="inlineStr">
        <is>
          <t>biosphere</t>
        </is>
      </c>
      <c r="I3632">
        <v>0</v>
      </c>
    </row>
    <row r="3633">
      <c r="A3633" t="inlineStr">
        <is>
          <t>Selenium IV</t>
        </is>
      </c>
      <c r="B3633">
        <v>5.060875675214197e-13</v>
      </c>
      <c r="D3633" t="inlineStr">
        <is>
          <t>kilogram</t>
        </is>
      </c>
      <c r="E3633" t="inlineStr">
        <is>
          <t>air::urban air close to ground</t>
        </is>
      </c>
      <c r="F3633" t="inlineStr">
        <is>
          <t>biosphere</t>
        </is>
      </c>
      <c r="I3633">
        <v>0</v>
      </c>
    </row>
    <row r="3634">
      <c r="A3634" t="inlineStr">
        <is>
          <t>Styrene</t>
        </is>
      </c>
      <c r="B3634">
        <v>1.4363254697012354e-09</v>
      </c>
      <c r="D3634" t="inlineStr">
        <is>
          <t>kilogram</t>
        </is>
      </c>
      <c r="E3634" t="inlineStr">
        <is>
          <t>air::urban air close to ground</t>
        </is>
      </c>
      <c r="F3634" t="inlineStr">
        <is>
          <t>biosphere</t>
        </is>
      </c>
      <c r="I3634">
        <v>0</v>
      </c>
    </row>
    <row r="3635">
      <c r="A3635" t="inlineStr">
        <is>
          <t>Acetaldehyde</t>
        </is>
      </c>
      <c r="B3635">
        <v>4.224345053862089e-08</v>
      </c>
      <c r="D3635" t="inlineStr">
        <is>
          <t>kilogram</t>
        </is>
      </c>
      <c r="E3635" t="inlineStr">
        <is>
          <t>air::non-urban air or from high stacks</t>
        </is>
      </c>
      <c r="F3635" t="inlineStr">
        <is>
          <t>biosphere</t>
        </is>
      </c>
      <c r="I3635">
        <v>0</v>
      </c>
    </row>
    <row r="3636">
      <c r="A3636" t="inlineStr">
        <is>
          <t>Acrolein</t>
        </is>
      </c>
      <c r="B3636">
        <v>1.6361249183986677e-08</v>
      </c>
      <c r="D3636" t="inlineStr">
        <is>
          <t>kilogram</t>
        </is>
      </c>
      <c r="E3636" t="inlineStr">
        <is>
          <t>air::non-urban air or from high stacks</t>
        </is>
      </c>
      <c r="F3636" t="inlineStr">
        <is>
          <t>biosphere</t>
        </is>
      </c>
      <c r="I3636">
        <v>0</v>
      </c>
    </row>
    <row r="3637">
      <c r="A3637" t="inlineStr">
        <is>
          <t>Benzaldehyde</t>
        </is>
      </c>
      <c r="B3637">
        <v>1.266379133893849e-08</v>
      </c>
      <c r="D3637" t="inlineStr">
        <is>
          <t>kilogram</t>
        </is>
      </c>
      <c r="E3637" t="inlineStr">
        <is>
          <t>air::non-urban air or from high stacks</t>
        </is>
      </c>
      <c r="F3637" t="inlineStr">
        <is>
          <t>biosphere</t>
        </is>
      </c>
      <c r="I3637">
        <v>0</v>
      </c>
    </row>
    <row r="3638">
      <c r="A3638" t="inlineStr">
        <is>
          <t>Heptane</t>
        </is>
      </c>
      <c r="B3638">
        <v>2.7730930870608808e-09</v>
      </c>
      <c r="D3638" t="inlineStr">
        <is>
          <t>kilogram</t>
        </is>
      </c>
      <c r="E3638" t="inlineStr">
        <is>
          <t>air::non-urban air or from high stacks</t>
        </is>
      </c>
      <c r="F3638" t="inlineStr">
        <is>
          <t>biosphere</t>
        </is>
      </c>
      <c r="I3638">
        <v>0</v>
      </c>
    </row>
    <row r="3639">
      <c r="A3639" t="inlineStr">
        <is>
          <t>m-Xylene</t>
        </is>
      </c>
      <c r="B3639">
        <v>9.058770533467024e-09</v>
      </c>
      <c r="D3639" t="inlineStr">
        <is>
          <t>kilogram</t>
        </is>
      </c>
      <c r="E3639" t="inlineStr">
        <is>
          <t>air::non-urban air or from high stacks</t>
        </is>
      </c>
      <c r="F3639" t="inlineStr">
        <is>
          <t>biosphere</t>
        </is>
      </c>
      <c r="I3639">
        <v>0</v>
      </c>
    </row>
    <row r="3640">
      <c r="A3640" t="inlineStr">
        <is>
          <t>o-Xylene</t>
        </is>
      </c>
      <c r="B3640">
        <v>3.6974572515976697e-09</v>
      </c>
      <c r="D3640" t="inlineStr">
        <is>
          <t>kilogram</t>
        </is>
      </c>
      <c r="E3640" t="inlineStr">
        <is>
          <t>air::non-urban air or from high stacks</t>
        </is>
      </c>
      <c r="F3640" t="inlineStr">
        <is>
          <t>biosphere</t>
        </is>
      </c>
      <c r="I3640">
        <v>0</v>
      </c>
    </row>
    <row r="3641">
      <c r="A3641" t="inlineStr">
        <is>
          <t>Styrene</t>
        </is>
      </c>
      <c r="B3641">
        <v>5.176440389616945e-09</v>
      </c>
      <c r="D3641" t="inlineStr">
        <is>
          <t>kilogram</t>
        </is>
      </c>
      <c r="E3641" t="inlineStr">
        <is>
          <t>air::non-urban air or from high stacks</t>
        </is>
      </c>
      <c r="F3641" t="inlineStr">
        <is>
          <t>biosphere</t>
        </is>
      </c>
      <c r="I3641">
        <v>0</v>
      </c>
    </row>
    <row r="3642">
      <c r="A3642" t="inlineStr">
        <is>
          <t>exhaust system, for lorry, carculator regional truck 2020</t>
        </is>
      </c>
      <c r="B3642">
        <v>5.404282995252799e-05</v>
      </c>
      <c r="C3642" t="inlineStr">
        <is>
          <t>RER</t>
        </is>
      </c>
      <c r="D3642" t="inlineStr">
        <is>
          <t>kilogram</t>
        </is>
      </c>
      <c r="F3642" t="inlineStr">
        <is>
          <t>technosphere</t>
        </is>
      </c>
      <c r="G3642" t="inlineStr">
        <is>
          <t>exhaust system, for lorry</t>
        </is>
      </c>
      <c r="H3642" t="inlineStr">
        <is>
          <t> Energy-use allocation: 44 * 4.901960892311763e-06 / 3.9910248862093187 MJ per ton kilometer.</t>
        </is>
      </c>
      <c r="I3642">
        <v>0</v>
      </c>
    </row>
    <row r="3643">
      <c r="A3643" t="inlineStr">
        <is>
          <t>fuel tank, for diesel vehicle, carculator regional truck 2020</t>
        </is>
      </c>
      <c r="B3643">
        <v>3.725734138008649e-05</v>
      </c>
      <c r="C3643" t="inlineStr">
        <is>
          <t>RER</t>
        </is>
      </c>
      <c r="D3643" t="inlineStr">
        <is>
          <t>kilogram</t>
        </is>
      </c>
      <c r="F3643" t="inlineStr">
        <is>
          <t>technosphere</t>
        </is>
      </c>
      <c r="G3643" t="inlineStr">
        <is>
          <t>fuel tank</t>
        </is>
      </c>
      <c r="H3643" t="inlineStr">
        <is>
          <t> Energy-use allocation: 30.33377456665039 * 4.901960892311763e-06 / 3.9910248862093187 MJ per ton kilometer.</t>
        </is>
      </c>
      <c r="I3643">
        <v>0</v>
      </c>
    </row>
    <row r="3644">
      <c r="A3644" t="inlineStr">
        <is>
          <t>gearbox, for lorry, carculator regional truck 2020</t>
        </is>
      </c>
      <c r="B3644">
        <v>3.652312715379284e-05</v>
      </c>
      <c r="C3644" t="inlineStr">
        <is>
          <t>RER</t>
        </is>
      </c>
      <c r="D3644" t="inlineStr">
        <is>
          <t>kilogram</t>
        </is>
      </c>
      <c r="F3644" t="inlineStr">
        <is>
          <t>technosphere</t>
        </is>
      </c>
      <c r="G3644" t="inlineStr">
        <is>
          <t>gearbox, for lorry</t>
        </is>
      </c>
      <c r="H3644" t="inlineStr">
        <is>
          <t> Energy-use allocation: 29.73600006103516 * 4.901960892311763e-06 / 3.9910248862093187 MJ per ton kilometer.</t>
        </is>
      </c>
      <c r="I3644">
        <v>0</v>
      </c>
    </row>
    <row r="3645">
      <c r="A3645" t="inlineStr">
        <is>
          <t>internal combustion engine, for lorry, carculator regional truck 2020</t>
        </is>
      </c>
      <c r="B3645">
        <v>0.0005455988679116848</v>
      </c>
      <c r="C3645" t="inlineStr">
        <is>
          <t>RER</t>
        </is>
      </c>
      <c r="D3645" t="inlineStr">
        <is>
          <t>kilogram</t>
        </is>
      </c>
      <c r="F3645" t="inlineStr">
        <is>
          <t>technosphere</t>
        </is>
      </c>
      <c r="G3645" t="inlineStr">
        <is>
          <t>internal combustion engine, for lorry</t>
        </is>
      </c>
      <c r="H3645" t="inlineStr">
        <is>
          <t> Energy-use allocation: 444.209716796875 * 4.901960892311763e-06 / 3.9910248862093187 MJ per ton kilometer.</t>
        </is>
      </c>
      <c r="I3645">
        <v>0</v>
      </c>
    </row>
    <row r="3646">
      <c r="A3646" t="inlineStr">
        <is>
          <t>lead acid battery, for lorry, carculator regional truck 2020</t>
        </is>
      </c>
      <c r="B3646">
        <v>4.7178526900509966e-05</v>
      </c>
      <c r="C3646" t="inlineStr">
        <is>
          <t>RER</t>
        </is>
      </c>
      <c r="D3646" t="inlineStr">
        <is>
          <t>kilogram</t>
        </is>
      </c>
      <c r="F3646" t="inlineStr">
        <is>
          <t>technosphere</t>
        </is>
      </c>
      <c r="G3646" t="inlineStr">
        <is>
          <t>lead acid battery, for lorry</t>
        </is>
      </c>
      <c r="H3646" t="inlineStr">
        <is>
          <t> Energy-use allocation: 38.41129684448242 * 4.901960892311763e-06 / 3.9910248862093187 MJ per ton kilometer.</t>
        </is>
      </c>
      <c r="I3646">
        <v>0</v>
      </c>
    </row>
    <row r="3647">
      <c r="A3647" t="inlineStr">
        <is>
          <t>power electronics, for lorry, carculator regional truck 2020</t>
        </is>
      </c>
      <c r="B3647">
        <v>2.9477907246833448e-05</v>
      </c>
      <c r="C3647" t="inlineStr">
        <is>
          <t>RER</t>
        </is>
      </c>
      <c r="D3647" t="inlineStr">
        <is>
          <t>kilogram</t>
        </is>
      </c>
      <c r="F3647" t="inlineStr">
        <is>
          <t>technosphere</t>
        </is>
      </c>
      <c r="G3647" t="inlineStr">
        <is>
          <t>power electronics, for lorry</t>
        </is>
      </c>
      <c r="H3647" t="inlineStr">
        <is>
          <t> Energy-use allocation: 24 * 4.901960892311763e-06 / 3.9910248862093187 MJ per ton kilometer.</t>
        </is>
      </c>
      <c r="I3647">
        <v>0</v>
      </c>
    </row>
    <row r="3648">
      <c r="A3648" t="inlineStr">
        <is>
          <t>retarder, for lorry, carculator regional truck 2020</t>
        </is>
      </c>
      <c r="B3648">
        <v>1.2174375327482016e-05</v>
      </c>
      <c r="C3648" t="inlineStr">
        <is>
          <t>RER</t>
        </is>
      </c>
      <c r="D3648" t="inlineStr">
        <is>
          <t>kilogram</t>
        </is>
      </c>
      <c r="F3648" t="inlineStr">
        <is>
          <t>technosphere</t>
        </is>
      </c>
      <c r="G3648" t="inlineStr">
        <is>
          <t>retarder, for lorry</t>
        </is>
      </c>
      <c r="H3648" t="inlineStr">
        <is>
          <t> Energy-use allocation: 9.911999702453613 * 4.901960892311763e-06 / 3.9910248862093187 MJ per ton kilometer.</t>
        </is>
      </c>
      <c r="I3648">
        <v>0</v>
      </c>
    </row>
    <row r="3649">
      <c r="A3649" t="inlineStr">
        <is>
          <t>transmission, for lorry, carculator regional truck 2020</t>
        </is>
      </c>
      <c r="B3649">
        <v>5.275562290504836e-05</v>
      </c>
      <c r="C3649" t="inlineStr">
        <is>
          <t>RER</t>
        </is>
      </c>
      <c r="D3649" t="inlineStr">
        <is>
          <t>kilogram</t>
        </is>
      </c>
      <c r="F3649" t="inlineStr">
        <is>
          <t>technosphere</t>
        </is>
      </c>
      <c r="G3649" t="inlineStr">
        <is>
          <t>transmission, for lorry</t>
        </is>
      </c>
      <c r="H3649" t="inlineStr">
        <is>
          <t> Energy-use allocation: 42.95199584960938 * 4.901960892311763e-06 / 3.9910248862093187 MJ per ton kilometer.</t>
        </is>
      </c>
      <c r="I3649">
        <v>0</v>
      </c>
    </row>
    <row r="3650">
      <c r="A3650" t="inlineStr">
        <is>
          <t>Carbon dioxide, fossil</t>
        </is>
      </c>
      <c r="B3650">
        <v>0.07319999999999999</v>
      </c>
      <c r="D3650" t="inlineStr">
        <is>
          <t>kilogram</t>
        </is>
      </c>
      <c r="E3650" t="inlineStr">
        <is>
          <t>air</t>
        </is>
      </c>
      <c r="F3650" t="inlineStr">
        <is>
          <t>biosphere</t>
        </is>
      </c>
      <c r="H3650" t="inlineStr">
        <is>
          <t>Reference-fuel full-oxidation CO2; Premise reclassifies fossil/biogenic carbon with regional blends. Pollutants are separate model estimates, not an elemental closure.</t>
        </is>
      </c>
      <c r="I3650">
        <v>0</v>
      </c>
    </row>
    <row r="3651"/>
    <row r="3652">
      <c r="A3652" t="inlineStr">
        <is>
          <t>Activity</t>
        </is>
      </c>
      <c r="B3652" t="inlineStr">
        <is>
          <t>diesel, burned in dedicated coach</t>
        </is>
      </c>
    </row>
    <row r="3653">
      <c r="A3653" t="inlineStr">
        <is>
          <t>comment</t>
        </is>
      </c>
      <c r="B3653" t="inlineStr">
        <is>
          <t>Produces consumption of 1 MJ of purchased energy. Representative powertrain carrier: diesel. energy-specific equipment; excludes chassis, body, roads and whole-vehicle maintenance. Source transport, passenger bus, diesel, 13m single deck coach bus, EURO-VI [RER]; 0.436857321676756 purchased MJ per person kilometer. All retained exchanges divided by this energy; lifetime, occupancy/payload and replacement allocation are carried by source production links. Baseline source specifications: Combustion engine power: 290 [kW]. Power share from combustion engine: 100 [%]. Km over lifetime: 700000 [km]. Yearly mileage: 50000 [km/year]. Daily distance driven: 511 [km]. Daily operating time: 9 [hours]. Tank-to-wheel efficiency: 24 [%]. Tank-to-wheel energy consumption: 9174 [kj/km]. Fuel tank capacity: 1302 [kWh]. Maximum passenger capacity: 55 [unit]. Number of passengers onboard: 21 [unit]. Curb mass (excl. driver and cargo): 13224 [kg]. Driving mass (incl. driver and cargo): 15156 [kg].</t>
        </is>
      </c>
    </row>
    <row r="3654">
      <c r="A3654" t="inlineStr">
        <is>
          <t>description</t>
        </is>
      </c>
      <c r="B365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655">
      <c r="A3655" t="inlineStr">
        <is>
          <t>location</t>
        </is>
      </c>
      <c r="B3655" t="inlineStr">
        <is>
          <t>CH</t>
        </is>
      </c>
    </row>
    <row r="3656">
      <c r="A3656" t="inlineStr">
        <is>
          <t>production amount</t>
        </is>
      </c>
      <c r="B3656">
        <v>1</v>
      </c>
    </row>
    <row r="3657">
      <c r="A3657" t="inlineStr">
        <is>
          <t>reference product</t>
        </is>
      </c>
      <c r="B3657" t="inlineStr">
        <is>
          <t>heat</t>
        </is>
      </c>
    </row>
    <row r="3658">
      <c r="A3658" t="inlineStr">
        <is>
          <t>type</t>
        </is>
      </c>
      <c r="B3658" t="inlineStr">
        <is>
          <t>process</t>
        </is>
      </c>
    </row>
    <row r="3659">
      <c r="A3659" t="inlineStr">
        <is>
          <t>unit</t>
        </is>
      </c>
      <c r="B3659" t="inlineStr">
        <is>
          <t>megajoule</t>
        </is>
      </c>
    </row>
    <row r="3660">
      <c r="A3660" t="inlineStr">
        <is>
          <t>energy use source</t>
        </is>
      </c>
      <c r="B3660" t="inlineStr">
        <is>
          <t>{"source": ["transport, passenger bus, diesel, 13m single deck coach bus, EURO-VI", "transport, passenger bus, EURO-VI", "RER", "person kilometer"], "source unit": "person kilometer", "purchased MJ per source service": 0.436857321676756, "boundary": "energy-specific equipment; excludes chassis, body, roads and whole-vehicle maintenance", "retained equipment": [{"supplier": ["exhaust system, for lorry", "exhaust system, for lorry", "RER", "kilogram"], "amount per vehicle": 118, "vehicle per source service": 6.802721088435375e-08, "replacement correction factor": 1.0, "amount per MJ": 1.837490293980541e-05}, {"supplier": ["fuel tank, for diesel vehicle", "fuel tank", "RER", "kilogram"], "amount per vehicle": 53.66257687167794, "vehicle per source service": 6.802721088435375e-08, "replacement correction factor": 1.0, "amount per MJ": 8.356310521329906e-06}, {"supplier": ["gearbox, for lorry", "gearbox, for lorry", "RER", "kilogram"], "amount per vehicle": 157.6079986953735, "vehicle per source service": 6.802721088435375e-08, "replacement correction factor": 1.0, "amount per MJ": 2.454264134376666e-05}, {"supplier": ["internal combustion engine, for lorry", "internal combustion engine, for lorry", "RER", "kilogram"], "amount per vehicle": 884.9968509651834, "vehicle per source service": 6.802721088435375e-08, "replacement correction factor": 1.0, "amount per MJ": 0.0001378112816823617}, {"supplier": ["power electronics, for lorry", "power electronics, for lorry", "RER", "kilogram"], "amount per vehicle": 220, "vehicle per source service": 6.802721088435375e-08, "replacement correction factor": 1.0, "amount per MJ": 3.425829361658636e-05}, {"supplier": ["retarder, for lorry", "retarder, for lorry", "RER", "kilogram"], "amount per vehicle": 52.53599956512451, "vehicle per source service": 6.802721088435375e-08, "replacement correction factor": 1.0, "amount per MJ": 8.180880447922222e-06}, {"supplier": ["transmission, for lorry", "transmission, for lorry", "RER", "kilogram"], "amount per vehicle": 227.6559981155395, "vehicle per source service": 6.802721088435375e-08, "replacement correction factor": 1.0, "amount per MJ": 3.545048194099629e-05}], "excluded": [{"supplier": ["Glider lightweighting", "Glider lightweighting", "GLO", "kilogram"], "amount per vehicle": 75.83729893520649, "vehicle per source service": 6.802721088435375e-08}, {"supplier": ["assembly operation, for lorry", "assembly operation, for lorry", "RER", "kilogram"], "amount per vehicle": 13224, "vehicle per source service": 6.802721088435375e-08}, {"supplier": ["frame, blanks and saddle, for lorry", "frame, blanks and saddle, for lorry", "RER", "kilogram"], "amount per vehicle": 7546, "vehicle per source service": 6.802721088435375e-08}, {"supplier": ["maintenance, bus", "maintenance, bus", "CH", "unit"], "amount per vehicle": 1, "vehicle per source service": 6.802721088435375e-08}, {"supplier": ["other components, for hybrid electric lorry", "other components, for hybrid electric lorry", "RER", "kilogram"], "amount per vehicle": 1033, "vehicle per source service": 6.802721088435375e-08}, {"supplier": ["suspension, for lorry", "suspension, for lorry", "RER", "kilogram"], "amount per vehicle": 2123, "vehicle per source service": 6.802721088435375e-08}, {"supplier": ["tires and wheels, for lorry", "tires and wheels, for lorry", "RER", "kilogram"], "amount per vehicle": 694, "vehicle per source service": 6.802721088435375e-08}, {"supplier": ["treatment of used bus", "used bus", "CH", "unit"], "amount per vehicle": -1, "vehicle per source service": 6.802721088435375e-08}, {"supplier": "market for road", "amount per source service": 0.0003875741345636445}, {"supplier": "market for road maintenance", "amount per source service": 6.142857142857142e-05}], "alternative fuel recipe retained": false}</t>
        </is>
      </c>
    </row>
    <row r="3661">
      <c r="A3661" t="inlineStr">
        <is>
          <t>Exchanges</t>
        </is>
      </c>
    </row>
    <row r="3662">
      <c r="A3662" t="inlineStr">
        <is>
          <t>name</t>
        </is>
      </c>
      <c r="B3662" t="inlineStr">
        <is>
          <t>amount</t>
        </is>
      </c>
      <c r="C3662" t="inlineStr">
        <is>
          <t>location</t>
        </is>
      </c>
      <c r="D3662" t="inlineStr">
        <is>
          <t>unit</t>
        </is>
      </c>
      <c r="E3662" t="inlineStr">
        <is>
          <t>categories</t>
        </is>
      </c>
      <c r="F3662" t="inlineStr">
        <is>
          <t>type</t>
        </is>
      </c>
      <c r="G3662" t="inlineStr">
        <is>
          <t>reference product</t>
        </is>
      </c>
      <c r="H3662" t="inlineStr">
        <is>
          <t>comment</t>
        </is>
      </c>
      <c r="I3662" t="inlineStr">
        <is>
          <t>uncertainty type</t>
        </is>
      </c>
    </row>
    <row r="3663">
      <c r="A3663" t="inlineStr">
        <is>
          <t>diesel, burned in dedicated coach</t>
        </is>
      </c>
      <c r="B3663">
        <v>1.0</v>
      </c>
      <c r="C3663" t="inlineStr">
        <is>
          <t>CH</t>
        </is>
      </c>
      <c r="D3663" t="inlineStr">
        <is>
          <t>megajoule</t>
        </is>
      </c>
      <c r="F3663" t="inlineStr">
        <is>
          <t>production</t>
        </is>
      </c>
      <c r="G3663" t="inlineStr">
        <is>
          <t>heat</t>
        </is>
      </c>
      <c r="I3663">
        <v>0</v>
      </c>
    </row>
    <row r="3664">
      <c r="A3664" t="inlineStr">
        <is>
          <t>market for diesel, low-sulfur</t>
        </is>
      </c>
      <c r="B3664">
        <v>0.023255813953488372</v>
      </c>
      <c r="C3664" t="inlineStr">
        <is>
          <t>Europe without Switzerland</t>
        </is>
      </c>
      <c r="D3664" t="inlineStr">
        <is>
          <t>kilogram</t>
        </is>
      </c>
      <c r="F3664" t="inlineStr">
        <is>
          <t>technosphere</t>
        </is>
      </c>
      <c r="G3664" t="inlineStr">
        <is>
          <t>diesel, low-sulfur</t>
        </is>
      </c>
      <c r="I3664">
        <v>0</v>
      </c>
    </row>
    <row r="3665">
      <c r="A3665" t="inlineStr">
        <is>
          <t>Acetaldehyde</t>
        </is>
      </c>
      <c r="B3665">
        <v>1.9339929126715395e-08</v>
      </c>
      <c r="D3665" t="inlineStr">
        <is>
          <t>kilogram</t>
        </is>
      </c>
      <c r="E3665" t="inlineStr">
        <is>
          <t>air::urban air close to ground</t>
        </is>
      </c>
      <c r="F3665" t="inlineStr">
        <is>
          <t>biosphere</t>
        </is>
      </c>
      <c r="I3665">
        <v>0</v>
      </c>
    </row>
    <row r="3666">
      <c r="A3666" t="inlineStr">
        <is>
          <t>Acetaldehyde</t>
        </is>
      </c>
      <c r="B3666">
        <v>8.973346449823602e-08</v>
      </c>
      <c r="D3666" t="inlineStr">
        <is>
          <t>kilogram</t>
        </is>
      </c>
      <c r="E3666" t="inlineStr">
        <is>
          <t>air::low population density, long-term</t>
        </is>
      </c>
      <c r="F3666" t="inlineStr">
        <is>
          <t>biosphere</t>
        </is>
      </c>
      <c r="I3666">
        <v>0</v>
      </c>
    </row>
    <row r="3667">
      <c r="A3667" t="inlineStr">
        <is>
          <t>Acrolein</t>
        </is>
      </c>
      <c r="B3667">
        <v>3.4754536578091404e-08</v>
      </c>
      <c r="D3667" t="inlineStr">
        <is>
          <t>kilogram</t>
        </is>
      </c>
      <c r="E3667" t="inlineStr">
        <is>
          <t>air::low population density, long-term</t>
        </is>
      </c>
      <c r="F3667" t="inlineStr">
        <is>
          <t>biosphere</t>
        </is>
      </c>
      <c r="I3667">
        <v>0</v>
      </c>
    </row>
    <row r="3668">
      <c r="A3668" t="inlineStr">
        <is>
          <t>Acrolein</t>
        </is>
      </c>
      <c r="B3668">
        <v>7.49051959612391e-09</v>
      </c>
      <c r="D3668" t="inlineStr">
        <is>
          <t>kilogram</t>
        </is>
      </c>
      <c r="E3668" t="inlineStr">
        <is>
          <t>air::urban air close to ground</t>
        </is>
      </c>
      <c r="F3668" t="inlineStr">
        <is>
          <t>biosphere</t>
        </is>
      </c>
      <c r="I3668">
        <v>0</v>
      </c>
    </row>
    <row r="3669">
      <c r="A3669" t="inlineStr">
        <is>
          <t>Ammonia</t>
        </is>
      </c>
      <c r="B3669">
        <v>8.688839309777278e-07</v>
      </c>
      <c r="D3669" t="inlineStr">
        <is>
          <t>kilogram</t>
        </is>
      </c>
      <c r="E3669" t="inlineStr">
        <is>
          <t>air::low population density, long-term</t>
        </is>
      </c>
      <c r="F3669" t="inlineStr">
        <is>
          <t>biosphere</t>
        </is>
      </c>
      <c r="I3669">
        <v>0</v>
      </c>
    </row>
    <row r="3670">
      <c r="A3670" t="inlineStr">
        <is>
          <t>Ammonia</t>
        </is>
      </c>
      <c r="B3670">
        <v>1.8726741175563845e-07</v>
      </c>
      <c r="D3670" t="inlineStr">
        <is>
          <t>kilogram</t>
        </is>
      </c>
      <c r="E3670" t="inlineStr">
        <is>
          <t>air::urban air close to ground</t>
        </is>
      </c>
      <c r="F3670" t="inlineStr">
        <is>
          <t>biosphere</t>
        </is>
      </c>
      <c r="I3670">
        <v>0</v>
      </c>
    </row>
    <row r="3671">
      <c r="A3671" t="inlineStr">
        <is>
          <t>Arsenic ion</t>
        </is>
      </c>
      <c r="B3671">
        <v>1.9168649451884822e-12</v>
      </c>
      <c r="D3671" t="inlineStr">
        <is>
          <t>kilogram</t>
        </is>
      </c>
      <c r="E3671" t="inlineStr">
        <is>
          <t>air::low population density, long-term</t>
        </is>
      </c>
      <c r="F3671" t="inlineStr">
        <is>
          <t>biosphere</t>
        </is>
      </c>
      <c r="I3671">
        <v>0</v>
      </c>
    </row>
    <row r="3672">
      <c r="A3672" t="inlineStr">
        <is>
          <t>Arsenic ion</t>
        </is>
      </c>
      <c r="B3672">
        <v>4.131349702446761e-13</v>
      </c>
      <c r="D3672" t="inlineStr">
        <is>
          <t>kilogram</t>
        </is>
      </c>
      <c r="E3672" t="inlineStr">
        <is>
          <t>air::urban air close to ground</t>
        </is>
      </c>
      <c r="F3672" t="inlineStr">
        <is>
          <t>biosphere</t>
        </is>
      </c>
      <c r="I3672">
        <v>0</v>
      </c>
    </row>
    <row r="3673">
      <c r="A3673" t="inlineStr">
        <is>
          <t>Benzaldehyde</t>
        </is>
      </c>
      <c r="B3673">
        <v>2.6900404018070765e-08</v>
      </c>
      <c r="D3673" t="inlineStr">
        <is>
          <t>kilogram</t>
        </is>
      </c>
      <c r="E3673" t="inlineStr">
        <is>
          <t>air::low population density, long-term</t>
        </is>
      </c>
      <c r="F3673" t="inlineStr">
        <is>
          <t>biosphere</t>
        </is>
      </c>
      <c r="I3673">
        <v>0</v>
      </c>
    </row>
    <row r="3674">
      <c r="A3674" t="inlineStr">
        <is>
          <t>Benzaldehyde</t>
        </is>
      </c>
      <c r="B3674">
        <v>5.797746806039409e-09</v>
      </c>
      <c r="D3674" t="inlineStr">
        <is>
          <t>kilogram</t>
        </is>
      </c>
      <c r="E3674" t="inlineStr">
        <is>
          <t>air::urban air close to ground</t>
        </is>
      </c>
      <c r="F3674" t="inlineStr">
        <is>
          <t>biosphere</t>
        </is>
      </c>
      <c r="I3674">
        <v>0</v>
      </c>
    </row>
    <row r="3675">
      <c r="A3675" t="inlineStr">
        <is>
          <t>Benzene</t>
        </is>
      </c>
      <c r="B3675">
        <v>2.3913329094317297e-08</v>
      </c>
      <c r="D3675" t="inlineStr">
        <is>
          <t>kilogram</t>
        </is>
      </c>
      <c r="E3675" t="inlineStr">
        <is>
          <t>air::low population density, long-term</t>
        </is>
      </c>
      <c r="F3675" t="inlineStr">
        <is>
          <t>biosphere</t>
        </is>
      </c>
      <c r="I3675">
        <v>0</v>
      </c>
    </row>
    <row r="3676">
      <c r="A3676" t="inlineStr">
        <is>
          <t>Benzene</t>
        </is>
      </c>
      <c r="B3676">
        <v>5.15395334899846e-09</v>
      </c>
      <c r="D3676" t="inlineStr">
        <is>
          <t>kilogram</t>
        </is>
      </c>
      <c r="E3676" t="inlineStr">
        <is>
          <t>air::urban air close to ground</t>
        </is>
      </c>
      <c r="F3676" t="inlineStr">
        <is>
          <t>biosphere</t>
        </is>
      </c>
      <c r="I3676">
        <v>0</v>
      </c>
    </row>
    <row r="3677">
      <c r="A3677" t="inlineStr">
        <is>
          <t>Butane</t>
        </is>
      </c>
      <c r="B3677">
        <v>6.347897962816872e-10</v>
      </c>
      <c r="D3677" t="inlineStr">
        <is>
          <t>kilogram</t>
        </is>
      </c>
      <c r="E3677" t="inlineStr">
        <is>
          <t>air::urban air close to ground</t>
        </is>
      </c>
      <c r="F3677" t="inlineStr">
        <is>
          <t>biosphere</t>
        </is>
      </c>
      <c r="I3677">
        <v>0</v>
      </c>
    </row>
    <row r="3678">
      <c r="A3678" t="inlineStr">
        <is>
          <t>Butane</t>
        </is>
      </c>
      <c r="B3678">
        <v>2.945299710007746e-09</v>
      </c>
      <c r="D3678" t="inlineStr">
        <is>
          <t>kilogram</t>
        </is>
      </c>
      <c r="E3678" t="inlineStr">
        <is>
          <t>air::low population density, long-term</t>
        </is>
      </c>
      <c r="F3678" t="inlineStr">
        <is>
          <t>biosphere</t>
        </is>
      </c>
      <c r="I3678">
        <v>0</v>
      </c>
    </row>
    <row r="3679">
      <c r="A3679" t="inlineStr">
        <is>
          <t>Cadmium II</t>
        </is>
      </c>
      <c r="B3679">
        <v>1.6618314117084698e-10</v>
      </c>
      <c r="D3679" t="inlineStr">
        <is>
          <t>kilogram</t>
        </is>
      </c>
      <c r="E3679" t="inlineStr">
        <is>
          <t>air::low population density, long-term</t>
        </is>
      </c>
      <c r="F3679" t="inlineStr">
        <is>
          <t>biosphere</t>
        </is>
      </c>
      <c r="I3679">
        <v>0</v>
      </c>
    </row>
    <row r="3680">
      <c r="A3680" t="inlineStr">
        <is>
          <t>Cadmium II</t>
        </is>
      </c>
      <c r="B3680">
        <v>3.5816851497607116e-11</v>
      </c>
      <c r="D3680" t="inlineStr">
        <is>
          <t>kilogram</t>
        </is>
      </c>
      <c r="E3680" t="inlineStr">
        <is>
          <t>air::urban air close to ground</t>
        </is>
      </c>
      <c r="F3680" t="inlineStr">
        <is>
          <t>biosphere</t>
        </is>
      </c>
      <c r="I3680">
        <v>0</v>
      </c>
    </row>
    <row r="3681">
      <c r="A3681" t="inlineStr">
        <is>
          <t>Carbon dioxide, fossil</t>
        </is>
      </c>
      <c r="B3681">
        <v>0.07325581395348836</v>
      </c>
      <c r="D3681" t="inlineStr">
        <is>
          <t>kilogram</t>
        </is>
      </c>
      <c r="E3681" t="inlineStr">
        <is>
          <t>air::unspecified</t>
        </is>
      </c>
      <c r="F3681" t="inlineStr">
        <is>
          <t>biosphere</t>
        </is>
      </c>
      <c r="I3681">
        <v>0</v>
      </c>
    </row>
    <row r="3682">
      <c r="A3682" t="inlineStr">
        <is>
          <t>Carbon monoxide, fossil</t>
        </is>
      </c>
      <c r="B3682">
        <v>1.7228677584562784e-05</v>
      </c>
      <c r="D3682" t="inlineStr">
        <is>
          <t>kilogram</t>
        </is>
      </c>
      <c r="E3682" t="inlineStr">
        <is>
          <t>air::low population density, long-term</t>
        </is>
      </c>
      <c r="F3682" t="inlineStr">
        <is>
          <t>biosphere</t>
        </is>
      </c>
      <c r="I3682">
        <v>0</v>
      </c>
    </row>
    <row r="3683">
      <c r="A3683" t="inlineStr">
        <is>
          <t>Carbon monoxide, fossil</t>
        </is>
      </c>
      <c r="B3683">
        <v>3.713234580829369e-06</v>
      </c>
      <c r="D3683" t="inlineStr">
        <is>
          <t>kilogram</t>
        </is>
      </c>
      <c r="E3683" t="inlineStr">
        <is>
          <t>air::urban air close to ground</t>
        </is>
      </c>
      <c r="F3683" t="inlineStr">
        <is>
          <t>biosphere</t>
        </is>
      </c>
      <c r="I3683">
        <v>0</v>
      </c>
    </row>
    <row r="3684">
      <c r="A3684" t="inlineStr">
        <is>
          <t>Chromium III</t>
        </is>
      </c>
      <c r="B3684">
        <v>5.742367947388672e-10</v>
      </c>
      <c r="D3684" t="inlineStr">
        <is>
          <t>kilogram</t>
        </is>
      </c>
      <c r="E3684" t="inlineStr">
        <is>
          <t>air::low population density, long-term</t>
        </is>
      </c>
      <c r="F3684" t="inlineStr">
        <is>
          <t>biosphere</t>
        </is>
      </c>
      <c r="I3684">
        <v>0</v>
      </c>
    </row>
    <row r="3685">
      <c r="A3685" t="inlineStr">
        <is>
          <t>Chromium III</t>
        </is>
      </c>
      <c r="B3685">
        <v>1.237631799273751e-10</v>
      </c>
      <c r="D3685" t="inlineStr">
        <is>
          <t>kilogram</t>
        </is>
      </c>
      <c r="E3685" t="inlineStr">
        <is>
          <t>air::urban air close to ground</t>
        </is>
      </c>
      <c r="F3685" t="inlineStr">
        <is>
          <t>biosphere</t>
        </is>
      </c>
      <c r="I3685">
        <v>0</v>
      </c>
    </row>
    <row r="3686">
      <c r="A3686" t="inlineStr">
        <is>
          <t>Chromium VI</t>
        </is>
      </c>
      <c r="B3686">
        <v>1.1517643447484444e-12</v>
      </c>
      <c r="D3686" t="inlineStr">
        <is>
          <t>kilogram</t>
        </is>
      </c>
      <c r="E3686" t="inlineStr">
        <is>
          <t>air::low population density, long-term</t>
        </is>
      </c>
      <c r="F3686" t="inlineStr">
        <is>
          <t>biosphere</t>
        </is>
      </c>
      <c r="I3686">
        <v>0</v>
      </c>
    </row>
    <row r="3687">
      <c r="A3687" t="inlineStr">
        <is>
          <t>Chromium VI</t>
        </is>
      </c>
      <c r="B3687">
        <v>2.482356044388613e-13</v>
      </c>
      <c r="D3687" t="inlineStr">
        <is>
          <t>kilogram</t>
        </is>
      </c>
      <c r="E3687" t="inlineStr">
        <is>
          <t>air::urban air close to ground</t>
        </is>
      </c>
      <c r="F3687" t="inlineStr">
        <is>
          <t>biosphere</t>
        </is>
      </c>
      <c r="I3687">
        <v>0</v>
      </c>
    </row>
    <row r="3688">
      <c r="A3688" t="inlineStr">
        <is>
          <t>Copper ion</t>
        </is>
      </c>
      <c r="B3688">
        <v>8.74143949916847e-11</v>
      </c>
      <c r="D3688" t="inlineStr">
        <is>
          <t>kilogram</t>
        </is>
      </c>
      <c r="E3688" t="inlineStr">
        <is>
          <t>air::urban air close to ground</t>
        </is>
      </c>
      <c r="F3688" t="inlineStr">
        <is>
          <t>biosphere</t>
        </is>
      </c>
      <c r="I3688">
        <v>0</v>
      </c>
    </row>
    <row r="3689">
      <c r="A3689" t="inlineStr">
        <is>
          <t>Copper ion</t>
        </is>
      </c>
      <c r="B3689">
        <v>4.0558558711498783e-10</v>
      </c>
      <c r="D3689" t="inlineStr">
        <is>
          <t>kilogram</t>
        </is>
      </c>
      <c r="E3689" t="inlineStr">
        <is>
          <t>air::low population density, long-term</t>
        </is>
      </c>
      <c r="F3689" t="inlineStr">
        <is>
          <t>biosphere</t>
        </is>
      </c>
      <c r="I3689">
        <v>0</v>
      </c>
    </row>
    <row r="3690">
      <c r="A3690" t="inlineStr">
        <is>
          <t>Dinitrogen monoxide</t>
        </is>
      </c>
      <c r="B3690">
        <v>1.963533140005165e-06</v>
      </c>
      <c r="D3690" t="inlineStr">
        <is>
          <t>kilogram</t>
        </is>
      </c>
      <c r="E3690" t="inlineStr">
        <is>
          <t>air::low population density, long-term</t>
        </is>
      </c>
      <c r="F3690" t="inlineStr">
        <is>
          <t>biosphere</t>
        </is>
      </c>
      <c r="I3690">
        <v>0</v>
      </c>
    </row>
    <row r="3691">
      <c r="A3691" t="inlineStr">
        <is>
          <t>Dinitrogen monoxide</t>
        </is>
      </c>
      <c r="B3691">
        <v>4.2319319752112466e-07</v>
      </c>
      <c r="D3691" t="inlineStr">
        <is>
          <t>kilogram</t>
        </is>
      </c>
      <c r="E3691" t="inlineStr">
        <is>
          <t>air::urban air close to ground</t>
        </is>
      </c>
      <c r="F3691" t="inlineStr">
        <is>
          <t>biosphere</t>
        </is>
      </c>
      <c r="I3691">
        <v>0</v>
      </c>
    </row>
    <row r="3692">
      <c r="A3692" t="inlineStr">
        <is>
          <t>Ethane</t>
        </is>
      </c>
      <c r="B3692">
        <v>1.2695795925633742e-10</v>
      </c>
      <c r="D3692" t="inlineStr">
        <is>
          <t>kilogram</t>
        </is>
      </c>
      <c r="E3692" t="inlineStr">
        <is>
          <t>air::urban air close to ground</t>
        </is>
      </c>
      <c r="F3692" t="inlineStr">
        <is>
          <t>biosphere</t>
        </is>
      </c>
      <c r="I3692">
        <v>0</v>
      </c>
    </row>
    <row r="3693">
      <c r="A3693" t="inlineStr">
        <is>
          <t>Ethane</t>
        </is>
      </c>
      <c r="B3693">
        <v>5.890599420015495e-10</v>
      </c>
      <c r="D3693" t="inlineStr">
        <is>
          <t>kilogram</t>
        </is>
      </c>
      <c r="E3693" t="inlineStr">
        <is>
          <t>air::low population density, long-term</t>
        </is>
      </c>
      <c r="F3693" t="inlineStr">
        <is>
          <t>biosphere</t>
        </is>
      </c>
      <c r="I3693">
        <v>0</v>
      </c>
    </row>
    <row r="3694">
      <c r="A3694" t="inlineStr">
        <is>
          <t>1,1,1,2-Tetrafluoroethane</t>
        </is>
      </c>
      <c r="B3694">
        <v>2.4915122630244626e-06</v>
      </c>
      <c r="D3694" t="inlineStr">
        <is>
          <t>kilogram</t>
        </is>
      </c>
      <c r="E3694" t="inlineStr">
        <is>
          <t>air::unspecified</t>
        </is>
      </c>
      <c r="F3694" t="inlineStr">
        <is>
          <t>biosphere</t>
        </is>
      </c>
      <c r="I3694">
        <v>0</v>
      </c>
    </row>
    <row r="3695">
      <c r="A3695" t="inlineStr">
        <is>
          <t>Formaldehyde</t>
        </is>
      </c>
      <c r="B3695">
        <v>1.6493678376043386e-07</v>
      </c>
      <c r="D3695" t="inlineStr">
        <is>
          <t>kilogram</t>
        </is>
      </c>
      <c r="E3695" t="inlineStr">
        <is>
          <t>air::low population density, long-term</t>
        </is>
      </c>
      <c r="F3695" t="inlineStr">
        <is>
          <t>biosphere</t>
        </is>
      </c>
      <c r="I3695">
        <v>0</v>
      </c>
    </row>
    <row r="3696">
      <c r="A3696" t="inlineStr">
        <is>
          <t>Formaldehyde</t>
        </is>
      </c>
      <c r="B3696">
        <v>3.554822859177448e-08</v>
      </c>
      <c r="D3696" t="inlineStr">
        <is>
          <t>kilogram</t>
        </is>
      </c>
      <c r="E3696" t="inlineStr">
        <is>
          <t>air::urban air close to ground</t>
        </is>
      </c>
      <c r="F3696" t="inlineStr">
        <is>
          <t>biosphere</t>
        </is>
      </c>
      <c r="I3696">
        <v>0</v>
      </c>
    </row>
    <row r="3697">
      <c r="A3697" t="inlineStr">
        <is>
          <t>Heptane</t>
        </is>
      </c>
      <c r="B3697">
        <v>5.890599420015494e-09</v>
      </c>
      <c r="D3697" t="inlineStr">
        <is>
          <t>kilogram</t>
        </is>
      </c>
      <c r="E3697" t="inlineStr">
        <is>
          <t>air::low population density, long-term</t>
        </is>
      </c>
      <c r="F3697" t="inlineStr">
        <is>
          <t>biosphere</t>
        </is>
      </c>
      <c r="I3697">
        <v>0</v>
      </c>
    </row>
    <row r="3698">
      <c r="A3698" t="inlineStr">
        <is>
          <t>Heptane</t>
        </is>
      </c>
      <c r="B3698">
        <v>1.269579592563374e-09</v>
      </c>
      <c r="D3698" t="inlineStr">
        <is>
          <t>kilogram</t>
        </is>
      </c>
      <c r="E3698" t="inlineStr">
        <is>
          <t>air::urban air close to ground</t>
        </is>
      </c>
      <c r="F3698" t="inlineStr">
        <is>
          <t>biosphere</t>
        </is>
      </c>
      <c r="I3698">
        <v>0</v>
      </c>
    </row>
    <row r="3699">
      <c r="A3699" t="inlineStr">
        <is>
          <t>Hydrocarbons, chlorinated</t>
        </is>
      </c>
      <c r="B3699">
        <v>3.08619969068454e-07</v>
      </c>
      <c r="D3699" t="inlineStr">
        <is>
          <t>kilogram</t>
        </is>
      </c>
      <c r="E3699" t="inlineStr">
        <is>
          <t>air::urban air close to ground</t>
        </is>
      </c>
      <c r="F3699" t="inlineStr">
        <is>
          <t>biosphere</t>
        </is>
      </c>
      <c r="I3699">
        <v>0</v>
      </c>
    </row>
    <row r="3700">
      <c r="A3700" t="inlineStr">
        <is>
          <t>Hydrocarbons, chlorinated</t>
        </is>
      </c>
      <c r="B3700">
        <v>1.4319359112643316e-06</v>
      </c>
      <c r="D3700" t="inlineStr">
        <is>
          <t>kilogram</t>
        </is>
      </c>
      <c r="E3700" t="inlineStr">
        <is>
          <t>air::low population density, long-term</t>
        </is>
      </c>
      <c r="F3700" t="inlineStr">
        <is>
          <t>biosphere</t>
        </is>
      </c>
      <c r="I3700">
        <v>0</v>
      </c>
    </row>
    <row r="3701">
      <c r="A3701" t="inlineStr">
        <is>
          <t>Mercury II</t>
        </is>
      </c>
      <c r="B3701">
        <v>2.1809270961414234e-11</v>
      </c>
      <c r="D3701" t="inlineStr">
        <is>
          <t>kilogram</t>
        </is>
      </c>
      <c r="E3701" t="inlineStr">
        <is>
          <t>air::urban air close to ground</t>
        </is>
      </c>
      <c r="F3701" t="inlineStr">
        <is>
          <t>biosphere</t>
        </is>
      </c>
      <c r="I3701">
        <v>0</v>
      </c>
    </row>
    <row r="3702">
      <c r="A3702" t="inlineStr">
        <is>
          <t>Mercury II</t>
        </is>
      </c>
      <c r="B3702">
        <v>1.0119072457432758e-10</v>
      </c>
      <c r="D3702" t="inlineStr">
        <is>
          <t>kilogram</t>
        </is>
      </c>
      <c r="E3702" t="inlineStr">
        <is>
          <t>air::low population density, long-term</t>
        </is>
      </c>
      <c r="F3702" t="inlineStr">
        <is>
          <t>biosphere</t>
        </is>
      </c>
      <c r="I3702">
        <v>0</v>
      </c>
    </row>
    <row r="3703">
      <c r="A3703" t="inlineStr">
        <is>
          <t>Methane, fossil</t>
        </is>
      </c>
      <c r="B3703">
        <v>7.4068793501437964e-09</v>
      </c>
      <c r="D3703" t="inlineStr">
        <is>
          <t>kilogram</t>
        </is>
      </c>
      <c r="E3703" t="inlineStr">
        <is>
          <t>air::urban air close to ground</t>
        </is>
      </c>
      <c r="F3703" t="inlineStr">
        <is>
          <t>biosphere</t>
        </is>
      </c>
      <c r="I3703">
        <v>0</v>
      </c>
    </row>
    <row r="3704">
      <c r="A3704" t="inlineStr">
        <is>
          <t>Methane, fossil</t>
        </is>
      </c>
      <c r="B3704">
        <v>3.436646229952995e-08</v>
      </c>
      <c r="D3704" t="inlineStr">
        <is>
          <t>kilogram</t>
        </is>
      </c>
      <c r="E3704" t="inlineStr">
        <is>
          <t>air::low population density, long-term</t>
        </is>
      </c>
      <c r="F3704" t="inlineStr">
        <is>
          <t>biosphere</t>
        </is>
      </c>
      <c r="I3704">
        <v>0</v>
      </c>
    </row>
    <row r="3705">
      <c r="A3705" t="inlineStr">
        <is>
          <t>NMVOC, non-methane volatile organic compounds</t>
        </is>
      </c>
      <c r="B3705">
        <v>1.1362239672364376e-06</v>
      </c>
      <c r="D3705" t="inlineStr">
        <is>
          <t>kilogram</t>
        </is>
      </c>
      <c r="E3705" t="inlineStr">
        <is>
          <t>air::low population density, long-term</t>
        </is>
      </c>
      <c r="F3705" t="inlineStr">
        <is>
          <t>biosphere</t>
        </is>
      </c>
      <c r="I3705">
        <v>0</v>
      </c>
    </row>
    <row r="3706">
      <c r="A3706" t="inlineStr">
        <is>
          <t>NMVOC, non-methane volatile organic compounds</t>
        </is>
      </c>
      <c r="B3706">
        <v>2.448862430677696e-07</v>
      </c>
      <c r="D3706" t="inlineStr">
        <is>
          <t>kilogram</t>
        </is>
      </c>
      <c r="E3706" t="inlineStr">
        <is>
          <t>air::urban air close to ground</t>
        </is>
      </c>
      <c r="F3706" t="inlineStr">
        <is>
          <t>biosphere</t>
        </is>
      </c>
      <c r="I3706">
        <v>0</v>
      </c>
    </row>
    <row r="3707">
      <c r="A3707" t="inlineStr">
        <is>
          <t>Nickel II</t>
        </is>
      </c>
      <c r="B3707">
        <v>1.6865120762387935e-10</v>
      </c>
      <c r="D3707" t="inlineStr">
        <is>
          <t>kilogram</t>
        </is>
      </c>
      <c r="E3707" t="inlineStr">
        <is>
          <t>air::low population density, long-term</t>
        </is>
      </c>
      <c r="F3707" t="inlineStr">
        <is>
          <t>biosphere</t>
        </is>
      </c>
      <c r="I3707">
        <v>0</v>
      </c>
    </row>
    <row r="3708">
      <c r="A3708" t="inlineStr">
        <is>
          <t>Nickel II</t>
        </is>
      </c>
      <c r="B3708">
        <v>3.634878493569039e-11</v>
      </c>
      <c r="D3708" t="inlineStr">
        <is>
          <t>kilogram</t>
        </is>
      </c>
      <c r="E3708" t="inlineStr">
        <is>
          <t>air::urban air close to ground</t>
        </is>
      </c>
      <c r="F3708" t="inlineStr">
        <is>
          <t>biosphere</t>
        </is>
      </c>
      <c r="I3708">
        <v>0</v>
      </c>
    </row>
    <row r="3709">
      <c r="A3709" t="inlineStr">
        <is>
          <t>Nitrogen oxides</t>
        </is>
      </c>
      <c r="B3709">
        <v>3.5263308160178145e-05</v>
      </c>
      <c r="D3709" t="inlineStr">
        <is>
          <t>kilogram</t>
        </is>
      </c>
      <c r="E3709" t="inlineStr">
        <is>
          <t>air::low population density, long-term</t>
        </is>
      </c>
      <c r="F3709" t="inlineStr">
        <is>
          <t>biosphere</t>
        </is>
      </c>
      <c r="I3709">
        <v>0</v>
      </c>
    </row>
    <row r="3710">
      <c r="A3710" t="inlineStr">
        <is>
          <t>Nitrogen oxides</t>
        </is>
      </c>
      <c r="B3710">
        <v>7.600173295490856e-06</v>
      </c>
      <c r="D3710" t="inlineStr">
        <is>
          <t>kilogram</t>
        </is>
      </c>
      <c r="E3710" t="inlineStr">
        <is>
          <t>air::urban air close to ground</t>
        </is>
      </c>
      <c r="F3710" t="inlineStr">
        <is>
          <t>biosphere</t>
        </is>
      </c>
      <c r="I3710">
        <v>0</v>
      </c>
    </row>
    <row r="3711">
      <c r="A3711" t="inlineStr">
        <is>
          <t>PAH, polycyclic aromatic hydrocarbons</t>
        </is>
      </c>
      <c r="B3711">
        <v>3.2270628577051953e-10</v>
      </c>
      <c r="D3711" t="inlineStr">
        <is>
          <t>kilogram</t>
        </is>
      </c>
      <c r="E3711" t="inlineStr">
        <is>
          <t>air::urban air close to ground</t>
        </is>
      </c>
      <c r="F3711" t="inlineStr">
        <is>
          <t>biosphere</t>
        </is>
      </c>
      <c r="I3711">
        <v>0</v>
      </c>
    </row>
    <row r="3712">
      <c r="A3712" t="inlineStr">
        <is>
          <t>PAH, polycyclic aromatic hydrocarbons</t>
        </is>
      </c>
      <c r="B3712">
        <v>1.497293648172977e-09</v>
      </c>
      <c r="D3712" t="inlineStr">
        <is>
          <t>kilogram</t>
        </is>
      </c>
      <c r="E3712" t="inlineStr">
        <is>
          <t>air::low population density, long-term</t>
        </is>
      </c>
      <c r="F3712" t="inlineStr">
        <is>
          <t>biosphere</t>
        </is>
      </c>
      <c r="I3712">
        <v>0</v>
      </c>
    </row>
    <row r="3713">
      <c r="A3713" t="inlineStr">
        <is>
          <t>Particulate Matter, &lt; 2.5 um</t>
        </is>
      </c>
      <c r="B3713">
        <v>4.46504693786539e-07</v>
      </c>
      <c r="D3713" t="inlineStr">
        <is>
          <t>kilogram</t>
        </is>
      </c>
      <c r="E3713" t="inlineStr">
        <is>
          <t>air::urban air close to ground</t>
        </is>
      </c>
      <c r="F3713" t="inlineStr">
        <is>
          <t>biosphere</t>
        </is>
      </c>
      <c r="I3713">
        <v>0</v>
      </c>
    </row>
    <row r="3714">
      <c r="A3714" t="inlineStr">
        <is>
          <t>Particulate Matter, &lt; 2.5 um</t>
        </is>
      </c>
      <c r="B3714">
        <v>2.071693894309262e-06</v>
      </c>
      <c r="D3714" t="inlineStr">
        <is>
          <t>kilogram</t>
        </is>
      </c>
      <c r="E3714" t="inlineStr">
        <is>
          <t>air::low population density, long-term</t>
        </is>
      </c>
      <c r="F3714" t="inlineStr">
        <is>
          <t>biosphere</t>
        </is>
      </c>
      <c r="I3714">
        <v>0</v>
      </c>
    </row>
    <row r="3715">
      <c r="A3715" t="inlineStr">
        <is>
          <t>Pentane</t>
        </is>
      </c>
      <c r="B3715">
        <v>1.1781198840030987e-09</v>
      </c>
      <c r="D3715" t="inlineStr">
        <is>
          <t>kilogram</t>
        </is>
      </c>
      <c r="E3715" t="inlineStr">
        <is>
          <t>air::low population density, long-term</t>
        </is>
      </c>
      <c r="F3715" t="inlineStr">
        <is>
          <t>biosphere</t>
        </is>
      </c>
      <c r="I3715">
        <v>0</v>
      </c>
    </row>
    <row r="3716">
      <c r="A3716" t="inlineStr">
        <is>
          <t>Pentane</t>
        </is>
      </c>
      <c r="B3716">
        <v>2.5391591851267473e-10</v>
      </c>
      <c r="D3716" t="inlineStr">
        <is>
          <t>kilogram</t>
        </is>
      </c>
      <c r="E3716" t="inlineStr">
        <is>
          <t>air::urban air close to ground</t>
        </is>
      </c>
      <c r="F3716" t="inlineStr">
        <is>
          <t>biosphere</t>
        </is>
      </c>
      <c r="I3716">
        <v>0</v>
      </c>
    </row>
    <row r="3717">
      <c r="A3717" t="inlineStr">
        <is>
          <t>Propane</t>
        </is>
      </c>
      <c r="B3717">
        <v>4.2319319752112463e-10</v>
      </c>
      <c r="D3717" t="inlineStr">
        <is>
          <t>kilogram</t>
        </is>
      </c>
      <c r="E3717" t="inlineStr">
        <is>
          <t>air::urban air close to ground</t>
        </is>
      </c>
      <c r="F3717" t="inlineStr">
        <is>
          <t>biosphere</t>
        </is>
      </c>
      <c r="I3717">
        <v>0</v>
      </c>
    </row>
    <row r="3718">
      <c r="A3718" t="inlineStr">
        <is>
          <t>Propane</t>
        </is>
      </c>
      <c r="B3718">
        <v>1.9635331400051646e-09</v>
      </c>
      <c r="D3718" t="inlineStr">
        <is>
          <t>kilogram</t>
        </is>
      </c>
      <c r="E3718" t="inlineStr">
        <is>
          <t>air::low population density, long-term</t>
        </is>
      </c>
      <c r="F3718" t="inlineStr">
        <is>
          <t>biosphere</t>
        </is>
      </c>
      <c r="I3718">
        <v>0</v>
      </c>
    </row>
    <row r="3719">
      <c r="A3719" t="inlineStr">
        <is>
          <t>Selenium IV</t>
        </is>
      </c>
      <c r="B3719">
        <v>1.9168649451884822e-12</v>
      </c>
      <c r="D3719" t="inlineStr">
        <is>
          <t>kilogram</t>
        </is>
      </c>
      <c r="E3719" t="inlineStr">
        <is>
          <t>air::low population density, long-term</t>
        </is>
      </c>
      <c r="F3719" t="inlineStr">
        <is>
          <t>biosphere</t>
        </is>
      </c>
      <c r="I3719">
        <v>0</v>
      </c>
    </row>
    <row r="3720">
      <c r="A3720" t="inlineStr">
        <is>
          <t>Selenium IV</t>
        </is>
      </c>
      <c r="B3720">
        <v>4.131349702446761e-13</v>
      </c>
      <c r="D3720" t="inlineStr">
        <is>
          <t>kilogram</t>
        </is>
      </c>
      <c r="E3720" t="inlineStr">
        <is>
          <t>air::urban air close to ground</t>
        </is>
      </c>
      <c r="F3720" t="inlineStr">
        <is>
          <t>biosphere</t>
        </is>
      </c>
      <c r="I3720">
        <v>0</v>
      </c>
    </row>
    <row r="3721">
      <c r="A3721" t="inlineStr">
        <is>
          <t>Styrene</t>
        </is>
      </c>
      <c r="B3721">
        <v>1.099578558402892e-08</v>
      </c>
      <c r="D3721" t="inlineStr">
        <is>
          <t>kilogram</t>
        </is>
      </c>
      <c r="E3721" t="inlineStr">
        <is>
          <t>air::low population density, long-term</t>
        </is>
      </c>
      <c r="F3721" t="inlineStr">
        <is>
          <t>biosphere</t>
        </is>
      </c>
      <c r="I3721">
        <v>0</v>
      </c>
    </row>
    <row r="3722">
      <c r="A3722" t="inlineStr">
        <is>
          <t>Styrene</t>
        </is>
      </c>
      <c r="B3722">
        <v>2.369881906118298e-09</v>
      </c>
      <c r="D3722" t="inlineStr">
        <is>
          <t>kilogram</t>
        </is>
      </c>
      <c r="E3722" t="inlineStr">
        <is>
          <t>air::urban air close to ground</t>
        </is>
      </c>
      <c r="F3722" t="inlineStr">
        <is>
          <t>biosphere</t>
        </is>
      </c>
      <c r="I3722">
        <v>0</v>
      </c>
    </row>
    <row r="3723">
      <c r="A3723" t="inlineStr">
        <is>
          <t>Sulfur dioxide</t>
        </is>
      </c>
      <c r="B3723">
        <v>4.6511627906976743e-07</v>
      </c>
      <c r="D3723" t="inlineStr">
        <is>
          <t>kilogram</t>
        </is>
      </c>
      <c r="E3723" t="inlineStr">
        <is>
          <t>air::unspecified</t>
        </is>
      </c>
      <c r="F3723" t="inlineStr">
        <is>
          <t>biosphere</t>
        </is>
      </c>
      <c r="I3723">
        <v>0</v>
      </c>
    </row>
    <row r="3724">
      <c r="A3724" t="inlineStr">
        <is>
          <t>Toluene</t>
        </is>
      </c>
      <c r="B3724">
        <v>1.9635331400051643e-10</v>
      </c>
      <c r="D3724" t="inlineStr">
        <is>
          <t>kilogram</t>
        </is>
      </c>
      <c r="E3724" t="inlineStr">
        <is>
          <t>air::low population density, long-term</t>
        </is>
      </c>
      <c r="F3724" t="inlineStr">
        <is>
          <t>biosphere</t>
        </is>
      </c>
      <c r="I3724">
        <v>0</v>
      </c>
    </row>
    <row r="3725">
      <c r="A3725" t="inlineStr">
        <is>
          <t>Toluene</t>
        </is>
      </c>
      <c r="B3725">
        <v>4.231931975211246e-11</v>
      </c>
      <c r="D3725" t="inlineStr">
        <is>
          <t>kilogram</t>
        </is>
      </c>
      <c r="E3725" t="inlineStr">
        <is>
          <t>air::urban air close to ground</t>
        </is>
      </c>
      <c r="F3725" t="inlineStr">
        <is>
          <t>biosphere</t>
        </is>
      </c>
      <c r="I3725">
        <v>0</v>
      </c>
    </row>
    <row r="3726">
      <c r="A3726" t="inlineStr">
        <is>
          <t>Zinc II</t>
        </is>
      </c>
      <c r="B3726">
        <v>3.331889711593714e-08</v>
      </c>
      <c r="D3726" t="inlineStr">
        <is>
          <t>kilogram</t>
        </is>
      </c>
      <c r="E3726" t="inlineStr">
        <is>
          <t>air::low population density, long-term</t>
        </is>
      </c>
      <c r="F3726" t="inlineStr">
        <is>
          <t>biosphere</t>
        </is>
      </c>
      <c r="I3726">
        <v>0</v>
      </c>
    </row>
    <row r="3727">
      <c r="A3727" t="inlineStr">
        <is>
          <t>Zinc II</t>
        </is>
      </c>
      <c r="B3727">
        <v>7.1811014141241974e-09</v>
      </c>
      <c r="D3727" t="inlineStr">
        <is>
          <t>kilogram</t>
        </is>
      </c>
      <c r="E3727" t="inlineStr">
        <is>
          <t>air::urban air close to ground</t>
        </is>
      </c>
      <c r="F3727" t="inlineStr">
        <is>
          <t>biosphere</t>
        </is>
      </c>
      <c r="I3727">
        <v>0</v>
      </c>
    </row>
    <row r="3728">
      <c r="A3728" t="inlineStr">
        <is>
          <t>m-Xylene</t>
        </is>
      </c>
      <c r="B3728">
        <v>4.147293335707022e-09</v>
      </c>
      <c r="D3728" t="inlineStr">
        <is>
          <t>kilogram</t>
        </is>
      </c>
      <c r="E3728" t="inlineStr">
        <is>
          <t>air::urban air close to ground</t>
        </is>
      </c>
      <c r="F3728" t="inlineStr">
        <is>
          <t>biosphere</t>
        </is>
      </c>
      <c r="I3728">
        <v>0</v>
      </c>
    </row>
    <row r="3729">
      <c r="A3729" t="inlineStr">
        <is>
          <t>m-Xylene</t>
        </is>
      </c>
      <c r="B3729">
        <v>1.924262477205061e-08</v>
      </c>
      <c r="D3729" t="inlineStr">
        <is>
          <t>kilogram</t>
        </is>
      </c>
      <c r="E3729" t="inlineStr">
        <is>
          <t>air::low population density, long-term</t>
        </is>
      </c>
      <c r="F3729" t="inlineStr">
        <is>
          <t>biosphere</t>
        </is>
      </c>
      <c r="I3729">
        <v>0</v>
      </c>
    </row>
    <row r="3730">
      <c r="A3730" t="inlineStr">
        <is>
          <t>o-Xylene</t>
        </is>
      </c>
      <c r="B3730">
        <v>7.854132560020658e-09</v>
      </c>
      <c r="D3730" t="inlineStr">
        <is>
          <t>kilogram</t>
        </is>
      </c>
      <c r="E3730" t="inlineStr">
        <is>
          <t>air::low population density, long-term</t>
        </is>
      </c>
      <c r="F3730" t="inlineStr">
        <is>
          <t>biosphere</t>
        </is>
      </c>
      <c r="I3730">
        <v>0</v>
      </c>
    </row>
    <row r="3731">
      <c r="A3731" t="inlineStr">
        <is>
          <t>o-Xylene</t>
        </is>
      </c>
      <c r="B3731">
        <v>1.6927727900844985e-09</v>
      </c>
      <c r="D3731" t="inlineStr">
        <is>
          <t>kilogram</t>
        </is>
      </c>
      <c r="E3731" t="inlineStr">
        <is>
          <t>air::urban air close to ground</t>
        </is>
      </c>
      <c r="F3731" t="inlineStr">
        <is>
          <t>biosphere</t>
        </is>
      </c>
      <c r="I3731">
        <v>0</v>
      </c>
    </row>
    <row r="3732">
      <c r="A3732" t="inlineStr">
        <is>
          <t>exhaust system, for lorry</t>
        </is>
      </c>
      <c r="B3732">
        <v>1.837490293980541e-05</v>
      </c>
      <c r="C3732" t="inlineStr">
        <is>
          <t>RER</t>
        </is>
      </c>
      <c r="D3732" t="inlineStr">
        <is>
          <t>kilogram</t>
        </is>
      </c>
      <c r="F3732" t="inlineStr">
        <is>
          <t>technosphere</t>
        </is>
      </c>
      <c r="G3732" t="inlineStr">
        <is>
          <t>exhaust system, for lorry</t>
        </is>
      </c>
      <c r="H3732" t="inlineStr">
        <is>
          <t> Energy-use allocation: 118 * 6.802721088435375e-08 / 0.436857321676756 MJ per person kilometer.</t>
        </is>
      </c>
      <c r="I3732">
        <v>0</v>
      </c>
    </row>
    <row r="3733">
      <c r="A3733" t="inlineStr">
        <is>
          <t>fuel tank, for diesel vehicle</t>
        </is>
      </c>
      <c r="B3733">
        <v>8.356310521329906e-06</v>
      </c>
      <c r="C3733" t="inlineStr">
        <is>
          <t>RER</t>
        </is>
      </c>
      <c r="D3733" t="inlineStr">
        <is>
          <t>kilogram</t>
        </is>
      </c>
      <c r="F3733" t="inlineStr">
        <is>
          <t>technosphere</t>
        </is>
      </c>
      <c r="G3733" t="inlineStr">
        <is>
          <t>fuel tank</t>
        </is>
      </c>
      <c r="H3733" t="inlineStr">
        <is>
          <t> Energy-use allocation: 53.66257687167794 * 6.802721088435375e-08 / 0.436857321676756 MJ per person kilometer.</t>
        </is>
      </c>
      <c r="I3733">
        <v>0</v>
      </c>
    </row>
    <row r="3734">
      <c r="A3734" t="inlineStr">
        <is>
          <t>gearbox, for lorry</t>
        </is>
      </c>
      <c r="B3734">
        <v>2.454264134376666e-05</v>
      </c>
      <c r="C3734" t="inlineStr">
        <is>
          <t>RER</t>
        </is>
      </c>
      <c r="D3734" t="inlineStr">
        <is>
          <t>kilogram</t>
        </is>
      </c>
      <c r="F3734" t="inlineStr">
        <is>
          <t>technosphere</t>
        </is>
      </c>
      <c r="G3734" t="inlineStr">
        <is>
          <t>gearbox, for lorry</t>
        </is>
      </c>
      <c r="H3734" t="inlineStr">
        <is>
          <t> Energy-use allocation: 157.6079986953735 * 6.802721088435375e-08 / 0.436857321676756 MJ per person kilometer.</t>
        </is>
      </c>
      <c r="I3734">
        <v>0</v>
      </c>
    </row>
    <row r="3735">
      <c r="A3735" t="inlineStr">
        <is>
          <t>internal combustion engine, for lorry</t>
        </is>
      </c>
      <c r="B3735">
        <v>0.0001378112816823617</v>
      </c>
      <c r="C3735" t="inlineStr">
        <is>
          <t>RER</t>
        </is>
      </c>
      <c r="D3735" t="inlineStr">
        <is>
          <t>kilogram</t>
        </is>
      </c>
      <c r="F3735" t="inlineStr">
        <is>
          <t>technosphere</t>
        </is>
      </c>
      <c r="G3735" t="inlineStr">
        <is>
          <t>internal combustion engine, for lorry</t>
        </is>
      </c>
      <c r="H3735" t="inlineStr">
        <is>
          <t> Energy-use allocation: 884.9968509651834 * 6.802721088435375e-08 / 0.436857321676756 MJ per person kilometer.</t>
        </is>
      </c>
      <c r="I3735">
        <v>0</v>
      </c>
    </row>
    <row r="3736">
      <c r="A3736" t="inlineStr">
        <is>
          <t>power electronics, for lorry</t>
        </is>
      </c>
      <c r="B3736">
        <v>3.425829361658636e-05</v>
      </c>
      <c r="C3736" t="inlineStr">
        <is>
          <t>RER</t>
        </is>
      </c>
      <c r="D3736" t="inlineStr">
        <is>
          <t>kilogram</t>
        </is>
      </c>
      <c r="F3736" t="inlineStr">
        <is>
          <t>technosphere</t>
        </is>
      </c>
      <c r="G3736" t="inlineStr">
        <is>
          <t>power electronics, for lorry</t>
        </is>
      </c>
      <c r="H3736" t="inlineStr">
        <is>
          <t> Energy-use allocation: 220 * 6.802721088435375e-08 / 0.436857321676756 MJ per person kilometer.</t>
        </is>
      </c>
      <c r="I3736">
        <v>0</v>
      </c>
    </row>
    <row r="3737">
      <c r="A3737" t="inlineStr">
        <is>
          <t>retarder, for lorry</t>
        </is>
      </c>
      <c r="B3737">
        <v>8.180880447922222e-06</v>
      </c>
      <c r="C3737" t="inlineStr">
        <is>
          <t>RER</t>
        </is>
      </c>
      <c r="D3737" t="inlineStr">
        <is>
          <t>kilogram</t>
        </is>
      </c>
      <c r="F3737" t="inlineStr">
        <is>
          <t>technosphere</t>
        </is>
      </c>
      <c r="G3737" t="inlineStr">
        <is>
          <t>retarder, for lorry</t>
        </is>
      </c>
      <c r="H3737" t="inlineStr">
        <is>
          <t> Energy-use allocation: 52.53599956512451 * 6.802721088435375e-08 / 0.436857321676756 MJ per person kilometer.</t>
        </is>
      </c>
      <c r="I3737">
        <v>0</v>
      </c>
    </row>
    <row r="3738">
      <c r="A3738" t="inlineStr">
        <is>
          <t>transmission, for lorry</t>
        </is>
      </c>
      <c r="B3738">
        <v>3.545048194099629e-05</v>
      </c>
      <c r="C3738" t="inlineStr">
        <is>
          <t>RER</t>
        </is>
      </c>
      <c r="D3738" t="inlineStr">
        <is>
          <t>kilogram</t>
        </is>
      </c>
      <c r="F3738" t="inlineStr">
        <is>
          <t>technosphere</t>
        </is>
      </c>
      <c r="G3738" t="inlineStr">
        <is>
          <t>transmission, for lorry</t>
        </is>
      </c>
      <c r="H3738" t="inlineStr">
        <is>
          <t> Energy-use allocation: 227.6559981155395 * 6.802721088435375e-08 / 0.436857321676756 MJ per person kilometer.</t>
        </is>
      </c>
      <c r="I3738">
        <v>0</v>
      </c>
    </row>
    <row r="3739">
      <c r="A3739" t="inlineStr">
        <is>
          <t>market for refrigerant R134a</t>
        </is>
      </c>
      <c r="B3739">
        <v>3.659408636317179e-06</v>
      </c>
      <c r="C3739" t="inlineStr">
        <is>
          <t>GLO</t>
        </is>
      </c>
      <c r="D3739" t="inlineStr">
        <is>
          <t>kilogram</t>
        </is>
      </c>
      <c r="F3739" t="inlineStr">
        <is>
          <t>technosphere</t>
        </is>
      </c>
      <c r="G3739" t="inlineStr">
        <is>
          <t>refrigerant R134a</t>
        </is>
      </c>
      <c r="I3739">
        <v>0</v>
      </c>
    </row>
    <row r="3740">
      <c r="A3740" t="inlineStr">
        <is>
          <t>treatment of brake wear emissions, lorry</t>
        </is>
      </c>
      <c r="B3740">
        <v>-7.155284632502334e-06</v>
      </c>
      <c r="C3740" t="inlineStr">
        <is>
          <t>RER</t>
        </is>
      </c>
      <c r="D3740" t="inlineStr">
        <is>
          <t>kilogram</t>
        </is>
      </c>
      <c r="F3740" t="inlineStr">
        <is>
          <t>technosphere</t>
        </is>
      </c>
      <c r="G3740" t="inlineStr">
        <is>
          <t>brake wear emissions, lorry</t>
        </is>
      </c>
      <c r="I3740">
        <v>0</v>
      </c>
    </row>
    <row r="3741">
      <c r="A3741" t="inlineStr">
        <is>
          <t>treatment of road wear emissions, lorry</t>
        </is>
      </c>
      <c r="B3741">
        <v>-9.656798590276932e-06</v>
      </c>
      <c r="C3741" t="inlineStr">
        <is>
          <t>RER</t>
        </is>
      </c>
      <c r="D3741" t="inlineStr">
        <is>
          <t>kilogram</t>
        </is>
      </c>
      <c r="F3741" t="inlineStr">
        <is>
          <t>technosphere</t>
        </is>
      </c>
      <c r="G3741" t="inlineStr">
        <is>
          <t>road wear emissions, lorry</t>
        </is>
      </c>
      <c r="I3741">
        <v>0</v>
      </c>
    </row>
    <row r="3742">
      <c r="A3742" t="inlineStr">
        <is>
          <t>treatment of tyre wear emissions, lorry</t>
        </is>
      </c>
      <c r="B3742">
        <v>-8.139328484827061e-06</v>
      </c>
      <c r="C3742" t="inlineStr">
        <is>
          <t>RER</t>
        </is>
      </c>
      <c r="D3742" t="inlineStr">
        <is>
          <t>kilogram</t>
        </is>
      </c>
      <c r="F3742" t="inlineStr">
        <is>
          <t>technosphere</t>
        </is>
      </c>
      <c r="G3742" t="inlineStr">
        <is>
          <t>tyre wear emissions, lorry</t>
        </is>
      </c>
      <c r="I3742">
        <v>0</v>
      </c>
    </row>
    <row r="3743"/>
    <row r="3744">
      <c r="A3744" t="inlineStr">
        <is>
          <t>Activity</t>
        </is>
      </c>
      <c r="B3744" t="inlineStr">
        <is>
          <t>compressed gas, burned in light duty vehicle</t>
        </is>
      </c>
    </row>
    <row r="3745">
      <c r="A3745" t="inlineStr">
        <is>
          <t>location</t>
        </is>
      </c>
      <c r="B3745" t="inlineStr">
        <is>
          <t>CH</t>
        </is>
      </c>
    </row>
    <row r="3746">
      <c r="A3746" t="inlineStr">
        <is>
          <t>production amount</t>
        </is>
      </c>
      <c r="B3746">
        <v>1</v>
      </c>
    </row>
    <row r="3747">
      <c r="A3747" t="inlineStr">
        <is>
          <t>reference product</t>
        </is>
      </c>
      <c r="B3747" t="inlineStr">
        <is>
          <t>heat</t>
        </is>
      </c>
    </row>
    <row r="3748">
      <c r="A3748" t="inlineStr">
        <is>
          <t>comment</t>
        </is>
      </c>
      <c r="B3748" t="inlineStr">
        <is>
          <t>Produces consumption of 1 MJ of purchased energy. Representative powertrain carrier: gas. energy-specific equipment; excludes chassis, body, roads and whole-vehicle maintenance. Source transport, passenger car, compressed gas, Van, EURO-6 [RER]; 2.9729864698575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393 km. Tank-to-wheel efficiency: 18.8 \%. Tank-to-wheel energy consumption: 2972 kj/km. Fuel consumption: 8729.3 l/100km. Electricity consumption: 0.0 kWh/100km. Battery capacity: 0.0 kWh. Fuel tank capacity: 324 kWh. Power share from combustion engine: 100.0 \%. Combustion engine power: 107 kW. Electric motor power: 0.0 kW. Curb mass (excl. driver and cargo): 1656 kg. Driving mass (incl. driver and cargo): 1796 kg. Battery mass: 0.0 kg. Fuel cell system efficiency: 0.0 \%. Number of passengers onboard: 1.6 passenger(s). Payload: 20 kg.  Carbon accounting: full-oxidation CO2 plus separately estimated pollutants; not a closed elemental carbon balance.</t>
        </is>
      </c>
    </row>
    <row r="3749">
      <c r="A3749" t="inlineStr">
        <is>
          <t>type</t>
        </is>
      </c>
      <c r="B3749" t="inlineStr">
        <is>
          <t>process</t>
        </is>
      </c>
    </row>
    <row r="3750">
      <c r="A3750" t="inlineStr">
        <is>
          <t>unit</t>
        </is>
      </c>
      <c r="B3750" t="inlineStr">
        <is>
          <t>megajoule</t>
        </is>
      </c>
    </row>
    <row r="3751">
      <c r="A3751" t="inlineStr">
        <is>
          <t>energy use source</t>
        </is>
      </c>
      <c r="B3751" t="inlineStr">
        <is>
          <t>{"source": ["transport, passenger car, compressed gas, Van, EURO-6", "transport, passenger car, EURO-6", "RER", "kilometer"], "source unit": "kilometer", "purchased MJ per source service": 2.9729864698574997, "boundary": "energy-specific equipment; excludes chassis, body, roads and whole-vehicle maintenance", "retained equipment": [{"supplier": ["fuel tank assembly, compressed natural gas, 200 bar, carculator passenger car 2020", "fuel tank, compressed natural gas, 200 bar", "RER", "kilogram"], "amount per vehicle": 89.99697875976562, "vehicle per source service": 4.999999873689376e-06, "replacement correction factor": 1.0, "amount per MJ": 0.00015135786421955095}, {"supplier": ["market for internal combustion engine, passenger car", "internal combustion engine, passenger car", "GLO", "kilogram"], "amount per vehicle": 246.2209777832031, "vehicle per source service": 4.999999873689376e-06, "replacement correction factor": 1.0, "amount per MJ": 0.00041409702677681513}, {"supplier": ["market for waste plastic, industrial electronics", "waste plastic, industrial electronics", "CH", "kilogram"], "amount per vehicle": -89.99697875976562, "vehicle per source service": 4.999999873689376e-06, "replacement correction factor": 1.0, "amount per MJ": -0.00015135786421955095}], "excluded": [{"supplier": "maintenance, passenger car", "amount per source service": 8.905332883199055e-06}, {"supplier": "market for road", "amount per source service": 0.0009646624093875289}, {"supplier": "market for road maintenance", "amount per source service": 0.00129}, {"supplier": ["glider lightweighting, carculator passenger car 2020", "glider lightweighting", "GLO", "kilogram"], "amount per vehicle": 154.4565277099609, "vehicle per source service": 4.999999873689376e-06}, {"supplier": ["market for glider, passenger car", "glider, passenger car", "GLO", "kilogram"], "amount per vehicle": 1450, "vehicle per source service": 4.999999873689376e-06}], "alternative fuel recipe retained": false}</t>
        </is>
      </c>
    </row>
    <row r="3752">
      <c r="A3752" t="inlineStr">
        <is>
          <t>Exchanges</t>
        </is>
      </c>
    </row>
    <row r="3753">
      <c r="A3753" t="inlineStr">
        <is>
          <t>name</t>
        </is>
      </c>
      <c r="B3753" t="inlineStr">
        <is>
          <t>amount</t>
        </is>
      </c>
      <c r="C3753" t="inlineStr">
        <is>
          <t>location</t>
        </is>
      </c>
      <c r="D3753" t="inlineStr">
        <is>
          <t>unit</t>
        </is>
      </c>
      <c r="E3753" t="inlineStr">
        <is>
          <t>categories</t>
        </is>
      </c>
      <c r="F3753" t="inlineStr">
        <is>
          <t>type</t>
        </is>
      </c>
      <c r="G3753" t="inlineStr">
        <is>
          <t>reference product</t>
        </is>
      </c>
      <c r="H3753" t="inlineStr">
        <is>
          <t>comment</t>
        </is>
      </c>
      <c r="I3753" t="inlineStr">
        <is>
          <t>uncertainty type</t>
        </is>
      </c>
    </row>
    <row r="3754">
      <c r="A3754" t="inlineStr">
        <is>
          <t>compressed gas, burned in light duty vehicle</t>
        </is>
      </c>
      <c r="B3754">
        <v>1.0</v>
      </c>
      <c r="C3754" t="inlineStr">
        <is>
          <t>CH</t>
        </is>
      </c>
      <c r="D3754" t="inlineStr">
        <is>
          <t>megajoule</t>
        </is>
      </c>
      <c r="F3754" t="inlineStr">
        <is>
          <t>production</t>
        </is>
      </c>
      <c r="G3754" t="inlineStr">
        <is>
          <t>heat</t>
        </is>
      </c>
      <c r="I3754">
        <v>0</v>
      </c>
    </row>
    <row r="3755">
      <c r="A3755" t="inlineStr">
        <is>
          <t>market for natural gas, medium pressure, vehicle grade</t>
        </is>
      </c>
      <c r="B3755">
        <v>0.021505376344086023</v>
      </c>
      <c r="C3755" t="inlineStr">
        <is>
          <t>GLO</t>
        </is>
      </c>
      <c r="D3755" t="inlineStr">
        <is>
          <t>kilogram</t>
        </is>
      </c>
      <c r="F3755" t="inlineStr">
        <is>
          <t>technosphere</t>
        </is>
      </c>
      <c r="G3755" t="inlineStr">
        <is>
          <t>natural gas, medium pressure, vehicle grade</t>
        </is>
      </c>
      <c r="H3755" t="inlineStr">
        <is>
          <t>Default carculator fuel energy preserved (2.97298646986 MJ/vkm); premise reference LHV 46.5 MJ/kg. Regional scenario blend belongs to premise.</t>
        </is>
      </c>
      <c r="I3755">
        <v>0</v>
      </c>
    </row>
    <row r="3756">
      <c r="A3756" t="inlineStr">
        <is>
          <t>treatment of brake wear emissions, passenger car</t>
        </is>
      </c>
      <c r="B3756">
        <v>-5.1079617756663074e-06</v>
      </c>
      <c r="C3756" t="inlineStr">
        <is>
          <t>RER</t>
        </is>
      </c>
      <c r="D3756" t="inlineStr">
        <is>
          <t>kilogram</t>
        </is>
      </c>
      <c r="F3756" t="inlineStr">
        <is>
          <t>technosphere</t>
        </is>
      </c>
      <c r="G3756" t="inlineStr">
        <is>
          <t>brake wear emissions, passenger car</t>
        </is>
      </c>
      <c r="I3756">
        <v>0</v>
      </c>
    </row>
    <row r="3757">
      <c r="A3757" t="inlineStr">
        <is>
          <t>treatment of road wear emissions, passenger car</t>
        </is>
      </c>
      <c r="B3757">
        <v>-5.872685104309627e-06</v>
      </c>
      <c r="C3757" t="inlineStr">
        <is>
          <t>RER</t>
        </is>
      </c>
      <c r="D3757" t="inlineStr">
        <is>
          <t>kilogram</t>
        </is>
      </c>
      <c r="F3757" t="inlineStr">
        <is>
          <t>technosphere</t>
        </is>
      </c>
      <c r="G3757" t="inlineStr">
        <is>
          <t>road wear emissions, passenger car</t>
        </is>
      </c>
      <c r="I3757">
        <v>0</v>
      </c>
    </row>
    <row r="3758">
      <c r="A3758" t="inlineStr">
        <is>
          <t>treatment of tyre wear emissions, passenger car</t>
        </is>
      </c>
      <c r="B3758">
        <v>-6.74737152338795e-06</v>
      </c>
      <c r="C3758" t="inlineStr">
        <is>
          <t>RER</t>
        </is>
      </c>
      <c r="D3758" t="inlineStr">
        <is>
          <t>kilogram</t>
        </is>
      </c>
      <c r="F3758" t="inlineStr">
        <is>
          <t>technosphere</t>
        </is>
      </c>
      <c r="G3758" t="inlineStr">
        <is>
          <t>tyre wear emissions, passenger car</t>
        </is>
      </c>
      <c r="I3758">
        <v>0</v>
      </c>
    </row>
    <row r="3759">
      <c r="A3759" t="inlineStr">
        <is>
          <t>market for tetrafluoroethane, R134a</t>
        </is>
      </c>
      <c r="B3759">
        <v>2.1863536859813613e-06</v>
      </c>
      <c r="C3759" t="inlineStr">
        <is>
          <t>GLO</t>
        </is>
      </c>
      <c r="D3759" t="inlineStr">
        <is>
          <t>kilogram</t>
        </is>
      </c>
      <c r="F3759" t="inlineStr">
        <is>
          <t>technosphere</t>
        </is>
      </c>
      <c r="G3759" t="inlineStr">
        <is>
          <t>tetrafluoroethane, R134a</t>
        </is>
      </c>
      <c r="I3759">
        <v>0</v>
      </c>
    </row>
    <row r="3760">
      <c r="A3760" t="inlineStr">
        <is>
          <t>NMVOC, non-methane volatile organic compounds</t>
        </is>
      </c>
      <c r="B3760">
        <v>2.7021091254753247e-06</v>
      </c>
      <c r="D3760" t="inlineStr">
        <is>
          <t>kilogram</t>
        </is>
      </c>
      <c r="E3760" t="inlineStr">
        <is>
          <t>air::non-urban air or from high stacks</t>
        </is>
      </c>
      <c r="F3760" t="inlineStr">
        <is>
          <t>biosphere</t>
        </is>
      </c>
      <c r="I3760">
        <v>0</v>
      </c>
    </row>
    <row r="3761">
      <c r="A3761" t="inlineStr">
        <is>
          <t>Nitrogen oxides</t>
        </is>
      </c>
      <c r="B3761">
        <v>4.6448748236245886e-06</v>
      </c>
      <c r="D3761" t="inlineStr">
        <is>
          <t>kilogram</t>
        </is>
      </c>
      <c r="E3761" t="inlineStr">
        <is>
          <t>air::non-urban air or from high stacks</t>
        </is>
      </c>
      <c r="F3761" t="inlineStr">
        <is>
          <t>biosphere</t>
        </is>
      </c>
      <c r="I3761">
        <v>0</v>
      </c>
    </row>
    <row r="3762">
      <c r="A3762" t="inlineStr">
        <is>
          <t>Benzene</t>
        </is>
      </c>
      <c r="B3762">
        <v>2.1791204475120906e-08</v>
      </c>
      <c r="D3762" t="inlineStr">
        <is>
          <t>kilogram</t>
        </is>
      </c>
      <c r="E3762" t="inlineStr">
        <is>
          <t>air::non-urban air or from high stacks</t>
        </is>
      </c>
      <c r="F3762" t="inlineStr">
        <is>
          <t>biosphere</t>
        </is>
      </c>
      <c r="I3762">
        <v>0</v>
      </c>
    </row>
    <row r="3763">
      <c r="A3763" t="inlineStr">
        <is>
          <t>Methane, fossil</t>
        </is>
      </c>
      <c r="B3763">
        <v>9.861274833697473e-07</v>
      </c>
      <c r="D3763" t="inlineStr">
        <is>
          <t>kilogram</t>
        </is>
      </c>
      <c r="E3763" t="inlineStr">
        <is>
          <t>air::urban air close to ground</t>
        </is>
      </c>
      <c r="F3763" t="inlineStr">
        <is>
          <t>biosphere</t>
        </is>
      </c>
      <c r="I3763">
        <v>0</v>
      </c>
    </row>
    <row r="3764">
      <c r="A3764" t="inlineStr">
        <is>
          <t>NMVOC, non-methane volatile organic compounds</t>
        </is>
      </c>
      <c r="B3764">
        <v>2.6559769458551438e-05</v>
      </c>
      <c r="D3764" t="inlineStr">
        <is>
          <t>kilogram</t>
        </is>
      </c>
      <c r="E3764" t="inlineStr">
        <is>
          <t>air::urban air close to ground</t>
        </is>
      </c>
      <c r="F3764" t="inlineStr">
        <is>
          <t>biosphere</t>
        </is>
      </c>
      <c r="I3764">
        <v>0</v>
      </c>
    </row>
    <row r="3765">
      <c r="A3765" t="inlineStr">
        <is>
          <t>Nitrogen oxides</t>
        </is>
      </c>
      <c r="B3765">
        <v>7.709648829828808e-06</v>
      </c>
      <c r="D3765" t="inlineStr">
        <is>
          <t>kilogram</t>
        </is>
      </c>
      <c r="E3765" t="inlineStr">
        <is>
          <t>air::urban air close to ground</t>
        </is>
      </c>
      <c r="F3765" t="inlineStr">
        <is>
          <t>biosphere</t>
        </is>
      </c>
      <c r="I3765">
        <v>0</v>
      </c>
    </row>
    <row r="3766">
      <c r="A3766" t="inlineStr">
        <is>
          <t>Carbon monoxide, fossil</t>
        </is>
      </c>
      <c r="B3766">
        <v>0.00010844136579915682</v>
      </c>
      <c r="D3766" t="inlineStr">
        <is>
          <t>kilogram</t>
        </is>
      </c>
      <c r="E3766" t="inlineStr">
        <is>
          <t>air::urban air close to ground</t>
        </is>
      </c>
      <c r="F3766" t="inlineStr">
        <is>
          <t>biosphere</t>
        </is>
      </c>
      <c r="I3766">
        <v>0</v>
      </c>
    </row>
    <row r="3767">
      <c r="A3767" t="inlineStr">
        <is>
          <t>1,1,1,2-Tetrafluoroethane</t>
        </is>
      </c>
      <c r="B3767">
        <v>1.2613578781092723e-06</v>
      </c>
      <c r="D3767" t="inlineStr">
        <is>
          <t>kilogram</t>
        </is>
      </c>
      <c r="E3767" t="inlineStr">
        <is>
          <t>air</t>
        </is>
      </c>
      <c r="F3767" t="inlineStr">
        <is>
          <t>biosphere</t>
        </is>
      </c>
      <c r="I3767">
        <v>0</v>
      </c>
    </row>
    <row r="3768">
      <c r="A3768" t="inlineStr">
        <is>
          <t>Benzene</t>
        </is>
      </c>
      <c r="B3768">
        <v>1.3044594962368293e-06</v>
      </c>
      <c r="D3768" t="inlineStr">
        <is>
          <t>kilogram</t>
        </is>
      </c>
      <c r="E3768" t="inlineStr">
        <is>
          <t>air::urban air close to ground</t>
        </is>
      </c>
      <c r="F3768" t="inlineStr">
        <is>
          <t>biosphere</t>
        </is>
      </c>
      <c r="I3768">
        <v>0</v>
      </c>
    </row>
    <row r="3769">
      <c r="A3769" t="inlineStr">
        <is>
          <t>fuel tank assembly, compressed natural gas, 200 bar, carculator passenger car 2020</t>
        </is>
      </c>
      <c r="B3769">
        <v>0.00015135786421955095</v>
      </c>
      <c r="C3769" t="inlineStr">
        <is>
          <t>RER</t>
        </is>
      </c>
      <c r="D3769" t="inlineStr">
        <is>
          <t>kilogram</t>
        </is>
      </c>
      <c r="F3769" t="inlineStr">
        <is>
          <t>technosphere</t>
        </is>
      </c>
      <c r="G3769" t="inlineStr">
        <is>
          <t>fuel tank, compressed natural gas, 200 bar</t>
        </is>
      </c>
      <c r="H3769" t="inlineStr">
        <is>
          <t> Energy-use allocation: 89.99697875976562 * 4.999999873689376e-06 / 2.9729864698574997 MJ per kilometer.</t>
        </is>
      </c>
      <c r="I3769">
        <v>0</v>
      </c>
    </row>
    <row r="3770">
      <c r="A3770" t="inlineStr">
        <is>
          <t>market for internal combustion engine, passenger car</t>
        </is>
      </c>
      <c r="B3770">
        <v>0.00041409702677681513</v>
      </c>
      <c r="C3770" t="inlineStr">
        <is>
          <t>GLO</t>
        </is>
      </c>
      <c r="D3770" t="inlineStr">
        <is>
          <t>kilogram</t>
        </is>
      </c>
      <c r="F3770" t="inlineStr">
        <is>
          <t>technosphere</t>
        </is>
      </c>
      <c r="G3770" t="inlineStr">
        <is>
          <t>internal combustion engine, passenger car</t>
        </is>
      </c>
      <c r="H3770" t="inlineStr">
        <is>
          <t> Energy-use allocation: 246.2209777832031 * 4.999999873689376e-06 / 2.9729864698574997 MJ per kilometer.</t>
        </is>
      </c>
      <c r="I3770">
        <v>0</v>
      </c>
    </row>
    <row r="3771">
      <c r="A3771" t="inlineStr">
        <is>
          <t>market for waste plastic, industrial electronics</t>
        </is>
      </c>
      <c r="B3771">
        <v>-0.00015135786421955095</v>
      </c>
      <c r="C3771" t="inlineStr">
        <is>
          <t>CH</t>
        </is>
      </c>
      <c r="D3771" t="inlineStr">
        <is>
          <t>kilogram</t>
        </is>
      </c>
      <c r="F3771" t="inlineStr">
        <is>
          <t>technosphere</t>
        </is>
      </c>
      <c r="G3771" t="inlineStr">
        <is>
          <t>waste plastic, industrial electronics</t>
        </is>
      </c>
      <c r="H3771" t="inlineStr">
        <is>
          <t> Energy-use allocation: -89.99697875976562 * 4.999999873689376e-06 / 2.9729864698574997 MJ per kilometer.</t>
        </is>
      </c>
      <c r="I3771">
        <v>0</v>
      </c>
    </row>
    <row r="3772">
      <c r="A3772" t="inlineStr">
        <is>
          <t>Carbon dioxide, fossil</t>
        </is>
      </c>
      <c r="B3772">
        <v>0.060000000000000005</v>
      </c>
      <c r="D3772" t="inlineStr">
        <is>
          <t>kilogram</t>
        </is>
      </c>
      <c r="E3772" t="inlineStr">
        <is>
          <t>air</t>
        </is>
      </c>
      <c r="F3772" t="inlineStr">
        <is>
          <t>biosphere</t>
        </is>
      </c>
      <c r="H3772" t="inlineStr">
        <is>
          <t>Reference fuel full-oxidation CO2; premise reclassifies fossil/biogenic emissions with its regional blend. Other carbon pollutants remain model defaults (not an elemental closure).</t>
        </is>
      </c>
      <c r="I3772">
        <v>0</v>
      </c>
    </row>
    <row r="3773"/>
    <row r="3774">
      <c r="A3774" t="inlineStr">
        <is>
          <t>Activity</t>
        </is>
      </c>
      <c r="B3774" t="inlineStr">
        <is>
          <t>compressed gas, burned in dedicated coach</t>
        </is>
      </c>
    </row>
    <row r="3775">
      <c r="A3775" t="inlineStr">
        <is>
          <t>comment</t>
        </is>
      </c>
      <c r="B3775" t="inlineStr">
        <is>
          <t>Produces consumption of 1 MJ of purchased energy. Representative powertrain carrier: gas. energy-specific equipment; excludes chassis, body, roads and whole-vehicle maintenance. Source transport, passenger bus, compressed gas, 13m single deck coach bus, EURO-VI [RER]; 0.561004272608964 purchased MJ per person kilometer. All retained exchanges divided by this energy; lifetime, occupancy/payload and replacement allocation are carried by source production links. Baseline source specifications: Combustion engine power: 299 [kW]. Power share from combustion engine: 100 [%]. Km over lifetime: 700000 [km]. Yearly mileage: 50000 [km/year]. Daily distance driven: 511 [km]. Daily operating time: 9 [hours]. Tank-to-wheel efficiency: 18 [%]. Tank-to-wheel energy consumption: 11986 [kj/km]. Fuel tank capacity: 1701 [kWh]. Maximum passenger capacity: 55 [unit]. Number of passengers onboard: 21 [unit]. Curb mass (excl. driver and cargo): 13596 [kg]. Driving mass (incl. driver and cargo): 15528 [kg].</t>
        </is>
      </c>
    </row>
    <row r="3776">
      <c r="A3776" t="inlineStr">
        <is>
          <t>description</t>
        </is>
      </c>
      <c r="B377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777">
      <c r="A3777" t="inlineStr">
        <is>
          <t>location</t>
        </is>
      </c>
      <c r="B3777" t="inlineStr">
        <is>
          <t>CH</t>
        </is>
      </c>
    </row>
    <row r="3778">
      <c r="A3778" t="inlineStr">
        <is>
          <t>production amount</t>
        </is>
      </c>
      <c r="B3778">
        <v>1</v>
      </c>
    </row>
    <row r="3779">
      <c r="A3779" t="inlineStr">
        <is>
          <t>reference product</t>
        </is>
      </c>
      <c r="B3779" t="inlineStr">
        <is>
          <t>heat</t>
        </is>
      </c>
    </row>
    <row r="3780">
      <c r="A3780" t="inlineStr">
        <is>
          <t>source</t>
        </is>
      </c>
      <c r="B3780" t="inlineStr">
        <is>
          <t>Sacchi, R., Bauer, C., and Cox, B. Does size matter? The influence of size, load factor, range autonomy and application type on the Life Cycle Assessment of current and future trucks. 2021. Environmental Science and Technology.</t>
        </is>
      </c>
    </row>
    <row r="3781">
      <c r="A3781" t="inlineStr">
        <is>
          <t>type</t>
        </is>
      </c>
      <c r="B3781" t="inlineStr">
        <is>
          <t>process</t>
        </is>
      </c>
    </row>
    <row r="3782">
      <c r="A3782" t="inlineStr">
        <is>
          <t>unit</t>
        </is>
      </c>
      <c r="B3782" t="inlineStr">
        <is>
          <t>megajoule</t>
        </is>
      </c>
    </row>
    <row r="3783">
      <c r="A3783" t="inlineStr">
        <is>
          <t>energy use source</t>
        </is>
      </c>
      <c r="B3783" t="inlineStr">
        <is>
          <t>{"source": ["transport, passenger bus, compressed gas, 13m single deck coach bus, EURO-VI", "transport, passenger bus, EURO-VI", "RER", "person kilometer"], "source unit": "person kilometer", "purchased MJ per source service": 0.5610042726089636, "boundary": "energy-specific equipment; excludes chassis, body, roads and whole-vehicle maintenance", "retained equipment": [{"supplier": ["fuel tank assembly, compressed natural gas, 200 bar", "fuel tank, compressed natural gas, 200 bar", "RER", "kilogram"], "amount per vehicle": 231.99396, "vehicle per source service": 6.802721088435375e-08, "replacement correction factor": 1.0, "amount per MJ": 2.813151844177981e-05}, {"supplier": ["exhaust system, for lorry", "exhaust system, for lorry", "RER", "kilogram"], "amount per vehicle": 118, "vehicle per source service": 6.802721088435375e-08, "replacement correction factor": 1.0, "amount per MJ": 1.4308644829072351e-05}, {"supplier": ["gearbox, for lorry", "gearbox, for lorry", "RER", "kilogram"], "amount per vehicle": 157.6079986953735, "vehicle per source service": 6.802721088435375e-08, "replacement correction factor": 1.0, "amount per MJ": 1.9111498945364388e-05}, {"supplier": ["internal combustion engine, for lorry", "internal combustion engine, for lorry", "RER", "kilogram"], "amount per vehicle": 1059.173869289659, "vehicle per source service": 6.802721088435375e-08, "replacement correction factor": 1.0, "amount per MJ": 0.00012843510769406809}, {"supplier": ["power electronics, for lorry", "power electronics, for lorry", "RER", "kilogram"], "amount per vehicle": 220, "vehicle per source service": 6.802721088435375e-08, "replacement correction factor": 1.0, "amount per MJ": 2.6677134427084043e-05}, {"supplier": ["retarder, for lorry", "retarder, for lorry", "RER", "kilogram"], "amount per vehicle": 52.53599956512451, "vehicle per source service": 6.802721088435375e-08, "replacement correction factor": 1.0, "amount per MJ": 6.370499648454798e-06}, {"supplier": ["transmission, for lorry", "transmission, for lorry", "RER", "kilogram"], "amount per vehicle": 227.6559981155395, "vehicle per source service": 6.802721088435375e-08, "replacement correction factor": 1.0, "amount per MJ": 2.760549847663745e-05}], "excluded": [{"supplier": ["Glider lightweighting", "Glider lightweighting", "GLO", "kilogram"], "amount per vehicle": 75.83729893520649, "vehicle per source service": 6.802721088435375e-08}, {"supplier": ["assembly operation, for lorry", "assembly operation, for lorry", "RER", "kilogram"], "amount per vehicle": 13596, "vehicle per source service": 6.802721088435375e-08}, {"supplier": ["frame, blanks and saddle, for lorry", "frame, blanks and saddle, for lorry", "RER", "kilogram"], "amount per vehicle": 7546, "vehicle per source service": 6.802721088435375e-08}, {"supplier": ["maintenance, bus", "maintenance, bus", "CH", "unit"], "amount per vehicle": 1, "vehicle per source service": 6.802721088435375e-08}, {"supplier": ["other components, for hybrid electric lorry", "other components, for hybrid electric lorry", "RER", "kilogram"], "amount per vehicle": 1033, "vehicle per source service": 6.802721088435375e-08}, {"supplier": ["suspension, for lorry", "suspension, for lorry", "RER", "kilogram"], "amount per vehicle": 2123, "vehicle per source service": 6.802721088435375e-08}, {"supplier": ["tires and wheels, for lorry", "tires and wheels, for lorry", "RER", "kilogram"], "amount per vehicle": 694, "vehicle per source service": 6.802721088435375e-08}, {"supplier": ["treatment of used bus", "used bus", "CH", "unit"], "amount per vehicle": -1, "vehicle per source service": 6.802721088435375e-08}, {"supplier": "market for road", "amount per source service": 0.0003970979434143198}, {"supplier": "market for road maintenance", "amount per source service": 6.142857142857142e-05}], "alternative fuel recipe retained": false}</t>
        </is>
      </c>
    </row>
    <row r="3784">
      <c r="A3784" t="inlineStr">
        <is>
          <t>Exchanges</t>
        </is>
      </c>
    </row>
    <row r="3785">
      <c r="A3785" t="inlineStr">
        <is>
          <t>name</t>
        </is>
      </c>
      <c r="B3785" t="inlineStr">
        <is>
          <t>amount</t>
        </is>
      </c>
      <c r="C3785" t="inlineStr">
        <is>
          <t>location</t>
        </is>
      </c>
      <c r="D3785" t="inlineStr">
        <is>
          <t>unit</t>
        </is>
      </c>
      <c r="E3785" t="inlineStr">
        <is>
          <t>categories</t>
        </is>
      </c>
      <c r="F3785" t="inlineStr">
        <is>
          <t>type</t>
        </is>
      </c>
      <c r="G3785" t="inlineStr">
        <is>
          <t>reference product</t>
        </is>
      </c>
      <c r="H3785" t="inlineStr">
        <is>
          <t>comment</t>
        </is>
      </c>
      <c r="I3785" t="inlineStr">
        <is>
          <t>uncertainty type</t>
        </is>
      </c>
    </row>
    <row r="3786">
      <c r="A3786" t="inlineStr">
        <is>
          <t>compressed gas, burned in dedicated coach</t>
        </is>
      </c>
      <c r="B3786">
        <v>1.0</v>
      </c>
      <c r="C3786" t="inlineStr">
        <is>
          <t>CH</t>
        </is>
      </c>
      <c r="D3786" t="inlineStr">
        <is>
          <t>megajoule</t>
        </is>
      </c>
      <c r="F3786" t="inlineStr">
        <is>
          <t>production</t>
        </is>
      </c>
      <c r="G3786" t="inlineStr">
        <is>
          <t>heat</t>
        </is>
      </c>
      <c r="I3786">
        <v>0</v>
      </c>
    </row>
    <row r="3787">
      <c r="A3787" t="inlineStr">
        <is>
          <t>market for natural gas, medium pressure, vehicle grade</t>
        </is>
      </c>
      <c r="B3787">
        <v>0.02150537634408602</v>
      </c>
      <c r="C3787" t="inlineStr">
        <is>
          <t>GLO</t>
        </is>
      </c>
      <c r="D3787" t="inlineStr">
        <is>
          <t>kilogram</t>
        </is>
      </c>
      <c r="F3787" t="inlineStr">
        <is>
          <t>technosphere</t>
        </is>
      </c>
      <c r="G3787" t="inlineStr">
        <is>
          <t>natural gas, medium pressure, vehicle grade</t>
        </is>
      </c>
      <c r="I3787">
        <v>0</v>
      </c>
    </row>
    <row r="3788">
      <c r="A3788" t="inlineStr">
        <is>
          <t>Acetaldehyde</t>
        </is>
      </c>
      <c r="B3788">
        <v>1.9645170185492734e-08</v>
      </c>
      <c r="D3788" t="inlineStr">
        <is>
          <t>kilogram</t>
        </is>
      </c>
      <c r="E3788" t="inlineStr">
        <is>
          <t>air::urban air close to ground</t>
        </is>
      </c>
      <c r="F3788" t="inlineStr">
        <is>
          <t>biosphere</t>
        </is>
      </c>
      <c r="I3788">
        <v>0</v>
      </c>
    </row>
    <row r="3789">
      <c r="A3789" t="inlineStr">
        <is>
          <t>Acetaldehyde</t>
        </is>
      </c>
      <c r="B3789">
        <v>9.132997958356246e-08</v>
      </c>
      <c r="D3789" t="inlineStr">
        <is>
          <t>kilogram</t>
        </is>
      </c>
      <c r="E3789" t="inlineStr">
        <is>
          <t>air::low population density, long-term</t>
        </is>
      </c>
      <c r="F3789" t="inlineStr">
        <is>
          <t>biosphere</t>
        </is>
      </c>
      <c r="I3789">
        <v>0</v>
      </c>
    </row>
    <row r="3790">
      <c r="A3790" t="inlineStr">
        <is>
          <t>Acrolein</t>
        </is>
      </c>
      <c r="B3790">
        <v>3.5372880495165346e-08</v>
      </c>
      <c r="D3790" t="inlineStr">
        <is>
          <t>kilogram</t>
        </is>
      </c>
      <c r="E3790" t="inlineStr">
        <is>
          <t>air::low population density, long-term</t>
        </is>
      </c>
      <c r="F3790" t="inlineStr">
        <is>
          <t>biosphere</t>
        </is>
      </c>
      <c r="I3790">
        <v>0</v>
      </c>
    </row>
    <row r="3791">
      <c r="A3791" t="inlineStr">
        <is>
          <t>Acrolein</t>
        </is>
      </c>
      <c r="B3791">
        <v>7.60874206309018e-09</v>
      </c>
      <c r="D3791" t="inlineStr">
        <is>
          <t>kilogram</t>
        </is>
      </c>
      <c r="E3791" t="inlineStr">
        <is>
          <t>air::urban air close to ground</t>
        </is>
      </c>
      <c r="F3791" t="inlineStr">
        <is>
          <t>biosphere</t>
        </is>
      </c>
      <c r="I3791">
        <v>0</v>
      </c>
    </row>
    <row r="3792">
      <c r="A3792" t="inlineStr">
        <is>
          <t>Ammonia</t>
        </is>
      </c>
      <c r="B3792">
        <v>8.843428939294029e-07</v>
      </c>
      <c r="D3792" t="inlineStr">
        <is>
          <t>kilogram</t>
        </is>
      </c>
      <c r="E3792" t="inlineStr">
        <is>
          <t>air::low population density, long-term</t>
        </is>
      </c>
      <c r="F3792" t="inlineStr">
        <is>
          <t>biosphere</t>
        </is>
      </c>
      <c r="I3792">
        <v>0</v>
      </c>
    </row>
    <row r="3793">
      <c r="A3793" t="inlineStr">
        <is>
          <t>Ammonia</t>
        </is>
      </c>
      <c r="B3793">
        <v>1.9022304321965554e-07</v>
      </c>
      <c r="D3793" t="inlineStr">
        <is>
          <t>kilogram</t>
        </is>
      </c>
      <c r="E3793" t="inlineStr">
        <is>
          <t>air::urban air close to ground</t>
        </is>
      </c>
      <c r="F3793" t="inlineStr">
        <is>
          <t>biosphere</t>
        </is>
      </c>
      <c r="I3793">
        <v>0</v>
      </c>
    </row>
    <row r="3794">
      <c r="A3794" t="inlineStr">
        <is>
          <t>Benzaldehyde</t>
        </is>
      </c>
      <c r="B3794">
        <v>2.7379009196822888e-08</v>
      </c>
      <c r="D3794" t="inlineStr">
        <is>
          <t>kilogram</t>
        </is>
      </c>
      <c r="E3794" t="inlineStr">
        <is>
          <t>air::low population density, long-term</t>
        </is>
      </c>
      <c r="F3794" t="inlineStr">
        <is>
          <t>biosphere</t>
        </is>
      </c>
      <c r="I3794">
        <v>0</v>
      </c>
    </row>
    <row r="3795">
      <c r="A3795" t="inlineStr">
        <is>
          <t>Benzaldehyde</t>
        </is>
      </c>
      <c r="B3795">
        <v>5.889252331318389e-09</v>
      </c>
      <c r="D3795" t="inlineStr">
        <is>
          <t>kilogram</t>
        </is>
      </c>
      <c r="E3795" t="inlineStr">
        <is>
          <t>air::urban air close to ground</t>
        </is>
      </c>
      <c r="F3795" t="inlineStr">
        <is>
          <t>biosphere</t>
        </is>
      </c>
      <c r="I3795">
        <v>0</v>
      </c>
    </row>
    <row r="3796">
      <c r="A3796" t="inlineStr">
        <is>
          <t>Butane</t>
        </is>
      </c>
      <c r="B3796">
        <v>6.448086494144221e-10</v>
      </c>
      <c r="D3796" t="inlineStr">
        <is>
          <t>kilogram</t>
        </is>
      </c>
      <c r="E3796" t="inlineStr">
        <is>
          <t>air::urban air close to ground</t>
        </is>
      </c>
      <c r="F3796" t="inlineStr">
        <is>
          <t>biosphere</t>
        </is>
      </c>
      <c r="I3796">
        <v>0</v>
      </c>
    </row>
    <row r="3797">
      <c r="A3797" t="inlineStr">
        <is>
          <t>Butane</t>
        </is>
      </c>
      <c r="B3797">
        <v>2.997701736878419e-09</v>
      </c>
      <c r="D3797" t="inlineStr">
        <is>
          <t>kilogram</t>
        </is>
      </c>
      <c r="E3797" t="inlineStr">
        <is>
          <t>air::low population density, long-term</t>
        </is>
      </c>
      <c r="F3797" t="inlineStr">
        <is>
          <t>biosphere</t>
        </is>
      </c>
      <c r="I3797">
        <v>0</v>
      </c>
    </row>
    <row r="3798">
      <c r="A3798" t="inlineStr">
        <is>
          <t>Carbon dioxide, fossil</t>
        </is>
      </c>
      <c r="B3798">
        <v>0.057404789433510156</v>
      </c>
      <c r="D3798" t="inlineStr">
        <is>
          <t>kilogram</t>
        </is>
      </c>
      <c r="E3798" t="inlineStr">
        <is>
          <t>air::unspecified</t>
        </is>
      </c>
      <c r="F3798" t="inlineStr">
        <is>
          <t>biosphere</t>
        </is>
      </c>
      <c r="I3798">
        <v>0</v>
      </c>
    </row>
    <row r="3799">
      <c r="A3799" t="inlineStr">
        <is>
          <t>Carbon monoxide, fossil</t>
        </is>
      </c>
      <c r="B3799">
        <v>4.230100440177612e-05</v>
      </c>
      <c r="D3799" t="inlineStr">
        <is>
          <t>kilogram</t>
        </is>
      </c>
      <c r="E3799" t="inlineStr">
        <is>
          <t>air::low population density, long-term</t>
        </is>
      </c>
      <c r="F3799" t="inlineStr">
        <is>
          <t>biosphere</t>
        </is>
      </c>
      <c r="I3799">
        <v>0</v>
      </c>
    </row>
    <row r="3800">
      <c r="A3800" t="inlineStr">
        <is>
          <t>Carbon monoxide, fossil</t>
        </is>
      </c>
      <c r="B3800">
        <v>9.098988462269774e-06</v>
      </c>
      <c r="D3800" t="inlineStr">
        <is>
          <t>kilogram</t>
        </is>
      </c>
      <c r="E3800" t="inlineStr">
        <is>
          <t>air::urban air close to ground</t>
        </is>
      </c>
      <c r="F3800" t="inlineStr">
        <is>
          <t>biosphere</t>
        </is>
      </c>
      <c r="I3800">
        <v>0</v>
      </c>
    </row>
    <row r="3801">
      <c r="A3801" t="inlineStr">
        <is>
          <t>Dinitrogen monoxide</t>
        </is>
      </c>
      <c r="B3801">
        <v>1.998467824585612e-06</v>
      </c>
      <c r="D3801" t="inlineStr">
        <is>
          <t>kilogram</t>
        </is>
      </c>
      <c r="E3801" t="inlineStr">
        <is>
          <t>air::low population density, long-term</t>
        </is>
      </c>
      <c r="F3801" t="inlineStr">
        <is>
          <t>biosphere</t>
        </is>
      </c>
      <c r="I3801">
        <v>0</v>
      </c>
    </row>
    <row r="3802">
      <c r="A3802" t="inlineStr">
        <is>
          <t>Dinitrogen monoxide</t>
        </is>
      </c>
      <c r="B3802">
        <v>4.2987243294294816e-07</v>
      </c>
      <c r="D3802" t="inlineStr">
        <is>
          <t>kilogram</t>
        </is>
      </c>
      <c r="E3802" t="inlineStr">
        <is>
          <t>air::urban air close to ground</t>
        </is>
      </c>
      <c r="F3802" t="inlineStr">
        <is>
          <t>biosphere</t>
        </is>
      </c>
      <c r="I3802">
        <v>0</v>
      </c>
    </row>
    <row r="3803">
      <c r="A3803" t="inlineStr">
        <is>
          <t>Ethane</t>
        </is>
      </c>
      <c r="B3803">
        <v>1.289617298828844e-10</v>
      </c>
      <c r="D3803" t="inlineStr">
        <is>
          <t>kilogram</t>
        </is>
      </c>
      <c r="E3803" t="inlineStr">
        <is>
          <t>air::urban air close to ground</t>
        </is>
      </c>
      <c r="F3803" t="inlineStr">
        <is>
          <t>biosphere</t>
        </is>
      </c>
      <c r="I3803">
        <v>0</v>
      </c>
    </row>
    <row r="3804">
      <c r="A3804" t="inlineStr">
        <is>
          <t>Ethane</t>
        </is>
      </c>
      <c r="B3804">
        <v>5.995403473756836e-10</v>
      </c>
      <c r="D3804" t="inlineStr">
        <is>
          <t>kilogram</t>
        </is>
      </c>
      <c r="E3804" t="inlineStr">
        <is>
          <t>air::low population density, long-term</t>
        </is>
      </c>
      <c r="F3804" t="inlineStr">
        <is>
          <t>biosphere</t>
        </is>
      </c>
      <c r="I3804">
        <v>0</v>
      </c>
    </row>
    <row r="3805">
      <c r="A3805" t="inlineStr">
        <is>
          <t>1,1,1,2-Tetrafluoroethane</t>
        </is>
      </c>
      <c r="B3805">
        <v>1.9401552310606577e-06</v>
      </c>
      <c r="D3805" t="inlineStr">
        <is>
          <t>kilogram</t>
        </is>
      </c>
      <c r="E3805" t="inlineStr">
        <is>
          <t>air::unspecified</t>
        </is>
      </c>
      <c r="F3805" t="inlineStr">
        <is>
          <t>biosphere</t>
        </is>
      </c>
      <c r="I3805">
        <v>0</v>
      </c>
    </row>
    <row r="3806">
      <c r="A3806" t="inlineStr">
        <is>
          <t>Formaldehyde</t>
        </is>
      </c>
      <c r="B3806">
        <v>1.6787129726519143e-07</v>
      </c>
      <c r="D3806" t="inlineStr">
        <is>
          <t>kilogram</t>
        </is>
      </c>
      <c r="E3806" t="inlineStr">
        <is>
          <t>air::low population density, long-term</t>
        </is>
      </c>
      <c r="F3806" t="inlineStr">
        <is>
          <t>biosphere</t>
        </is>
      </c>
      <c r="I3806">
        <v>0</v>
      </c>
    </row>
    <row r="3807">
      <c r="A3807" t="inlineStr">
        <is>
          <t>Formaldehyde</t>
        </is>
      </c>
      <c r="B3807">
        <v>3.6109284367207636e-08</v>
      </c>
      <c r="D3807" t="inlineStr">
        <is>
          <t>kilogram</t>
        </is>
      </c>
      <c r="E3807" t="inlineStr">
        <is>
          <t>air::urban air close to ground</t>
        </is>
      </c>
      <c r="F3807" t="inlineStr">
        <is>
          <t>biosphere</t>
        </is>
      </c>
      <c r="I3807">
        <v>0</v>
      </c>
    </row>
    <row r="3808">
      <c r="A3808" t="inlineStr">
        <is>
          <t>Heptane</t>
        </is>
      </c>
      <c r="B3808">
        <v>5.995403473756835e-09</v>
      </c>
      <c r="D3808" t="inlineStr">
        <is>
          <t>kilogram</t>
        </is>
      </c>
      <c r="E3808" t="inlineStr">
        <is>
          <t>air::low population density, long-term</t>
        </is>
      </c>
      <c r="F3808" t="inlineStr">
        <is>
          <t>biosphere</t>
        </is>
      </c>
      <c r="I3808">
        <v>0</v>
      </c>
    </row>
    <row r="3809">
      <c r="A3809" t="inlineStr">
        <is>
          <t>Heptane</t>
        </is>
      </c>
      <c r="B3809">
        <v>1.2896172988288443e-09</v>
      </c>
      <c r="D3809" t="inlineStr">
        <is>
          <t>kilogram</t>
        </is>
      </c>
      <c r="E3809" t="inlineStr">
        <is>
          <t>air::urban air close to ground</t>
        </is>
      </c>
      <c r="F3809" t="inlineStr">
        <is>
          <t>biosphere</t>
        </is>
      </c>
      <c r="I3809">
        <v>0</v>
      </c>
    </row>
    <row r="3810">
      <c r="A3810" t="inlineStr">
        <is>
          <t>Hydrocarbons, chlorinated</t>
        </is>
      </c>
      <c r="B3810">
        <v>4.293130550601446e-06</v>
      </c>
      <c r="D3810" t="inlineStr">
        <is>
          <t>kilogram</t>
        </is>
      </c>
      <c r="E3810" t="inlineStr">
        <is>
          <t>air::urban air close to ground</t>
        </is>
      </c>
      <c r="F3810" t="inlineStr">
        <is>
          <t>biosphere</t>
        </is>
      </c>
      <c r="I3810">
        <v>0</v>
      </c>
    </row>
    <row r="3811">
      <c r="A3811" t="inlineStr">
        <is>
          <t>Hydrocarbons, chlorinated</t>
        </is>
      </c>
      <c r="B3811">
        <v>1.9958672886710043e-05</v>
      </c>
      <c r="D3811" t="inlineStr">
        <is>
          <t>kilogram</t>
        </is>
      </c>
      <c r="E3811" t="inlineStr">
        <is>
          <t>air::low population density, long-term</t>
        </is>
      </c>
      <c r="F3811" t="inlineStr">
        <is>
          <t>biosphere</t>
        </is>
      </c>
      <c r="I3811">
        <v>0</v>
      </c>
    </row>
    <row r="3812">
      <c r="A3812" t="inlineStr">
        <is>
          <t>Methane, fossil</t>
        </is>
      </c>
      <c r="B3812">
        <v>3.9496801692328545e-06</v>
      </c>
      <c r="D3812" t="inlineStr">
        <is>
          <t>kilogram</t>
        </is>
      </c>
      <c r="E3812" t="inlineStr">
        <is>
          <t>air::urban air close to ground</t>
        </is>
      </c>
      <c r="F3812" t="inlineStr">
        <is>
          <t>biosphere</t>
        </is>
      </c>
      <c r="I3812">
        <v>0</v>
      </c>
    </row>
    <row r="3813">
      <c r="A3813" t="inlineStr">
        <is>
          <t>Methane, fossil</t>
        </is>
      </c>
      <c r="B3813">
        <v>1.836197934716902e-05</v>
      </c>
      <c r="D3813" t="inlineStr">
        <is>
          <t>kilogram</t>
        </is>
      </c>
      <c r="E3813" t="inlineStr">
        <is>
          <t>air::low population density, long-term</t>
        </is>
      </c>
      <c r="F3813" t="inlineStr">
        <is>
          <t>biosphere</t>
        </is>
      </c>
      <c r="I3813">
        <v>0</v>
      </c>
    </row>
    <row r="3814">
      <c r="A3814" t="inlineStr">
        <is>
          <t>Methane, fossil</t>
        </is>
      </c>
      <c r="B3814">
        <v>8.567879426879305e-05</v>
      </c>
      <c r="D3814" t="inlineStr">
        <is>
          <t>kilogram</t>
        </is>
      </c>
      <c r="E3814" t="inlineStr">
        <is>
          <t>air::unspecified</t>
        </is>
      </c>
      <c r="F3814" t="inlineStr">
        <is>
          <t>biosphere</t>
        </is>
      </c>
      <c r="I3814">
        <v>0</v>
      </c>
    </row>
    <row r="3815">
      <c r="A3815" t="inlineStr">
        <is>
          <t>NMVOC, non-methane volatile organic compounds</t>
        </is>
      </c>
      <c r="B3815">
        <v>1.2981120494261394e-06</v>
      </c>
      <c r="D3815" t="inlineStr">
        <is>
          <t>kilogram</t>
        </is>
      </c>
      <c r="E3815" t="inlineStr">
        <is>
          <t>air::low population density, long-term</t>
        </is>
      </c>
      <c r="F3815" t="inlineStr">
        <is>
          <t>biosphere</t>
        </is>
      </c>
      <c r="I3815">
        <v>0</v>
      </c>
    </row>
    <row r="3816">
      <c r="A3816" t="inlineStr">
        <is>
          <t>NMVOC, non-methane volatile organic compounds</t>
        </is>
      </c>
      <c r="B3816">
        <v>2.792252034555915e-07</v>
      </c>
      <c r="D3816" t="inlineStr">
        <is>
          <t>kilogram</t>
        </is>
      </c>
      <c r="E3816" t="inlineStr">
        <is>
          <t>air::urban air close to ground</t>
        </is>
      </c>
      <c r="F3816" t="inlineStr">
        <is>
          <t>biosphere</t>
        </is>
      </c>
      <c r="I3816">
        <v>0</v>
      </c>
    </row>
    <row r="3817">
      <c r="A3817" t="inlineStr">
        <is>
          <t>Nitrogen oxides</t>
        </is>
      </c>
      <c r="B3817">
        <v>7.692757340486473e-05</v>
      </c>
      <c r="D3817" t="inlineStr">
        <is>
          <t>kilogram</t>
        </is>
      </c>
      <c r="E3817" t="inlineStr">
        <is>
          <t>air::low population density, long-term</t>
        </is>
      </c>
      <c r="F3817" t="inlineStr">
        <is>
          <t>biosphere</t>
        </is>
      </c>
      <c r="I3817">
        <v>0</v>
      </c>
    </row>
    <row r="3818">
      <c r="A3818" t="inlineStr">
        <is>
          <t>Nitrogen oxides</t>
        </is>
      </c>
      <c r="B3818">
        <v>1.654719817508365e-05</v>
      </c>
      <c r="D3818" t="inlineStr">
        <is>
          <t>kilogram</t>
        </is>
      </c>
      <c r="E3818" t="inlineStr">
        <is>
          <t>air::urban air close to ground</t>
        </is>
      </c>
      <c r="F3818" t="inlineStr">
        <is>
          <t>biosphere</t>
        </is>
      </c>
      <c r="I3818">
        <v>0</v>
      </c>
    </row>
    <row r="3819">
      <c r="A3819" t="inlineStr">
        <is>
          <t>Particulate Matter, &lt; 2.5 um</t>
        </is>
      </c>
      <c r="B3819">
        <v>7.099695341839355e-08</v>
      </c>
      <c r="D3819" t="inlineStr">
        <is>
          <t>kilogram</t>
        </is>
      </c>
      <c r="E3819" t="inlineStr">
        <is>
          <t>air::urban air close to ground</t>
        </is>
      </c>
      <c r="F3819" t="inlineStr">
        <is>
          <t>biosphere</t>
        </is>
      </c>
      <c r="I3819">
        <v>0</v>
      </c>
    </row>
    <row r="3820">
      <c r="A3820" t="inlineStr">
        <is>
          <t>Particulate Matter, &lt; 2.5 um</t>
        </is>
      </c>
      <c r="B3820">
        <v>3.300633308326001e-07</v>
      </c>
      <c r="D3820" t="inlineStr">
        <is>
          <t>kilogram</t>
        </is>
      </c>
      <c r="E3820" t="inlineStr">
        <is>
          <t>air::low population density, long-term</t>
        </is>
      </c>
      <c r="F3820" t="inlineStr">
        <is>
          <t>biosphere</t>
        </is>
      </c>
      <c r="I3820">
        <v>0</v>
      </c>
    </row>
    <row r="3821">
      <c r="A3821" t="inlineStr">
        <is>
          <t>Pentane</t>
        </is>
      </c>
      <c r="B3821">
        <v>1.1990806947513671e-09</v>
      </c>
      <c r="D3821" t="inlineStr">
        <is>
          <t>kilogram</t>
        </is>
      </c>
      <c r="E3821" t="inlineStr">
        <is>
          <t>air::low population density, long-term</t>
        </is>
      </c>
      <c r="F3821" t="inlineStr">
        <is>
          <t>biosphere</t>
        </is>
      </c>
      <c r="I3821">
        <v>0</v>
      </c>
    </row>
    <row r="3822">
      <c r="A3822" t="inlineStr">
        <is>
          <t>Pentane</t>
        </is>
      </c>
      <c r="B3822">
        <v>2.5792345976576875e-10</v>
      </c>
      <c r="D3822" t="inlineStr">
        <is>
          <t>kilogram</t>
        </is>
      </c>
      <c r="E3822" t="inlineStr">
        <is>
          <t>air::urban air close to ground</t>
        </is>
      </c>
      <c r="F3822" t="inlineStr">
        <is>
          <t>biosphere</t>
        </is>
      </c>
      <c r="I3822">
        <v>0</v>
      </c>
    </row>
    <row r="3823">
      <c r="A3823" t="inlineStr">
        <is>
          <t>Propane</t>
        </is>
      </c>
      <c r="B3823">
        <v>4.2987243294294815e-10</v>
      </c>
      <c r="D3823" t="inlineStr">
        <is>
          <t>kilogram</t>
        </is>
      </c>
      <c r="E3823" t="inlineStr">
        <is>
          <t>air::urban air close to ground</t>
        </is>
      </c>
      <c r="F3823" t="inlineStr">
        <is>
          <t>biosphere</t>
        </is>
      </c>
      <c r="I3823">
        <v>0</v>
      </c>
    </row>
    <row r="3824">
      <c r="A3824" t="inlineStr">
        <is>
          <t>Propane</t>
        </is>
      </c>
      <c r="B3824">
        <v>1.998467824585612e-09</v>
      </c>
      <c r="D3824" t="inlineStr">
        <is>
          <t>kilogram</t>
        </is>
      </c>
      <c r="E3824" t="inlineStr">
        <is>
          <t>air::low population density, long-term</t>
        </is>
      </c>
      <c r="F3824" t="inlineStr">
        <is>
          <t>biosphere</t>
        </is>
      </c>
      <c r="I3824">
        <v>0</v>
      </c>
    </row>
    <row r="3825">
      <c r="A3825" t="inlineStr">
        <is>
          <t>Styrene</t>
        </is>
      </c>
      <c r="B3825">
        <v>1.1191419817679426e-08</v>
      </c>
      <c r="D3825" t="inlineStr">
        <is>
          <t>kilogram</t>
        </is>
      </c>
      <c r="E3825" t="inlineStr">
        <is>
          <t>air::low population density, long-term</t>
        </is>
      </c>
      <c r="F3825" t="inlineStr">
        <is>
          <t>biosphere</t>
        </is>
      </c>
      <c r="I3825">
        <v>0</v>
      </c>
    </row>
    <row r="3826">
      <c r="A3826" t="inlineStr">
        <is>
          <t>Styrene</t>
        </is>
      </c>
      <c r="B3826">
        <v>2.4072856244805096e-09</v>
      </c>
      <c r="D3826" t="inlineStr">
        <is>
          <t>kilogram</t>
        </is>
      </c>
      <c r="E3826" t="inlineStr">
        <is>
          <t>air::urban air close to ground</t>
        </is>
      </c>
      <c r="F3826" t="inlineStr">
        <is>
          <t>biosphere</t>
        </is>
      </c>
      <c r="I3826">
        <v>0</v>
      </c>
    </row>
    <row r="3827">
      <c r="A3827" t="inlineStr">
        <is>
          <t>Toluene</t>
        </is>
      </c>
      <c r="B3827">
        <v>1.9984678245856117e-10</v>
      </c>
      <c r="D3827" t="inlineStr">
        <is>
          <t>kilogram</t>
        </is>
      </c>
      <c r="E3827" t="inlineStr">
        <is>
          <t>air::low population density, long-term</t>
        </is>
      </c>
      <c r="F3827" t="inlineStr">
        <is>
          <t>biosphere</t>
        </is>
      </c>
      <c r="I3827">
        <v>0</v>
      </c>
    </row>
    <row r="3828">
      <c r="A3828" t="inlineStr">
        <is>
          <t>Toluene</t>
        </is>
      </c>
      <c r="B3828">
        <v>4.298724329429479e-11</v>
      </c>
      <c r="D3828" t="inlineStr">
        <is>
          <t>kilogram</t>
        </is>
      </c>
      <c r="E3828" t="inlineStr">
        <is>
          <t>air::urban air close to ground</t>
        </is>
      </c>
      <c r="F3828" t="inlineStr">
        <is>
          <t>biosphere</t>
        </is>
      </c>
      <c r="I3828">
        <v>0</v>
      </c>
    </row>
    <row r="3829">
      <c r="A3829" t="inlineStr">
        <is>
          <t>m-Xylene</t>
        </is>
      </c>
      <c r="B3829">
        <v>4.2127498428408915e-09</v>
      </c>
      <c r="D3829" t="inlineStr">
        <is>
          <t>kilogram</t>
        </is>
      </c>
      <c r="E3829" t="inlineStr">
        <is>
          <t>air::urban air close to ground</t>
        </is>
      </c>
      <c r="F3829" t="inlineStr">
        <is>
          <t>biosphere</t>
        </is>
      </c>
      <c r="I3829">
        <v>0</v>
      </c>
    </row>
    <row r="3830">
      <c r="A3830" t="inlineStr">
        <is>
          <t>m-Xylene</t>
        </is>
      </c>
      <c r="B3830">
        <v>1.9584984680939002e-08</v>
      </c>
      <c r="D3830" t="inlineStr">
        <is>
          <t>kilogram</t>
        </is>
      </c>
      <c r="E3830" t="inlineStr">
        <is>
          <t>air::low population density, long-term</t>
        </is>
      </c>
      <c r="F3830" t="inlineStr">
        <is>
          <t>biosphere</t>
        </is>
      </c>
      <c r="I3830">
        <v>0</v>
      </c>
    </row>
    <row r="3831">
      <c r="A3831" t="inlineStr">
        <is>
          <t>o-Xylene</t>
        </is>
      </c>
      <c r="B3831">
        <v>7.993871298342448e-09</v>
      </c>
      <c r="D3831" t="inlineStr">
        <is>
          <t>kilogram</t>
        </is>
      </c>
      <c r="E3831" t="inlineStr">
        <is>
          <t>air::low population density, long-term</t>
        </is>
      </c>
      <c r="F3831" t="inlineStr">
        <is>
          <t>biosphere</t>
        </is>
      </c>
      <c r="I3831">
        <v>0</v>
      </c>
    </row>
    <row r="3832">
      <c r="A3832" t="inlineStr">
        <is>
          <t>o-Xylene</t>
        </is>
      </c>
      <c r="B3832">
        <v>1.7194897317717926e-09</v>
      </c>
      <c r="D3832" t="inlineStr">
        <is>
          <t>kilogram</t>
        </is>
      </c>
      <c r="E3832" t="inlineStr">
        <is>
          <t>air::urban air close to ground</t>
        </is>
      </c>
      <c r="F3832" t="inlineStr">
        <is>
          <t>biosphere</t>
        </is>
      </c>
      <c r="I3832">
        <v>0</v>
      </c>
    </row>
    <row r="3833">
      <c r="A3833" t="inlineStr">
        <is>
          <t>fuel tank assembly, compressed natural gas, 200 bar</t>
        </is>
      </c>
      <c r="B3833">
        <v>2.813151844177981e-05</v>
      </c>
      <c r="C3833" t="inlineStr">
        <is>
          <t>RER</t>
        </is>
      </c>
      <c r="D3833" t="inlineStr">
        <is>
          <t>kilogram</t>
        </is>
      </c>
      <c r="F3833" t="inlineStr">
        <is>
          <t>technosphere</t>
        </is>
      </c>
      <c r="G3833" t="inlineStr">
        <is>
          <t>fuel tank, compressed natural gas, 200 bar</t>
        </is>
      </c>
      <c r="H3833" t="inlineStr">
        <is>
          <t> Energy-use allocation: 231.99396 * 6.802721088435375e-08 / 0.5610042726089636 MJ per person kilometer.</t>
        </is>
      </c>
      <c r="I3833">
        <v>0</v>
      </c>
    </row>
    <row r="3834">
      <c r="A3834" t="inlineStr">
        <is>
          <t>exhaust system, for lorry</t>
        </is>
      </c>
      <c r="B3834">
        <v>1.4308644829072351e-05</v>
      </c>
      <c r="C3834" t="inlineStr">
        <is>
          <t>RER</t>
        </is>
      </c>
      <c r="D3834" t="inlineStr">
        <is>
          <t>kilogram</t>
        </is>
      </c>
      <c r="F3834" t="inlineStr">
        <is>
          <t>technosphere</t>
        </is>
      </c>
      <c r="G3834" t="inlineStr">
        <is>
          <t>exhaust system, for lorry</t>
        </is>
      </c>
      <c r="H3834" t="inlineStr">
        <is>
          <t> Energy-use allocation: 118 * 6.802721088435375e-08 / 0.5610042726089636 MJ per person kilometer.</t>
        </is>
      </c>
      <c r="I3834">
        <v>0</v>
      </c>
    </row>
    <row r="3835">
      <c r="A3835" t="inlineStr">
        <is>
          <t>gearbox, for lorry</t>
        </is>
      </c>
      <c r="B3835">
        <v>1.9111498945364388e-05</v>
      </c>
      <c r="C3835" t="inlineStr">
        <is>
          <t>RER</t>
        </is>
      </c>
      <c r="D3835" t="inlineStr">
        <is>
          <t>kilogram</t>
        </is>
      </c>
      <c r="F3835" t="inlineStr">
        <is>
          <t>technosphere</t>
        </is>
      </c>
      <c r="G3835" t="inlineStr">
        <is>
          <t>gearbox, for lorry</t>
        </is>
      </c>
      <c r="H3835" t="inlineStr">
        <is>
          <t> Energy-use allocation: 157.6079986953735 * 6.802721088435375e-08 / 0.5610042726089636 MJ per person kilometer.</t>
        </is>
      </c>
      <c r="I3835">
        <v>0</v>
      </c>
    </row>
    <row r="3836">
      <c r="A3836" t="inlineStr">
        <is>
          <t>internal combustion engine, for lorry</t>
        </is>
      </c>
      <c r="B3836">
        <v>0.00012843510769406809</v>
      </c>
      <c r="C3836" t="inlineStr">
        <is>
          <t>RER</t>
        </is>
      </c>
      <c r="D3836" t="inlineStr">
        <is>
          <t>kilogram</t>
        </is>
      </c>
      <c r="F3836" t="inlineStr">
        <is>
          <t>technosphere</t>
        </is>
      </c>
      <c r="G3836" t="inlineStr">
        <is>
          <t>internal combustion engine, for lorry</t>
        </is>
      </c>
      <c r="H3836" t="inlineStr">
        <is>
          <t> Energy-use allocation: 1059.173869289659 * 6.802721088435375e-08 / 0.5610042726089636 MJ per person kilometer.</t>
        </is>
      </c>
      <c r="I3836">
        <v>0</v>
      </c>
    </row>
    <row r="3837">
      <c r="A3837" t="inlineStr">
        <is>
          <t>power electronics, for lorry</t>
        </is>
      </c>
      <c r="B3837">
        <v>2.6677134427084043e-05</v>
      </c>
      <c r="C3837" t="inlineStr">
        <is>
          <t>RER</t>
        </is>
      </c>
      <c r="D3837" t="inlineStr">
        <is>
          <t>kilogram</t>
        </is>
      </c>
      <c r="F3837" t="inlineStr">
        <is>
          <t>technosphere</t>
        </is>
      </c>
      <c r="G3837" t="inlineStr">
        <is>
          <t>power electronics, for lorry</t>
        </is>
      </c>
      <c r="H3837" t="inlineStr">
        <is>
          <t> Energy-use allocation: 220 * 6.802721088435375e-08 / 0.5610042726089636 MJ per person kilometer.</t>
        </is>
      </c>
      <c r="I3837">
        <v>0</v>
      </c>
    </row>
    <row r="3838">
      <c r="A3838" t="inlineStr">
        <is>
          <t>retarder, for lorry</t>
        </is>
      </c>
      <c r="B3838">
        <v>6.370499648454798e-06</v>
      </c>
      <c r="C3838" t="inlineStr">
        <is>
          <t>RER</t>
        </is>
      </c>
      <c r="D3838" t="inlineStr">
        <is>
          <t>kilogram</t>
        </is>
      </c>
      <c r="F3838" t="inlineStr">
        <is>
          <t>technosphere</t>
        </is>
      </c>
      <c r="G3838" t="inlineStr">
        <is>
          <t>retarder, for lorry</t>
        </is>
      </c>
      <c r="H3838" t="inlineStr">
        <is>
          <t> Energy-use allocation: 52.53599956512451 * 6.802721088435375e-08 / 0.5610042726089636 MJ per person kilometer.</t>
        </is>
      </c>
      <c r="I3838">
        <v>0</v>
      </c>
    </row>
    <row r="3839">
      <c r="A3839" t="inlineStr">
        <is>
          <t>transmission, for lorry</t>
        </is>
      </c>
      <c r="B3839">
        <v>2.760549847663745e-05</v>
      </c>
      <c r="C3839" t="inlineStr">
        <is>
          <t>RER</t>
        </is>
      </c>
      <c r="D3839" t="inlineStr">
        <is>
          <t>kilogram</t>
        </is>
      </c>
      <c r="F3839" t="inlineStr">
        <is>
          <t>technosphere</t>
        </is>
      </c>
      <c r="G3839" t="inlineStr">
        <is>
          <t>transmission, for lorry</t>
        </is>
      </c>
      <c r="H3839" t="inlineStr">
        <is>
          <t> Energy-use allocation: 227.6559981155395 * 6.802721088435375e-08 / 0.5610042726089636 MJ per person kilometer.</t>
        </is>
      </c>
      <c r="I3839">
        <v>0</v>
      </c>
    </row>
    <row r="3840">
      <c r="A3840" t="inlineStr">
        <is>
          <t>market for refrigerant R134a</t>
        </is>
      </c>
      <c r="B3840">
        <v>2.849602995620341e-06</v>
      </c>
      <c r="C3840" t="inlineStr">
        <is>
          <t>GLO</t>
        </is>
      </c>
      <c r="D3840" t="inlineStr">
        <is>
          <t>kilogram</t>
        </is>
      </c>
      <c r="F3840" t="inlineStr">
        <is>
          <t>technosphere</t>
        </is>
      </c>
      <c r="G3840" t="inlineStr">
        <is>
          <t>refrigerant R134a</t>
        </is>
      </c>
      <c r="I3840">
        <v>0</v>
      </c>
    </row>
    <row r="3841">
      <c r="A3841" t="inlineStr">
        <is>
          <t>treatment of brake wear emissions, lorry</t>
        </is>
      </c>
      <c r="B3841">
        <v>-5.679986583949362e-06</v>
      </c>
      <c r="C3841" t="inlineStr">
        <is>
          <t>RER</t>
        </is>
      </c>
      <c r="D3841" t="inlineStr">
        <is>
          <t>kilogram</t>
        </is>
      </c>
      <c r="F3841" t="inlineStr">
        <is>
          <t>technosphere</t>
        </is>
      </c>
      <c r="G3841" t="inlineStr">
        <is>
          <t>brake wear emissions, lorry</t>
        </is>
      </c>
      <c r="I3841">
        <v>0</v>
      </c>
    </row>
    <row r="3842">
      <c r="A3842" t="inlineStr">
        <is>
          <t>treatment of road wear emissions, lorry</t>
        </is>
      </c>
      <c r="B3842">
        <v>-7.662968823281847e-06</v>
      </c>
      <c r="C3842" t="inlineStr">
        <is>
          <t>RER</t>
        </is>
      </c>
      <c r="D3842" t="inlineStr">
        <is>
          <t>kilogram</t>
        </is>
      </c>
      <c r="F3842" t="inlineStr">
        <is>
          <t>technosphere</t>
        </is>
      </c>
      <c r="G3842" t="inlineStr">
        <is>
          <t>road wear emissions, lorry</t>
        </is>
      </c>
      <c r="I3842">
        <v>0</v>
      </c>
    </row>
    <row r="3843">
      <c r="A3843" t="inlineStr">
        <is>
          <t>treatment of tyre wear emissions, lorry</t>
        </is>
      </c>
      <c r="B3843">
        <v>-6.4453384727989636e-06</v>
      </c>
      <c r="C3843" t="inlineStr">
        <is>
          <t>RER</t>
        </is>
      </c>
      <c r="D3843" t="inlineStr">
        <is>
          <t>kilogram</t>
        </is>
      </c>
      <c r="F3843" t="inlineStr">
        <is>
          <t>technosphere</t>
        </is>
      </c>
      <c r="G3843" t="inlineStr">
        <is>
          <t>tyre wear emissions, lorry</t>
        </is>
      </c>
      <c r="I3843">
        <v>0</v>
      </c>
    </row>
    <row r="3844"/>
    <row r="3845">
      <c r="A3845" t="inlineStr">
        <is>
          <t>Activity</t>
        </is>
      </c>
      <c r="B3845" t="inlineStr">
        <is>
          <t>electricity, used in freight train</t>
        </is>
      </c>
    </row>
    <row r="3846">
      <c r="A3846" t="inlineStr">
        <is>
          <t>location</t>
        </is>
      </c>
      <c r="B3846" t="inlineStr">
        <is>
          <t>CH</t>
        </is>
      </c>
    </row>
    <row r="3847">
      <c r="A3847" t="inlineStr">
        <is>
          <t>production amount</t>
        </is>
      </c>
      <c r="B3847">
        <v>1</v>
      </c>
    </row>
    <row r="3848">
      <c r="A3848" t="inlineStr">
        <is>
          <t>reference product</t>
        </is>
      </c>
      <c r="B3848" t="inlineStr">
        <is>
          <t>electricity, high voltage</t>
        </is>
      </c>
    </row>
    <row r="3849">
      <c r="A3849" t="inlineStr">
        <is>
          <t>type</t>
        </is>
      </c>
      <c r="B3849" t="inlineStr">
        <is>
          <t>process</t>
        </is>
      </c>
    </row>
    <row r="3850">
      <c r="A3850" t="inlineStr">
        <is>
          <t>unit</t>
        </is>
      </c>
      <c r="B3850" t="inlineStr">
        <is>
          <t>megajoule</t>
        </is>
      </c>
    </row>
    <row r="3851">
      <c r="A3851" t="inlineStr">
        <is>
          <t>energy use source</t>
        </is>
      </c>
      <c r="B3851" t="inlineStr">
        <is>
          <t>{"source":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 "vehicle per source service": 7.11e-10, "replacement correction factor": 1.0, "amount per MJ": 1.0214001325676948e-05}, {"supplier": ["market for electric motor, electric passenger car", "electric motor, electric passenger car", "GLO", "kilogram"], "amount per vehicle": 3710, "vehicle per source service": 7.11e-10, "replacement correction factor": 1.0, "amount per MJ": 1.2424244235495565e-05}, {"supplier": ["market for converter, for electric passenger car", "converter, for electric passenger car", "GLO", "kilogram"], "amount per vehicle": 10359.999999999989, "vehicle per source service": 7.11e-10, "replacement correction factor": 1.0, "amount per MJ": 3.4694115978364936e-05}], "excluded": [{"supplier": ["market for locomotive", "locomotive", "GLO", "unit"], "amount per vehicle": 1,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52">
      <c r="A3852" t="inlineStr">
        <is>
          <t>comment</t>
        </is>
      </c>
      <c r="B3852" t="inlineStr">
        <is>
          <t>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53">
      <c r="A3853" t="inlineStr">
        <is>
          <t>Exchanges</t>
        </is>
      </c>
    </row>
    <row r="3854">
      <c r="A3854" t="inlineStr">
        <is>
          <t>name</t>
        </is>
      </c>
      <c r="B3854" t="inlineStr">
        <is>
          <t>amount</t>
        </is>
      </c>
      <c r="C3854" t="inlineStr">
        <is>
          <t>location</t>
        </is>
      </c>
      <c r="D3854" t="inlineStr">
        <is>
          <t>unit</t>
        </is>
      </c>
      <c r="E3854" t="inlineStr">
        <is>
          <t>categories</t>
        </is>
      </c>
      <c r="F3854" t="inlineStr">
        <is>
          <t>type</t>
        </is>
      </c>
      <c r="G3854" t="inlineStr">
        <is>
          <t>reference product</t>
        </is>
      </c>
      <c r="H3854" t="inlineStr">
        <is>
          <t>comment</t>
        </is>
      </c>
      <c r="I3854" t="inlineStr">
        <is>
          <t>uncertainty type</t>
        </is>
      </c>
    </row>
    <row r="3855">
      <c r="A3855" t="inlineStr">
        <is>
          <t>electricity, used in freight train</t>
        </is>
      </c>
      <c r="B3855">
        <v>1.0</v>
      </c>
      <c r="C3855" t="inlineStr">
        <is>
          <t>CH</t>
        </is>
      </c>
      <c r="D3855" t="inlineStr">
        <is>
          <t>megajoule</t>
        </is>
      </c>
      <c r="F3855" t="inlineStr">
        <is>
          <t>production</t>
        </is>
      </c>
      <c r="G3855" t="inlineStr">
        <is>
          <t>electricity, high voltage</t>
        </is>
      </c>
      <c r="I3855">
        <v>0</v>
      </c>
    </row>
    <row r="3856">
      <c r="A3856" t="inlineStr">
        <is>
          <t>market group for electricity, high voltage</t>
        </is>
      </c>
      <c r="B3856">
        <v>0.27777777777777773</v>
      </c>
      <c r="C3856" t="inlineStr">
        <is>
          <t>RER</t>
        </is>
      </c>
      <c r="D3856" t="inlineStr">
        <is>
          <t>kilowatt hour</t>
        </is>
      </c>
      <c r="F3856" t="inlineStr">
        <is>
          <t>technosphere</t>
        </is>
      </c>
      <c r="G3856" t="inlineStr">
        <is>
          <t>electricity, high voltage</t>
        </is>
      </c>
      <c r="H3856"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56">
        <v>0</v>
      </c>
    </row>
    <row r="3857">
      <c r="A3857" t="inlineStr">
        <is>
          <t>market for diesel</t>
        </is>
      </c>
      <c r="B3857">
        <v>0.003188710842490739</v>
      </c>
      <c r="C3857" t="inlineStr">
        <is>
          <t>Europe without Switzerland</t>
        </is>
      </c>
      <c r="D3857" t="inlineStr">
        <is>
          <t>kilogram</t>
        </is>
      </c>
      <c r="F3857" t="inlineStr">
        <is>
          <t>technosphere</t>
        </is>
      </c>
      <c r="G3857" t="inlineStr">
        <is>
          <t>diesel</t>
        </is>
      </c>
      <c r="H3857"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57">
        <v>0</v>
      </c>
    </row>
    <row r="3858">
      <c r="A3858" t="inlineStr">
        <is>
          <t>market for transformer, high voltage use</t>
        </is>
      </c>
      <c r="B3858">
        <v>1.0214001325676948e-05</v>
      </c>
      <c r="C3858" t="inlineStr">
        <is>
          <t>GLO</t>
        </is>
      </c>
      <c r="D3858" t="inlineStr">
        <is>
          <t>kilogram</t>
        </is>
      </c>
      <c r="F3858" t="inlineStr">
        <is>
          <t>technosphere</t>
        </is>
      </c>
      <c r="G3858" t="inlineStr">
        <is>
          <t>transformer, high voltage use</t>
        </is>
      </c>
      <c r="H3858"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58">
        <v>0</v>
      </c>
    </row>
    <row r="3859">
      <c r="A3859" t="inlineStr">
        <is>
          <t>market for electric motor, electric passenger car</t>
        </is>
      </c>
      <c r="B3859">
        <v>1.2424244235495565e-05</v>
      </c>
      <c r="C3859" t="inlineStr">
        <is>
          <t>GLO</t>
        </is>
      </c>
      <c r="D3859" t="inlineStr">
        <is>
          <t>kilogram</t>
        </is>
      </c>
      <c r="F3859" t="inlineStr">
        <is>
          <t>technosphere</t>
        </is>
      </c>
      <c r="G3859" t="inlineStr">
        <is>
          <t>electric motor, electric passenger car</t>
        </is>
      </c>
      <c r="H3859" t="inlineStr">
        <is>
          <t>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59">
        <v>0</v>
      </c>
    </row>
    <row r="3860">
      <c r="A3860" t="inlineStr">
        <is>
          <t>market for converter, for electric passenger car</t>
        </is>
      </c>
      <c r="B3860">
        <v>3.4694115978364936e-05</v>
      </c>
      <c r="C3860" t="inlineStr">
        <is>
          <t>GLO</t>
        </is>
      </c>
      <c r="D3860" t="inlineStr">
        <is>
          <t>kilogram</t>
        </is>
      </c>
      <c r="F3860" t="inlineStr">
        <is>
          <t>technosphere</t>
        </is>
      </c>
      <c r="G3860" t="inlineStr">
        <is>
          <t>converter, for electric passenger car</t>
        </is>
      </c>
      <c r="H3860"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60">
        <v>0</v>
      </c>
    </row>
    <row r="3861">
      <c r="A3861" t="inlineStr">
        <is>
          <t>Ammonia</t>
        </is>
      </c>
      <c r="B3861">
        <v>6.377421684981479e-08</v>
      </c>
      <c r="D3861" t="inlineStr">
        <is>
          <t>kilogram</t>
        </is>
      </c>
      <c r="E3861" t="inlineStr">
        <is>
          <t>air</t>
        </is>
      </c>
      <c r="F3861" t="inlineStr">
        <is>
          <t>biosphere</t>
        </is>
      </c>
      <c r="H3861" t="inlineStr">
        <is>
          <t>2.0E-05 kg/kg fuel for diesel locomotives, according to Spielmann et al. (2007)
Spielmann, M., Bauer, C., Dones, R., Institut, P. S., &amp; Tuchschmid, M. (2007). Transport Services. Swiss Centre for Life Cycle Inventories, ecoinvent report No. 14.</t>
        </is>
      </c>
      <c r="I3861">
        <v>0</v>
      </c>
    </row>
    <row r="3862">
      <c r="A3862" t="inlineStr">
        <is>
          <t>Benzene</t>
        </is>
      </c>
      <c r="B3862">
        <v>3.1887108424907397e-07</v>
      </c>
      <c r="D3862" t="inlineStr">
        <is>
          <t>kilogram</t>
        </is>
      </c>
      <c r="E3862" t="inlineStr">
        <is>
          <t>air</t>
        </is>
      </c>
      <c r="F3862" t="inlineStr">
        <is>
          <t>biosphere</t>
        </is>
      </c>
      <c r="H3862" t="inlineStr">
        <is>
          <t>1.0E-04 kg/kg fuel for diesel locomotives, according to Spielmann et al. (2007)
Spielmann, M., Bauer, C., Dones, R., Institut, P. S., &amp; Tuchschmid, M. (2007). Transport Services. Swiss Centre for Life Cycle Inventories, ecoinvent report No. 14.</t>
        </is>
      </c>
      <c r="I3862">
        <v>0</v>
      </c>
    </row>
    <row r="3863">
      <c r="A3863" t="inlineStr">
        <is>
          <t>Cadmium II</t>
        </is>
      </c>
      <c r="B3863">
        <v>3.1887108424907394e-11</v>
      </c>
      <c r="D3863" t="inlineStr">
        <is>
          <t>kilogram</t>
        </is>
      </c>
      <c r="E3863" t="inlineStr">
        <is>
          <t>air</t>
        </is>
      </c>
      <c r="F3863" t="inlineStr">
        <is>
          <t>biosphere</t>
        </is>
      </c>
      <c r="H3863" t="inlineStr">
        <is>
          <t>1.0E-08 kg/kg fuel for diesel locomotives, according to Spielmann et al. (2007)
Spielmann, M., Bauer, C., Dones, R., Institut, P. S., &amp; Tuchschmid, M. (2007). Transport Services. Swiss Centre for Life Cycle Inventories, ecoinvent report No. 14.</t>
        </is>
      </c>
      <c r="I3863">
        <v>0</v>
      </c>
    </row>
    <row r="3864">
      <c r="A3864" t="inlineStr">
        <is>
          <t>Carbon dioxide, fossil</t>
        </is>
      </c>
      <c r="B3864">
        <v>0.010031684310475865</v>
      </c>
      <c r="D3864" t="inlineStr">
        <is>
          <t>kilogram</t>
        </is>
      </c>
      <c r="E3864" t="inlineStr">
        <is>
          <t>air</t>
        </is>
      </c>
      <c r="F3864" t="inlineStr">
        <is>
          <t>biosphere</t>
        </is>
      </c>
      <c r="H3864" t="inlineStr">
        <is>
          <t>3.146 kg/kg fuel for diesel locomotives, according to Spielmann et al. (2007)
Spielmann, M., Bauer, C., Dones, R., Institut, P. S., &amp; Tuchschmid, M. (2007). Transport Services. Swiss Centre for Life Cycle Inventories, ecoinvent report No. 14.</t>
        </is>
      </c>
      <c r="I3864">
        <v>0</v>
      </c>
    </row>
    <row r="3865">
      <c r="A3865" t="inlineStr">
        <is>
          <t>Carbon monoxide, fossil</t>
        </is>
      </c>
      <c r="B3865">
        <v>5.038163131135368e-05</v>
      </c>
      <c r="D3865" t="inlineStr">
        <is>
          <t>kilogram</t>
        </is>
      </c>
      <c r="E3865" t="inlineStr">
        <is>
          <t>air</t>
        </is>
      </c>
      <c r="F3865" t="inlineStr">
        <is>
          <t>biosphere</t>
        </is>
      </c>
      <c r="H3865" t="inlineStr">
        <is>
          <t>1.58E-02 kg/kg fuel for diesel locomotives, according to Spielmann et al. (2007)
Spielmann, M., Bauer, C., Dones, R., Institut, P. S., &amp; Tuchschmid, M. (2007). Transport Services. Swiss Centre for Life Cycle Inventories, ecoinvent report No. 14.</t>
        </is>
      </c>
      <c r="I3865">
        <v>0</v>
      </c>
    </row>
    <row r="3866">
      <c r="A3866" t="inlineStr">
        <is>
          <t>Chromium III</t>
        </is>
      </c>
      <c r="B3866">
        <v>1.5943554212453697e-10</v>
      </c>
      <c r="D3866" t="inlineStr">
        <is>
          <t>kilogram</t>
        </is>
      </c>
      <c r="E3866" t="inlineStr">
        <is>
          <t>air</t>
        </is>
      </c>
      <c r="F3866" t="inlineStr">
        <is>
          <t>biosphere</t>
        </is>
      </c>
      <c r="H3866" t="inlineStr">
        <is>
          <t>5.0E-08 kg/kg fuel for diesel locomotives, according to Spielmann et al. (2007)
Spielmann, M., Bauer, C., Dones, R., Institut, P. S., &amp; Tuchschmid, M. (2007). Transport Services. Swiss Centre for Life Cycle Inventories, ecoinvent report No. 14.</t>
        </is>
      </c>
      <c r="I3866">
        <v>0</v>
      </c>
    </row>
    <row r="3867">
      <c r="A3867" t="inlineStr">
        <is>
          <t>Copper ion</t>
        </is>
      </c>
      <c r="B3867">
        <v>5.420808432234257e-09</v>
      </c>
      <c r="D3867" t="inlineStr">
        <is>
          <t>kilogram</t>
        </is>
      </c>
      <c r="E3867" t="inlineStr">
        <is>
          <t>air</t>
        </is>
      </c>
      <c r="F3867" t="inlineStr">
        <is>
          <t>biosphere</t>
        </is>
      </c>
      <c r="H3867" t="inlineStr">
        <is>
          <t>1.7E-06 kg/kg fuel for diesel locomotives, according to Spielmann et al. (2007)
Spielmann, M., Bauer, C., Dones, R., Institut, P. S., &amp; Tuchschmid, M. (2007). Transport Services. Swiss Centre for Life Cycle Inventories, ecoinvent report No. 14.</t>
        </is>
      </c>
      <c r="I3867">
        <v>0</v>
      </c>
    </row>
    <row r="3868">
      <c r="A3868" t="inlineStr">
        <is>
          <t>Dinitrogen monoxide</t>
        </is>
      </c>
      <c r="B3868">
        <v>3.1887108424907397e-07</v>
      </c>
      <c r="D3868" t="inlineStr">
        <is>
          <t>kilogram</t>
        </is>
      </c>
      <c r="E3868" t="inlineStr">
        <is>
          <t>air</t>
        </is>
      </c>
      <c r="F3868" t="inlineStr">
        <is>
          <t>biosphere</t>
        </is>
      </c>
      <c r="H3868" t="inlineStr">
        <is>
          <t>1.0E-04 kg/kg fuel for diesel locomotives, according to Spielmann et al. (2007)
Spielmann, M., Bauer, C., Dones, R., Institut, P. S., &amp; Tuchschmid, M. (2007). Transport Services. Swiss Centre for Life Cycle Inventories, ecoinvent report No. 14.</t>
        </is>
      </c>
      <c r="I3868">
        <v>0</v>
      </c>
    </row>
    <row r="3869">
      <c r="A3869" t="inlineStr">
        <is>
          <t>Iron ion</t>
        </is>
      </c>
      <c r="B3869">
        <v>5.840474807516273e-05</v>
      </c>
      <c r="D3869" t="inlineStr">
        <is>
          <t>kilogram</t>
        </is>
      </c>
      <c r="E3869" t="inlineStr">
        <is>
          <t>soil</t>
        </is>
      </c>
      <c r="F3869" t="inlineStr">
        <is>
          <t>biosphere</t>
        </is>
      </c>
      <c r="H386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69">
        <v>0</v>
      </c>
    </row>
    <row r="3870">
      <c r="A3870" t="inlineStr">
        <is>
          <t>Lead II</t>
        </is>
      </c>
      <c r="B3870">
        <v>3.5075819267398133e-13</v>
      </c>
      <c r="D3870" t="inlineStr">
        <is>
          <t>kilogram</t>
        </is>
      </c>
      <c r="E3870" t="inlineStr">
        <is>
          <t>air</t>
        </is>
      </c>
      <c r="F3870" t="inlineStr">
        <is>
          <t>biosphere</t>
        </is>
      </c>
      <c r="H3870" t="inlineStr">
        <is>
          <t>1.1E-10 kg/kg fuel for diesel locomotives, according to Spielmann et al. (2007)
Spielmann, M., Bauer, C., Dones, R., Institut, P. S., &amp; Tuchschmid, M. (2007). Transport Services. Swiss Centre for Life Cycle Inventories, ecoinvent report No. 14.</t>
        </is>
      </c>
      <c r="I3870">
        <v>0</v>
      </c>
    </row>
    <row r="3871">
      <c r="A3871" t="inlineStr">
        <is>
          <t>Mercury II</t>
        </is>
      </c>
      <c r="B3871">
        <v>6.377421684981477e-14</v>
      </c>
      <c r="D3871" t="inlineStr">
        <is>
          <t>kilogram</t>
        </is>
      </c>
      <c r="E3871" t="inlineStr">
        <is>
          <t>air</t>
        </is>
      </c>
      <c r="F3871" t="inlineStr">
        <is>
          <t>biosphere</t>
        </is>
      </c>
      <c r="H3871" t="inlineStr">
        <is>
          <t>2.0E-11 kg/kg fuel for diesel locomotives, according to Spielmann et al. (2007)
Spielmann, M., Bauer, C., Dones, R., Institut, P. S., &amp; Tuchschmid, M. (2007). Transport Services. Swiss Centre for Life Cycle Inventories, ecoinvent report No. 14.</t>
        </is>
      </c>
      <c r="I3871">
        <v>0</v>
      </c>
    </row>
    <row r="3872">
      <c r="A3872" t="inlineStr">
        <is>
          <t>Methane, fossil</t>
        </is>
      </c>
      <c r="B3872">
        <v>4.1453240952379607e-07</v>
      </c>
      <c r="D3872" t="inlineStr">
        <is>
          <t>kilogram</t>
        </is>
      </c>
      <c r="E3872" t="inlineStr">
        <is>
          <t>air</t>
        </is>
      </c>
      <c r="F3872" t="inlineStr">
        <is>
          <t>biosphere</t>
        </is>
      </c>
      <c r="H3872" t="inlineStr">
        <is>
          <t>1.3E-04 kg/kg fuel for diesel locomotives, according to Spielmann et al. (2007)
Spielmann, M., Bauer, C., Dones, R., Institut, P. S., &amp; Tuchschmid, M. (2007). Transport Services. Swiss Centre for Life Cycle Inventories, ecoinvent report No. 14.</t>
        </is>
      </c>
      <c r="I3872">
        <v>0</v>
      </c>
    </row>
    <row r="3873">
      <c r="A3873" t="inlineStr">
        <is>
          <t>NMVOC, non-methane volatile organic compounds</t>
        </is>
      </c>
      <c r="B3873">
        <v>1.6740731923076382e-05</v>
      </c>
      <c r="D3873" t="inlineStr">
        <is>
          <t>kilogram</t>
        </is>
      </c>
      <c r="E3873" t="inlineStr">
        <is>
          <t>air</t>
        </is>
      </c>
      <c r="F3873" t="inlineStr">
        <is>
          <t>biosphere</t>
        </is>
      </c>
      <c r="H3873" t="inlineStr">
        <is>
          <t>5.25E-03 kg/kg fuel for diesel locomotives, according to Spielmann et al. (2007)
Spielmann, M., Bauer, C., Dones, R., Institut, P. S., &amp; Tuchschmid, M. (2007). Transport Services. Swiss Centre for Life Cycle Inventories, ecoinvent report No. 14.</t>
        </is>
      </c>
      <c r="I3873">
        <v>0</v>
      </c>
    </row>
    <row r="3874">
      <c r="A3874" t="inlineStr">
        <is>
          <t>Nickel II</t>
        </is>
      </c>
      <c r="B3874">
        <v>2.2320975897435179e-10</v>
      </c>
      <c r="D3874" t="inlineStr">
        <is>
          <t>kilogram</t>
        </is>
      </c>
      <c r="E3874" t="inlineStr">
        <is>
          <t>air</t>
        </is>
      </c>
      <c r="F3874" t="inlineStr">
        <is>
          <t>biosphere</t>
        </is>
      </c>
      <c r="H3874" t="inlineStr">
        <is>
          <t>7.0E-08 kg/kg fuel for diesel locomotives, according to Spielmann et al. (2007)
Spielmann, M., Bauer, C., Dones, R., Institut, P. S., &amp; Tuchschmid, M. (2007). Transport Services. Swiss Centre for Life Cycle Inventories, ecoinvent report No. 14.</t>
        </is>
      </c>
      <c r="I3874">
        <v>0</v>
      </c>
    </row>
    <row r="3875">
      <c r="A3875" t="inlineStr">
        <is>
          <t>Nitrogen oxides</t>
        </is>
      </c>
      <c r="B3875">
        <v>0.00017537909633699066</v>
      </c>
      <c r="D3875" t="inlineStr">
        <is>
          <t>kilogram</t>
        </is>
      </c>
      <c r="E3875" t="inlineStr">
        <is>
          <t>air::unspecified</t>
        </is>
      </c>
      <c r="F3875" t="inlineStr">
        <is>
          <t>biosphere</t>
        </is>
      </c>
      <c r="H3875" t="inlineStr">
        <is>
          <t>5.5E-02 kg/kg fuel for diesel locomotives, according to Spielmann et al. (2007)
Spielmann, M., Bauer, C., Dones, R., Institut, P. S., &amp; Tuchschmid, M. (2007). Transport Services. Swiss Centre for Life Cycle Inventories, ecoinvent report No. 14.</t>
        </is>
      </c>
      <c r="I3875">
        <v>0</v>
      </c>
    </row>
    <row r="3876">
      <c r="A3876" t="inlineStr">
        <is>
          <t>Particulate Matter, &lt; 2.5 um</t>
        </is>
      </c>
      <c r="B3876">
        <v>3.922114336263609e-06</v>
      </c>
      <c r="D3876" t="inlineStr">
        <is>
          <t>kilogram</t>
        </is>
      </c>
      <c r="E3876" t="inlineStr">
        <is>
          <t>air</t>
        </is>
      </c>
      <c r="F3876" t="inlineStr">
        <is>
          <t>biosphere</t>
        </is>
      </c>
      <c r="H3876" t="inlineStr">
        <is>
          <t>1.28E-03 kg/kg fuel for diesel locomotives, according to Spielmann et al. (2007)
Spielmann, M., Bauer, C., Dones, R., Institut, P. S., &amp; Tuchschmid, M. (2007). Transport Services. Swiss Centre for Life Cycle Inventories, ecoinvent report No. 14.</t>
        </is>
      </c>
      <c r="I3876">
        <v>0</v>
      </c>
    </row>
    <row r="3877">
      <c r="A3877" t="inlineStr">
        <is>
          <t>Particulate Matter, &gt; 10 um</t>
        </is>
      </c>
      <c r="B3877">
        <v>8.35431280422189e-05</v>
      </c>
      <c r="D3877" t="inlineStr">
        <is>
          <t>kilogram</t>
        </is>
      </c>
      <c r="E3877" t="inlineStr">
        <is>
          <t>air</t>
        </is>
      </c>
      <c r="F3877" t="inlineStr">
        <is>
          <t>biosphere</t>
        </is>
      </c>
      <c r="H387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77">
        <v>0</v>
      </c>
    </row>
    <row r="3878">
      <c r="A3878" t="inlineStr">
        <is>
          <t>Particulate Matter, &gt; 2.5 um and &lt; 10um</t>
        </is>
      </c>
      <c r="B3878">
        <v>7.711517541701365e-05</v>
      </c>
      <c r="D3878" t="inlineStr">
        <is>
          <t>kilogram</t>
        </is>
      </c>
      <c r="E3878" t="inlineStr">
        <is>
          <t>air</t>
        </is>
      </c>
      <c r="F3878" t="inlineStr">
        <is>
          <t>biosphere</t>
        </is>
      </c>
      <c r="H387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78">
        <v>0</v>
      </c>
    </row>
    <row r="3879">
      <c r="A3879" t="inlineStr">
        <is>
          <t>Selenium IV</t>
        </is>
      </c>
      <c r="B3879">
        <v>3.1887108424907394e-11</v>
      </c>
      <c r="D3879" t="inlineStr">
        <is>
          <t>kilogram</t>
        </is>
      </c>
      <c r="E3879" t="inlineStr">
        <is>
          <t>air</t>
        </is>
      </c>
      <c r="F3879" t="inlineStr">
        <is>
          <t>biosphere</t>
        </is>
      </c>
      <c r="H3879" t="inlineStr">
        <is>
          <t>1.0E-08 kg/kg fuel for diesel locomotives, according to Spielmann et al. (2007)
Spielmann, M., Bauer, C., Dones, R., Institut, P. S., &amp; Tuchschmid, M. (2007). Transport Services. Swiss Centre for Life Cycle Inventories, ecoinvent report No. 14.</t>
        </is>
      </c>
      <c r="I3879">
        <v>0</v>
      </c>
    </row>
    <row r="3880">
      <c r="A3880" t="inlineStr">
        <is>
          <t>Sulfur dioxide</t>
        </is>
      </c>
      <c r="B3880">
        <v>1.9132265054944433e-06</v>
      </c>
      <c r="D3880" t="inlineStr">
        <is>
          <t>kilogram</t>
        </is>
      </c>
      <c r="E3880" t="inlineStr">
        <is>
          <t>air</t>
        </is>
      </c>
      <c r="F3880" t="inlineStr">
        <is>
          <t>biosphere</t>
        </is>
      </c>
      <c r="H3880" t="inlineStr">
        <is>
          <t>6.0E-04 kg/kg fuel for diesel locomotives, according to Spielmann et al. (2007)
Spielmann, M., Bauer, C., Dones, R., Institut, P. S., &amp; Tuchschmid, M. (2007). Transport Services. Swiss Centre for Life Cycle Inventories, ecoinvent report No. 14.</t>
        </is>
      </c>
      <c r="I3880">
        <v>0</v>
      </c>
    </row>
    <row r="3881">
      <c r="A3881" t="inlineStr">
        <is>
          <t>Sulfur hexafluoride</t>
        </is>
      </c>
      <c r="B3881">
        <v>1.4789589431936368e-08</v>
      </c>
      <c r="D3881" t="inlineStr">
        <is>
          <t>kilogram</t>
        </is>
      </c>
      <c r="E3881" t="inlineStr">
        <is>
          <t>air</t>
        </is>
      </c>
      <c r="F3881" t="inlineStr">
        <is>
          <t>biosphere</t>
        </is>
      </c>
      <c r="H3881"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81">
        <v>0</v>
      </c>
    </row>
    <row r="3882">
      <c r="A3882" t="inlineStr">
        <is>
          <t>Toluene</t>
        </is>
      </c>
      <c r="B3882">
        <v>1.2754843369962958e-07</v>
      </c>
      <c r="D3882" t="inlineStr">
        <is>
          <t>kilogram</t>
        </is>
      </c>
      <c r="E3882" t="inlineStr">
        <is>
          <t>air</t>
        </is>
      </c>
      <c r="F3882" t="inlineStr">
        <is>
          <t>biosphere</t>
        </is>
      </c>
      <c r="H3882" t="inlineStr">
        <is>
          <t>4.0E-05 kg/kg fuel for diesel locomotives, according to Spielmann et al. (2007)
Spielmann, M., Bauer, C., Dones, R., Institut, P. S., &amp; Tuchschmid, M. (2007). Transport Services. Swiss Centre for Life Cycle Inventories, ecoinvent report No. 14.</t>
        </is>
      </c>
      <c r="I3882">
        <v>0</v>
      </c>
    </row>
    <row r="3883">
      <c r="A3883" t="inlineStr">
        <is>
          <t>Xylenes, unspecified</t>
        </is>
      </c>
      <c r="B3883">
        <v>1.2754843369962958e-07</v>
      </c>
      <c r="D3883" t="inlineStr">
        <is>
          <t>kilogram</t>
        </is>
      </c>
      <c r="E3883" t="inlineStr">
        <is>
          <t>air::unspecified</t>
        </is>
      </c>
      <c r="F3883" t="inlineStr">
        <is>
          <t>biosphere</t>
        </is>
      </c>
      <c r="H3883" t="inlineStr">
        <is>
          <t>4.0E-05 kg/kg fuel for diesel locomotives, according to Spielmann et al. (2007)
Spielmann, M., Bauer, C., Dones, R., Institut, P. S., &amp; Tuchschmid, M. (2007). Transport Services. Swiss Centre for Life Cycle Inventories, ecoinvent report No. 14.</t>
        </is>
      </c>
      <c r="I3883">
        <v>0</v>
      </c>
    </row>
    <row r="3884">
      <c r="A3884" t="inlineStr">
        <is>
          <t>Zinc II</t>
        </is>
      </c>
      <c r="B3884">
        <v>3.188710842490739e-09</v>
      </c>
      <c r="D3884" t="inlineStr">
        <is>
          <t>kilogram</t>
        </is>
      </c>
      <c r="E3884" t="inlineStr">
        <is>
          <t>air</t>
        </is>
      </c>
      <c r="F3884" t="inlineStr">
        <is>
          <t>biosphere</t>
        </is>
      </c>
      <c r="H3884" t="inlineStr">
        <is>
          <t>1.0E-06 kg/kg fuel for diesel locomotives, according to Spielmann et al. (2007)
Spielmann, M., Bauer, C., Dones, R., Institut, P. S., &amp; Tuchschmid, M. (2007). Transport Services. Swiss Centre for Life Cycle Inventories, ecoinvent report No. 14.</t>
        </is>
      </c>
      <c r="I3884">
        <v>0</v>
      </c>
    </row>
    <row r="3885"/>
    <row r="3886">
      <c r="A3886" t="inlineStr">
        <is>
          <t>Activity</t>
        </is>
      </c>
      <c r="B3886" t="inlineStr">
        <is>
          <t>hydrogen, used in a fuel cell in a freight train</t>
        </is>
      </c>
    </row>
    <row r="3887">
      <c r="A3887" t="inlineStr">
        <is>
          <t>location</t>
        </is>
      </c>
      <c r="B3887" t="inlineStr">
        <is>
          <t>CH</t>
        </is>
      </c>
    </row>
    <row r="3888">
      <c r="A3888" t="inlineStr">
        <is>
          <t>production amount</t>
        </is>
      </c>
      <c r="B3888">
        <v>1</v>
      </c>
    </row>
    <row r="3889">
      <c r="A3889" t="inlineStr">
        <is>
          <t>reference product</t>
        </is>
      </c>
      <c r="B3889" t="inlineStr">
        <is>
          <t>heat</t>
        </is>
      </c>
    </row>
    <row r="3890">
      <c r="A3890" t="inlineStr">
        <is>
          <t>type</t>
        </is>
      </c>
      <c r="B3890" t="inlineStr">
        <is>
          <t>process</t>
        </is>
      </c>
    </row>
    <row r="3891">
      <c r="A3891" t="inlineStr">
        <is>
          <t>unit</t>
        </is>
      </c>
      <c r="B3891" t="inlineStr">
        <is>
          <t>megajoule</t>
        </is>
      </c>
    </row>
    <row r="3892">
      <c r="A3892" t="inlineStr">
        <is>
          <t>energy use source</t>
        </is>
      </c>
      <c r="B3892"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["market for electric motor, electric passenger car", "electric motor, electric passenger car", "GLO", "kilogram"], "amount per vehicle": 1325, "vehicle per source service": 7.11e-10, "replacement correction factor": 1.0, "amount per MJ": 2.9729323652514984e-06}, {"supplier": ["market for converter, for electric passenger car", "converter, for electric passenger car", "GLO", "kilogram"], "amount per vehicle": 2280.000000000002, "vehicle per source service": 7.11e-10, "replacement correction factor": 1.0, "amount per MJ": 5.1156873907723935e-06}, {"supplier": ["fuel cell system assembly, 1 kWe, proton exchange membrane (PEM)", "fuel cell system, 1 kWe, proton exchange membrane (PEM)", "GLO", "unit"], "amount per vehicle": 6880, "vehicle per source service": 7.11e-10, "replacement correction factor": 1.0, "amount per MJ": 1.5436811073909667e-05}, {"supplier": ["Fuel tank, compressed hydrogen gas, 700bar, with aluminium liner", "hydrogen tank", "RER", "kilogram"], "amount per vehicle": 30323.84571428572, "vehicle per source service": 7.11e-10, "replacement correction factor": 1.0, "amount per MJ": 6.803829612293808e-05}, {"supplier": ["market for battery cell, Li-ion, NMC622", "battery cell, Li-ion, NMC622", "GLO", "kilogram"], "amount per vehicle": 67404.25531914894, "vehicle per source service": 7.11e-10, "replacement correction factor": 1.0, "amount per MJ": 0.00015123644693884782}], "excluded": [{"supplier": ["market for locomotive", "locomotive", "GLO", "unit"], "amount per vehicle": 1, "vehicle per source service": 7.11e-10}, {"supplier": ["market for goods wagon", "goods wagon", "GLO", "unit"], "amount per vehicle": 1,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93">
      <c r="A3893" t="inlineStr">
        <is>
          <t>comment</t>
        </is>
      </c>
      <c r="B3893" t="inlineStr">
        <is>
          <t>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94">
      <c r="A3894" t="inlineStr">
        <is>
          <t>Exchanges</t>
        </is>
      </c>
    </row>
    <row r="3895">
      <c r="A3895" t="inlineStr">
        <is>
          <t>name</t>
        </is>
      </c>
      <c r="B3895" t="inlineStr">
        <is>
          <t>amount</t>
        </is>
      </c>
      <c r="C3895" t="inlineStr">
        <is>
          <t>location</t>
        </is>
      </c>
      <c r="D3895" t="inlineStr">
        <is>
          <t>unit</t>
        </is>
      </c>
      <c r="E3895" t="inlineStr">
        <is>
          <t>categories</t>
        </is>
      </c>
      <c r="F3895" t="inlineStr">
        <is>
          <t>type</t>
        </is>
      </c>
      <c r="G3895" t="inlineStr">
        <is>
          <t>reference product</t>
        </is>
      </c>
      <c r="H3895" t="inlineStr">
        <is>
          <t>comment</t>
        </is>
      </c>
      <c r="I3895" t="inlineStr">
        <is>
          <t>uncertainty type</t>
        </is>
      </c>
    </row>
    <row r="3896">
      <c r="A3896" t="inlineStr">
        <is>
          <t>hydrogen, used in a fuel cell in a freight train</t>
        </is>
      </c>
      <c r="B3896">
        <v>1.0</v>
      </c>
      <c r="C3896" t="inlineStr">
        <is>
          <t>CH</t>
        </is>
      </c>
      <c r="D3896" t="inlineStr">
        <is>
          <t>megajoule</t>
        </is>
      </c>
      <c r="F3896" t="inlineStr">
        <is>
          <t>production</t>
        </is>
      </c>
      <c r="G3896" t="inlineStr">
        <is>
          <t>heat</t>
        </is>
      </c>
      <c r="I3896">
        <v>0</v>
      </c>
    </row>
    <row r="3897">
      <c r="A3897" t="inlineStr">
        <is>
          <t>market for hydrogen, gaseous, low pressure</t>
        </is>
      </c>
      <c r="B3897">
        <v>0.0012945987175919267</v>
      </c>
      <c r="C3897" t="inlineStr">
        <is>
          <t>CN</t>
        </is>
      </c>
      <c r="D3897" t="inlineStr">
        <is>
          <t>kilogram</t>
        </is>
      </c>
      <c r="F3897" t="inlineStr">
        <is>
          <t>technosphere</t>
        </is>
      </c>
      <c r="G3897" t="inlineStr">
        <is>
          <t>hydrogen, gaseous, low pressure</t>
        </is>
      </c>
      <c r="H3897"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97">
        <v>0</v>
      </c>
    </row>
    <row r="3898">
      <c r="A3898" t="inlineStr">
        <is>
          <t>market for hydrogen, gaseous, low pressure</t>
        </is>
      </c>
      <c r="B3898">
        <v>0.005469534948887209</v>
      </c>
      <c r="C3898" t="inlineStr">
        <is>
          <t>RoW</t>
        </is>
      </c>
      <c r="D3898" t="inlineStr">
        <is>
          <t>kilogram</t>
        </is>
      </c>
      <c r="F3898" t="inlineStr">
        <is>
          <t>technosphere</t>
        </is>
      </c>
      <c r="G3898" t="inlineStr">
        <is>
          <t>hydrogen, gaseous, low pressure</t>
        </is>
      </c>
      <c r="H3898"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98">
        <v>0</v>
      </c>
    </row>
    <row r="3899">
      <c r="A3899" t="inlineStr">
        <is>
          <t>market for hydrogen, gaseous, low pressure</t>
        </is>
      </c>
      <c r="B3899">
        <v>0.0007686670431839547</v>
      </c>
      <c r="C3899" t="inlineStr">
        <is>
          <t>RER</t>
        </is>
      </c>
      <c r="D3899" t="inlineStr">
        <is>
          <t>kilogram</t>
        </is>
      </c>
      <c r="F3899" t="inlineStr">
        <is>
          <t>technosphere</t>
        </is>
      </c>
      <c r="G3899" t="inlineStr">
        <is>
          <t>hydrogen, gaseous, low pressure</t>
        </is>
      </c>
      <c r="H3899"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99">
        <v>0</v>
      </c>
    </row>
    <row r="3900">
      <c r="A3900" t="inlineStr">
        <is>
          <t>market for hydrogen, gaseous, low pressure</t>
        </is>
      </c>
      <c r="B3900">
        <v>0.000800532623670244</v>
      </c>
      <c r="C3900" t="inlineStr">
        <is>
          <t>US</t>
        </is>
      </c>
      <c r="D3900" t="inlineStr">
        <is>
          <t>kilogram</t>
        </is>
      </c>
      <c r="F3900" t="inlineStr">
        <is>
          <t>technosphere</t>
        </is>
      </c>
      <c r="G3900" t="inlineStr">
        <is>
          <t>hydrogen, gaseous, low pressure</t>
        </is>
      </c>
      <c r="H390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900">
        <v>0</v>
      </c>
    </row>
    <row r="3901">
      <c r="A3901" t="inlineStr">
        <is>
          <t>market for diesel</t>
        </is>
      </c>
      <c r="B3901">
        <v>0.0021364277910731785</v>
      </c>
      <c r="C3901" t="inlineStr">
        <is>
          <t>Europe without Switzerland</t>
        </is>
      </c>
      <c r="D3901" t="inlineStr">
        <is>
          <t>kilogram</t>
        </is>
      </c>
      <c r="F3901" t="inlineStr">
        <is>
          <t>technosphere</t>
        </is>
      </c>
      <c r="G3901" t="inlineStr">
        <is>
          <t>diesel</t>
        </is>
      </c>
      <c r="H3901"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901">
        <v>0</v>
      </c>
    </row>
    <row r="3902">
      <c r="A3902" t="inlineStr">
        <is>
          <t>market for electric motor, electric passenger car</t>
        </is>
      </c>
      <c r="B3902">
        <v>2.9729323652514984e-06</v>
      </c>
      <c r="C3902" t="inlineStr">
        <is>
          <t>GLO</t>
        </is>
      </c>
      <c r="D3902" t="inlineStr">
        <is>
          <t>kilogram</t>
        </is>
      </c>
      <c r="F3902" t="inlineStr">
        <is>
          <t>technosphere</t>
        </is>
      </c>
      <c r="G3902" t="inlineStr">
        <is>
          <t>electric motor, electric passenger car</t>
        </is>
      </c>
      <c r="H3902" t="inlineStr">
        <is>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902">
        <v>0</v>
      </c>
    </row>
    <row r="3903">
      <c r="A3903" t="inlineStr">
        <is>
          <t>market for converter, for electric passenger car</t>
        </is>
      </c>
      <c r="B3903">
        <v>5.1156873907723935e-06</v>
      </c>
      <c r="C3903" t="inlineStr">
        <is>
          <t>GLO</t>
        </is>
      </c>
      <c r="D3903" t="inlineStr">
        <is>
          <t>kilogram</t>
        </is>
      </c>
      <c r="F3903" t="inlineStr">
        <is>
          <t>technosphere</t>
        </is>
      </c>
      <c r="G3903" t="inlineStr">
        <is>
          <t>converter, for electric passenger car</t>
        </is>
      </c>
      <c r="H390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903">
        <v>0</v>
      </c>
    </row>
    <row r="3904">
      <c r="A3904" t="inlineStr">
        <is>
          <t>fuel cell system assembly, 1 kWe, proton exchange membrane (PEM)</t>
        </is>
      </c>
      <c r="B3904">
        <v>1.5436811073909667e-05</v>
      </c>
      <c r="C3904" t="inlineStr">
        <is>
          <t>GLO</t>
        </is>
      </c>
      <c r="D3904" t="inlineStr">
        <is>
          <t>unit</t>
        </is>
      </c>
      <c r="F3904" t="inlineStr">
        <is>
          <t>technosphere</t>
        </is>
      </c>
      <c r="G3904" t="inlineStr">
        <is>
          <t>fuel cell system, 1 kWe, proton exchange membrane (PEM)</t>
        </is>
      </c>
      <c r="H3904" t="inlineStr">
        <is>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 Energy-use allocation: 6880 * 7.11e-10 / 0.3168841010348058 MJ per ton kilometer.</t>
        </is>
      </c>
      <c r="I3904">
        <v>0</v>
      </c>
    </row>
    <row r="3905">
      <c r="A3905" t="inlineStr">
        <is>
          <t>Fuel tank, compressed hydrogen gas, 700bar, with aluminium liner</t>
        </is>
      </c>
      <c r="B3905">
        <v>6.803829612293808e-05</v>
      </c>
      <c r="C3905" t="inlineStr">
        <is>
          <t>RER</t>
        </is>
      </c>
      <c r="D3905" t="inlineStr">
        <is>
          <t>kilogram</t>
        </is>
      </c>
      <c r="F3905" t="inlineStr">
        <is>
          <t>technosphere</t>
        </is>
      </c>
      <c r="G3905" t="inlineStr">
        <is>
          <t>hydrogen tank</t>
        </is>
      </c>
      <c r="H3905"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3905">
        <v>0</v>
      </c>
    </row>
    <row r="3906">
      <c r="A3906" t="inlineStr">
        <is>
          <t>market for battery cell, Li-ion, NMC622</t>
        </is>
      </c>
      <c r="B3906">
        <v>0.00015123644693884782</v>
      </c>
      <c r="C3906" t="inlineStr">
        <is>
          <t>GLO</t>
        </is>
      </c>
      <c r="D3906" t="inlineStr">
        <is>
          <t>kilogram</t>
        </is>
      </c>
      <c r="F3906" t="inlineStr">
        <is>
          <t>technosphere</t>
        </is>
      </c>
      <c r="G3906" t="inlineStr">
        <is>
          <t>battery cell, Li-ion, NMC622</t>
        </is>
      </c>
      <c r="H3906" t="inlineStr">
        <is>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 Energy-use allocation: 67404.25531914894 * 7.11e-10 / 0.3168841010348058 MJ per ton kilometer.</t>
        </is>
      </c>
      <c r="I3906">
        <v>0</v>
      </c>
    </row>
    <row r="3907">
      <c r="A3907" t="inlineStr">
        <is>
          <t>Water</t>
        </is>
      </c>
      <c r="B3907">
        <v>7.500000000000001e-05</v>
      </c>
      <c r="D3907" t="inlineStr">
        <is>
          <t>cubic meter</t>
        </is>
      </c>
      <c r="E3907" t="inlineStr">
        <is>
          <t>air</t>
        </is>
      </c>
      <c r="F3907" t="inlineStr">
        <is>
          <t>biosphere</t>
        </is>
      </c>
      <c r="H3907" t="inlineStr">
        <is>
          <t>9kg H2O per kg H2 converted.</t>
        </is>
      </c>
      <c r="I3907">
        <v>0</v>
      </c>
    </row>
    <row r="3908"/>
    <row r="3909">
      <c r="A3909" t="inlineStr">
        <is>
          <t>Activity</t>
        </is>
      </c>
      <c r="B3909" t="inlineStr">
        <is>
          <t>electric boiler equipment production, CTC EL 9</t>
        </is>
      </c>
    </row>
    <row r="3910">
      <c r="A3910" t="inlineStr">
        <is>
          <t>reference product</t>
        </is>
      </c>
      <c r="B3910" t="inlineStr">
        <is>
          <t>CTC EL 9</t>
        </is>
      </c>
    </row>
    <row r="3911">
      <c r="A3911" t="inlineStr">
        <is>
          <t>unit</t>
        </is>
      </c>
      <c r="B3911" t="inlineStr">
        <is>
          <t>unit</t>
        </is>
      </c>
    </row>
    <row r="3912">
      <c r="A3912" t="inlineStr">
        <is>
          <t>location</t>
        </is>
      </c>
      <c r="B3912" t="inlineStr">
        <is>
          <t>RER</t>
        </is>
      </c>
    </row>
    <row r="3913">
      <c r="A3913" t="inlineStr">
        <is>
          <t>comment</t>
        </is>
      </c>
      <c r="B3913" t="inlineStr">
        <is>
          <t>Dedicated electric heating hardware; sourced mass with explicit background-LCI proxies. EU resistance-flow heater proxy; Swiss installed technology mix is unknown. Steel group represented by 18/8 stainless; actual steel grades and their split are not disclosed. Cable/electronics mass uses generic control-unit electronics; unidentified 8.6% remains unmodelled. The control-unit composition is an LCI proxy, not a measured split. Installation, circulation pump and manufacturing assembly energy are not quantified by the declaration.</t>
        </is>
      </c>
    </row>
    <row r="3914">
      <c r="A3914" t="inlineStr">
        <is>
          <t>electric boiler equipment</t>
        </is>
      </c>
      <c r="B3914" t="inlineStr">
        <is>
          <t>{"model": "CTC EL 9", "name": "electricity, used in residential electric boiler", "power_kW": 9, "mass_kg": 9.3, "lifetime_years": 20, "lifetime_range": [20, 25], "material_fractions": {"stainless": 0.577, "brass": 0.041, "electronics": 0.207, "rubber": 0.089, "unmodelled": 0.086}, "source_ids": ["ctc_bvd", "ctc_manual"], "limitations": ["EU resistance-flow heater proxy; Swiss installed technology mix is unknown.", "Steel group represented by 18/8 stainless; actual steel grades and their split are not disclosed.", "Cable/electronics mass uses generic control-unit electronics; unidentified 8.6% remains unmodelled. The control-unit composition is an LCI proxy, not a measured split.", "Installation, circulation pump and manufacturing assembly energy are not quantified by the declaration."], "pathway": "FE_residential_space_heating_electric_boiler", "capacity_variable": "Space and water heat boiler capacity in Residential sector|Space heating|Electricty|Electric boiler", "energy_variable": "Fuel consumption in Residential sector|Electricity|Space heating|Electric boiler", "id": "residential_space", "sources": {"ctc_bvd": {"url": "https://ctc.no/file-download/a9a26013a5c285864d4ad53326bec18c.pdf", "sha256": "8b279c4c47d0e0c1c239d98dea2952f67fade9527b9fcec1e38bd8e0bc6c423a", "locator": "BVD-0045 to BVD-0047, 2022-01-10, material declarations and 20–25 year technical life"}, "ctc_manual": {"url": "https://ctc.se/file-download/97d743f2ce1f34e17d2586fda373f7de.pdf", "sha256": "27c305afaf9e86a445d278b409566a064093ccf6831bc3a7fdb837d533c3b23e", "locator": "Section 3; EL 9 net mass 9.3 kg, EL 42 net mass 33 kg; element EN 1.4404, tube EN 1.4301"}}, "boundary": "Dedicated electric heating equipment only; building fabric and heat-distribution networks excluded.", "hardware": ["electric boiler equipment production, CTC EL 9", "CTC EL 9", "RER", "unit"], "materials_kg": {"stainless": 5.3661, "brass": 0.38130000000000003, "electronics": 1.9251, "rubber": 0.8277, "unmodelled": 0.7998}, "material_suppliers": {"stainless": ["market for steel, chromium steel 18/8", "steel, chromium steel 18/8", "GLO", "kilogram"], "brass": ["market for brass", "brass", "RoW", "kilogram"], "electronics": ["market for electronics, for control units", "electronics, for control units", "GLO", "kilogram"], "rubber": ["market for synthetic rubber", "synthetic rubber", "GLO", "kilogram"]}, "unmodelled_mass_kg": 0.7998}</t>
        </is>
      </c>
    </row>
    <row r="3915">
      <c r="A3915" t="inlineStr">
        <is>
          <t>Exchanges</t>
        </is>
      </c>
    </row>
    <row r="3916">
      <c r="A3916" t="inlineStr">
        <is>
          <t>name</t>
        </is>
      </c>
      <c r="B3916" t="inlineStr">
        <is>
          <t>amount</t>
        </is>
      </c>
      <c r="C3916" t="inlineStr">
        <is>
          <t>location</t>
        </is>
      </c>
      <c r="D3916" t="inlineStr">
        <is>
          <t>unit</t>
        </is>
      </c>
      <c r="E3916" t="inlineStr">
        <is>
          <t>categories</t>
        </is>
      </c>
      <c r="F3916" t="inlineStr">
        <is>
          <t>type</t>
        </is>
      </c>
      <c r="G3916" t="inlineStr">
        <is>
          <t>reference product</t>
        </is>
      </c>
      <c r="H3916" t="inlineStr">
        <is>
          <t>comment</t>
        </is>
      </c>
      <c r="I3916" t="inlineStr">
        <is>
          <t>uncertainty type</t>
        </is>
      </c>
    </row>
    <row r="3917">
      <c r="A3917" t="inlineStr">
        <is>
          <t>electric boiler equipment production, CTC EL 9</t>
        </is>
      </c>
      <c r="B3917">
        <v>1</v>
      </c>
      <c r="C3917" t="inlineStr">
        <is>
          <t>RER</t>
        </is>
      </c>
      <c r="D3917" t="inlineStr">
        <is>
          <t>unit</t>
        </is>
      </c>
      <c r="F3917" t="inlineStr">
        <is>
          <t>production</t>
        </is>
      </c>
      <c r="G3917" t="inlineStr">
        <is>
          <t>CTC EL 9</t>
        </is>
      </c>
    </row>
    <row r="3918">
      <c r="A3918" t="inlineStr">
        <is>
          <t>market for steel, chromium steel 18/8</t>
        </is>
      </c>
      <c r="B3918">
        <v>5.3661</v>
      </c>
      <c r="C3918" t="inlineStr">
        <is>
          <t>GLO</t>
        </is>
      </c>
      <c r="D3918" t="inlineStr">
        <is>
          <t>kilogram</t>
        </is>
      </c>
      <c r="F3918" t="inlineStr">
        <is>
          <t>technosphere</t>
        </is>
      </c>
      <c r="G3918" t="inlineStr">
        <is>
          <t>steel, chromium steel 18/8</t>
        </is>
      </c>
      <c r="H3918" t="inlineStr">
        <is>
          <t>stainless: sourced material-class mass; mapping limitations in activity metadata</t>
        </is>
      </c>
    </row>
    <row r="3919">
      <c r="A3919" t="inlineStr">
        <is>
          <t>market for brass</t>
        </is>
      </c>
      <c r="B3919">
        <v>0.38130000000000003</v>
      </c>
      <c r="C3919" t="inlineStr">
        <is>
          <t>RoW</t>
        </is>
      </c>
      <c r="D3919" t="inlineStr">
        <is>
          <t>kilogram</t>
        </is>
      </c>
      <c r="F3919" t="inlineStr">
        <is>
          <t>technosphere</t>
        </is>
      </c>
      <c r="G3919" t="inlineStr">
        <is>
          <t>brass</t>
        </is>
      </c>
      <c r="H3919" t="inlineStr">
        <is>
          <t>brass: sourced material-class mass; mapping limitations in activity metadata</t>
        </is>
      </c>
    </row>
    <row r="3920">
      <c r="A3920" t="inlineStr">
        <is>
          <t>market for electronics, for control units</t>
        </is>
      </c>
      <c r="B3920">
        <v>1.9251</v>
      </c>
      <c r="C3920" t="inlineStr">
        <is>
          <t>GLO</t>
        </is>
      </c>
      <c r="D3920" t="inlineStr">
        <is>
          <t>kilogram</t>
        </is>
      </c>
      <c r="F3920" t="inlineStr">
        <is>
          <t>technosphere</t>
        </is>
      </c>
      <c r="G3920" t="inlineStr">
        <is>
          <t>electronics, for control units</t>
        </is>
      </c>
      <c r="H3920" t="inlineStr">
        <is>
          <t>electronics: sourced material-class mass; mapping limitations in activity metadata</t>
        </is>
      </c>
    </row>
    <row r="3921">
      <c r="A3921" t="inlineStr">
        <is>
          <t>market for synthetic rubber</t>
        </is>
      </c>
      <c r="B3921">
        <v>0.8277</v>
      </c>
      <c r="C3921" t="inlineStr">
        <is>
          <t>GLO</t>
        </is>
      </c>
      <c r="D3921" t="inlineStr">
        <is>
          <t>kilogram</t>
        </is>
      </c>
      <c r="F3921" t="inlineStr">
        <is>
          <t>technosphere</t>
        </is>
      </c>
      <c r="G3921" t="inlineStr">
        <is>
          <t>synthetic rubber</t>
        </is>
      </c>
      <c r="H3921" t="inlineStr">
        <is>
          <t>rubber: sourced material-class mass; mapping limitations in activity metadata</t>
        </is>
      </c>
    </row>
    <row r="3922"/>
    <row r="3923">
      <c r="A3923" t="inlineStr">
        <is>
          <t>Activity</t>
        </is>
      </c>
      <c r="B3923" t="inlineStr">
        <is>
          <t>electric boiler equipment production, Høiax Connected 200, 190 L</t>
        </is>
      </c>
    </row>
    <row r="3924">
      <c r="A3924" t="inlineStr">
        <is>
          <t>reference product</t>
        </is>
      </c>
      <c r="B3924" t="inlineStr">
        <is>
          <t>Høiax Connected 200, 190 L</t>
        </is>
      </c>
    </row>
    <row r="3925">
      <c r="A3925" t="inlineStr">
        <is>
          <t>unit</t>
        </is>
      </c>
      <c r="B3925" t="inlineStr">
        <is>
          <t>unit</t>
        </is>
      </c>
    </row>
    <row r="3926">
      <c r="A3926" t="inlineStr">
        <is>
          <t>location</t>
        </is>
      </c>
      <c r="B3926" t="inlineStr">
        <is>
          <t>RER</t>
        </is>
      </c>
    </row>
    <row r="3927">
      <c r="A3927" t="inlineStr">
        <is>
          <t>comment</t>
        </is>
      </c>
      <c r="B3927" t="inlineStr">
        <is>
          <t>Dedicated electric heating hardware; sourced mass with explicit background-LCI proxies. Norwegian storage-water-heater proxy; declared rounded material masses sum to 31.01 kg versus 31 kg nominal. Steel aggregate represented by 18/8 stainless; stainless/mild-steel split and resistance-alloy composition are unresolved. Plastics, insulation and electronics use generic PP, PU foam and control-unit electronics LCI proxies. Packaging, manufacturing assembly energy and end-of-life are not reconstructed from EPD impact scores.</t>
        </is>
      </c>
    </row>
    <row r="3928">
      <c r="A3928" t="inlineStr">
        <is>
          <t>electric boiler equipment</t>
        </is>
      </c>
      <c r="B3928" t="inlineStr">
        <is>
          <t>{"model": "Høiax Connected 200, 190 L", "name": "electricity, used in residential electric water heater", "power_kW": 2, "mass_kg": 31.01, "lifetime_years": 17, "lifetime_range": [17, 25], "materials_kg": {"stainless": 20.43, "brass": 0.68, "plastic": 4.69, "insulation": 4.55, "electronics": 0.52, "bitumen": 0.01, "paper": 0.13}, "source_ids": ["hoiax"], "limitations": ["Norwegian storage-water-heater proxy; declared rounded material masses sum to 31.01 kg versus 31 kg nominal.", "Steel aggregate represented by 18/8 stainless; stainless/mild-steel split and resistance-alloy composition are unresolved.", "Plastics, insulation and electronics use generic PP, PU foam and control-unit electronics LCI proxies.", "Packaging, manufacturing assembly energy and end-of-life are not reconstructed from EPD impact scores."], "pathway": "FE_residential_water_heating_electric_boiler", "capacity_variable": "Space and water heat boiler capacity in Residential sector|Water heating|Electricty|Electric boiler", "energy_variable": "Fuel consumption in Residential sector|Electricity|Water heating|Electric boiler", "id": "residential_water", "sources": {"hoiax": {"url": "https://www.epd-global.com/getfile.php/13185680-1741664700/EPDer/Byggevarer/NEPD-5319-4616_Hoiax-Connected-200-Water-Heater.pdf", "sha256": "bbddfb20515951d3843fb36eadc721c8f32b5b603ba28ab6792d229e24f3d979", "locator": "Pages 3–4; Connected 200, 190 L, 2 kW, 31 kg, 17 year reference life"}}, "boundary": "Dedicated electric heating equipment only; building fabric and heat-distribution networks excluded.", "hardware": ["electric boiler equipment production, Høiax Connected 200, 190 L", "Høiax Connected 200, 190 L", "RER", "unit"], "material_suppliers": {"stainless": ["market for steel, chromium steel 18/8", "steel, chromium steel 18/8", "GLO", "kilogram"], "brass": ["market for brass", "brass", "RoW", "kilogram"], "plastic": ["market for polypropylene, granulate", "polypropylene, granulate", "RER", "kilogram"], "insulation": ["market for polyurethane, rigid foam", "polyurethane, rigid foam", "RER", "kilogram"], "electronics": ["market for electronics, for control units", "electronics, for control units", "GLO", "kilogram"], "bitumen": ["market for bitumen seal", "bitumen seal", "GLO", "kilogram"], "paper": ["market for paper, woodfree, uncoated", "paper, woodfree, uncoated", "RER", "kilogram"]}, "unmodelled_mass_kg": 0}</t>
        </is>
      </c>
    </row>
    <row r="3929">
      <c r="A3929" t="inlineStr">
        <is>
          <t>Exchanges</t>
        </is>
      </c>
    </row>
    <row r="3930">
      <c r="A3930" t="inlineStr">
        <is>
          <t>name</t>
        </is>
      </c>
      <c r="B3930" t="inlineStr">
        <is>
          <t>amount</t>
        </is>
      </c>
      <c r="C3930" t="inlineStr">
        <is>
          <t>location</t>
        </is>
      </c>
      <c r="D3930" t="inlineStr">
        <is>
          <t>unit</t>
        </is>
      </c>
      <c r="E3930" t="inlineStr">
        <is>
          <t>categories</t>
        </is>
      </c>
      <c r="F3930" t="inlineStr">
        <is>
          <t>type</t>
        </is>
      </c>
      <c r="G3930" t="inlineStr">
        <is>
          <t>reference product</t>
        </is>
      </c>
      <c r="H3930" t="inlineStr">
        <is>
          <t>comment</t>
        </is>
      </c>
      <c r="I3930" t="inlineStr">
        <is>
          <t>uncertainty type</t>
        </is>
      </c>
    </row>
    <row r="3931">
      <c r="A3931" t="inlineStr">
        <is>
          <t>electric boiler equipment production, Høiax Connected 200, 190 L</t>
        </is>
      </c>
      <c r="B3931">
        <v>1</v>
      </c>
      <c r="C3931" t="inlineStr">
        <is>
          <t>RER</t>
        </is>
      </c>
      <c r="D3931" t="inlineStr">
        <is>
          <t>unit</t>
        </is>
      </c>
      <c r="F3931" t="inlineStr">
        <is>
          <t>production</t>
        </is>
      </c>
      <c r="G3931" t="inlineStr">
        <is>
          <t>Høiax Connected 200, 190 L</t>
        </is>
      </c>
    </row>
    <row r="3932">
      <c r="A3932" t="inlineStr">
        <is>
          <t>market for steel, chromium steel 18/8</t>
        </is>
      </c>
      <c r="B3932">
        <v>20.43</v>
      </c>
      <c r="C3932" t="inlineStr">
        <is>
          <t>GLO</t>
        </is>
      </c>
      <c r="D3932" t="inlineStr">
        <is>
          <t>kilogram</t>
        </is>
      </c>
      <c r="F3932" t="inlineStr">
        <is>
          <t>technosphere</t>
        </is>
      </c>
      <c r="G3932" t="inlineStr">
        <is>
          <t>steel, chromium steel 18/8</t>
        </is>
      </c>
      <c r="H3932" t="inlineStr">
        <is>
          <t>stainless: sourced material-class mass; mapping limitations in activity metadata</t>
        </is>
      </c>
    </row>
    <row r="3933">
      <c r="A3933" t="inlineStr">
        <is>
          <t>market for brass</t>
        </is>
      </c>
      <c r="B3933">
        <v>0.68</v>
      </c>
      <c r="C3933" t="inlineStr">
        <is>
          <t>RoW</t>
        </is>
      </c>
      <c r="D3933" t="inlineStr">
        <is>
          <t>kilogram</t>
        </is>
      </c>
      <c r="F3933" t="inlineStr">
        <is>
          <t>technosphere</t>
        </is>
      </c>
      <c r="G3933" t="inlineStr">
        <is>
          <t>brass</t>
        </is>
      </c>
      <c r="H3933" t="inlineStr">
        <is>
          <t>brass: sourced material-class mass; mapping limitations in activity metadata</t>
        </is>
      </c>
    </row>
    <row r="3934">
      <c r="A3934" t="inlineStr">
        <is>
          <t>market for polypropylene, granulate</t>
        </is>
      </c>
      <c r="B3934">
        <v>4.69</v>
      </c>
      <c r="C3934" t="inlineStr">
        <is>
          <t>RER</t>
        </is>
      </c>
      <c r="D3934" t="inlineStr">
        <is>
          <t>kilogram</t>
        </is>
      </c>
      <c r="F3934" t="inlineStr">
        <is>
          <t>technosphere</t>
        </is>
      </c>
      <c r="G3934" t="inlineStr">
        <is>
          <t>polypropylene, granulate</t>
        </is>
      </c>
      <c r="H3934" t="inlineStr">
        <is>
          <t>plastic: sourced material-class mass; mapping limitations in activity metadata</t>
        </is>
      </c>
    </row>
    <row r="3935">
      <c r="A3935" t="inlineStr">
        <is>
          <t>market for polyurethane, rigid foam</t>
        </is>
      </c>
      <c r="B3935">
        <v>4.55</v>
      </c>
      <c r="C3935" t="inlineStr">
        <is>
          <t>RER</t>
        </is>
      </c>
      <c r="D3935" t="inlineStr">
        <is>
          <t>kilogram</t>
        </is>
      </c>
      <c r="F3935" t="inlineStr">
        <is>
          <t>technosphere</t>
        </is>
      </c>
      <c r="G3935" t="inlineStr">
        <is>
          <t>polyurethane, rigid foam</t>
        </is>
      </c>
      <c r="H3935" t="inlineStr">
        <is>
          <t>insulation: sourced material-class mass; mapping limitations in activity metadata</t>
        </is>
      </c>
    </row>
    <row r="3936">
      <c r="A3936" t="inlineStr">
        <is>
          <t>market for electronics, for control units</t>
        </is>
      </c>
      <c r="B3936">
        <v>0.52</v>
      </c>
      <c r="C3936" t="inlineStr">
        <is>
          <t>GLO</t>
        </is>
      </c>
      <c r="D3936" t="inlineStr">
        <is>
          <t>kilogram</t>
        </is>
      </c>
      <c r="F3936" t="inlineStr">
        <is>
          <t>technosphere</t>
        </is>
      </c>
      <c r="G3936" t="inlineStr">
        <is>
          <t>electronics, for control units</t>
        </is>
      </c>
      <c r="H3936" t="inlineStr">
        <is>
          <t>electronics: sourced material-class mass; mapping limitations in activity metadata</t>
        </is>
      </c>
    </row>
    <row r="3937">
      <c r="A3937" t="inlineStr">
        <is>
          <t>market for bitumen seal</t>
        </is>
      </c>
      <c r="B3937">
        <v>0.01</v>
      </c>
      <c r="C3937" t="inlineStr">
        <is>
          <t>GLO</t>
        </is>
      </c>
      <c r="D3937" t="inlineStr">
        <is>
          <t>kilogram</t>
        </is>
      </c>
      <c r="F3937" t="inlineStr">
        <is>
          <t>technosphere</t>
        </is>
      </c>
      <c r="G3937" t="inlineStr">
        <is>
          <t>bitumen seal</t>
        </is>
      </c>
      <c r="H3937" t="inlineStr">
        <is>
          <t>bitumen: sourced material-class mass; mapping limitations in activity metadata</t>
        </is>
      </c>
    </row>
    <row r="3938">
      <c r="A3938" t="inlineStr">
        <is>
          <t>market for paper, woodfree, uncoated</t>
        </is>
      </c>
      <c r="B3938">
        <v>0.13</v>
      </c>
      <c r="C3938" t="inlineStr">
        <is>
          <t>RER</t>
        </is>
      </c>
      <c r="D3938" t="inlineStr">
        <is>
          <t>kilogram</t>
        </is>
      </c>
      <c r="F3938" t="inlineStr">
        <is>
          <t>technosphere</t>
        </is>
      </c>
      <c r="G3938" t="inlineStr">
        <is>
          <t>paper, woodfree, uncoated</t>
        </is>
      </c>
      <c r="H3938" t="inlineStr">
        <is>
          <t>paper: sourced material-class mass; mapping limitations in activity metadata</t>
        </is>
      </c>
    </row>
    <row r="3939"/>
    <row r="3940">
      <c r="A3940" t="inlineStr">
        <is>
          <t>Activity</t>
        </is>
      </c>
      <c r="B3940" t="inlineStr">
        <is>
          <t>electricity, used in residential electric water heater</t>
        </is>
      </c>
    </row>
    <row r="3941">
      <c r="A3941" t="inlineStr">
        <is>
          <t>location</t>
        </is>
      </c>
      <c r="B3941" t="inlineStr">
        <is>
          <t>CH</t>
        </is>
      </c>
    </row>
    <row r="3942">
      <c r="A3942" t="inlineStr">
        <is>
          <t>production amount</t>
        </is>
      </c>
      <c r="B3942">
        <v>1</v>
      </c>
    </row>
    <row r="3943">
      <c r="A3943" t="inlineStr">
        <is>
          <t>reference product</t>
        </is>
      </c>
      <c r="B3943" t="inlineStr">
        <is>
          <t>electricity, low voltage</t>
        </is>
      </c>
    </row>
    <row r="3944">
      <c r="A3944" t="inlineStr">
        <is>
          <t>type</t>
        </is>
      </c>
      <c r="B3944" t="inlineStr">
        <is>
          <t>process</t>
        </is>
      </c>
    </row>
    <row r="3945">
      <c r="A3945" t="inlineStr">
        <is>
          <t>unit</t>
        </is>
      </c>
      <c r="B3945" t="inlineStr">
        <is>
          <t>megajoule</t>
        </is>
      </c>
    </row>
    <row r="3946">
      <c r="A3946" t="inlineStr">
        <is>
          <t>electric boiler equipment</t>
        </is>
      </c>
      <c r="B3946" t="inlineStr">
        <is>
          <t>{"model": "Høiax Connected 200, 190 L", "name": "electricity, used in residential electric water heater", "power_kW": 2, "mass_kg": 31.01, "lifetime_years": 17, "lifetime_range": [17, 25], "materials_kg": {"stainless": 20.43, "brass": 0.68, "plastic": 4.69, "insulation": 4.55, "electronics": 0.52, "bitumen": 0.01, "paper": 0.13}, "source_ids": ["hoiax"], "limitations": ["Norwegian storage-water-heater proxy; declared rounded material masses sum to 31.01 kg versus 31 kg nominal.", "Steel aggregate represented by 18/8 stainless; stainless/mild-steel split and resistance-alloy composition are unresolved.", "Plastics, insulation and electronics use generic PP, PU foam and control-unit electronics LCI proxies.", "Packaging, manufacturing assembly energy and end-of-life are not reconstructed from EPD impact scores."], "pathway": "FE_residential_water_heating_electric_boiler", "capacity_variable": "Space and water heat boiler capacity in Residential sector|Water heating|Electricty|Electric boiler", "energy_variable": "Fuel consumption in Residential sector|Electricity|Water heating|Electric boiler", "id": "residential_water", "sources": {"hoiax": {"url": "https://www.epd-global.com/getfile.php/13185680-1741664700/EPDer/Byggevarer/NEPD-5319-4616_Hoiax-Connected-200-Water-Heater.pdf", "sha256": "bbddfb20515951d3843fb36eadc721c8f32b5b603ba28ab6792d229e24f3d979", "locator": "Pages 3–4; Connected 200, 190 L, 2 kW, 31 kg, 17 year reference life"}}, "boundary": "Dedicated electric heating equipment only; building fabric and heat-distribution networks excluded.", "hardware": ["electric boiler equipment production, Høiax Connected 200, 190 L", "Høiax Connected 200, 190 L", "RER", "unit"], "material_suppliers": {"stainless": ["market for steel, chromium steel 18/8", "steel, chromium steel 18/8", "GLO", "kilogram"], "brass": ["market for brass", "brass", "RoW", "kilogram"], "plastic": ["market for polypropylene, granulate", "polypropylene, granulate", "RER", "kilogram"], "insulation": ["market for polyurethane, rigid foam", "polyurethane, rigid foam", "RER", "kilogram"], "electronics": ["market for electronics, for control units", "electronics, for control units", "GLO", "kilogram"], "bitumen": ["market for bitumen seal", "bitumen seal", "GLO", "kilogram"], "paper": ["market for paper, woodfree, uncoated", "paper, woodfree, uncoated", "RER", "kilogram"]}, "unmodelled_mass_kg": 0}</t>
        </is>
      </c>
    </row>
    <row r="3947">
      <c r="A3947" t="inlineStr">
        <is>
          <t>comment</t>
        </is>
      </c>
      <c r="B3947" t="inlineStr">
        <is>
          <t>Consumes exactly 1 MJ final electricity. Baseline hardware allocation uses SPS1/2020 installed capacity divided by annual electricity and lifetime; the build adapter replaces this for every scenario/year. Norwegian storage-water-heater proxy; declared rounded material masses sum to 31.01 kg versus 31 kg nominal. Steel aggregate represented by 18/8 stainless; stainless/mild-steel split and resistance-alloy composition are unresolved. Plastics, insulation and electronics use generic PP, PU foam and control-unit electronics LCI proxies. Packaging, manufacturing assembly energy and end-of-life are not reconstructed from EPD impact scores.</t>
        </is>
      </c>
    </row>
    <row r="3948">
      <c r="A3948" t="inlineStr">
        <is>
          <t>Exchanges</t>
        </is>
      </c>
    </row>
    <row r="3949">
      <c r="A3949" t="inlineStr">
        <is>
          <t>name</t>
        </is>
      </c>
      <c r="B3949" t="inlineStr">
        <is>
          <t>amount</t>
        </is>
      </c>
      <c r="C3949" t="inlineStr">
        <is>
          <t>location</t>
        </is>
      </c>
      <c r="D3949" t="inlineStr">
        <is>
          <t>unit</t>
        </is>
      </c>
      <c r="E3949" t="inlineStr">
        <is>
          <t>categories</t>
        </is>
      </c>
      <c r="F3949" t="inlineStr">
        <is>
          <t>type</t>
        </is>
      </c>
      <c r="G3949" t="inlineStr">
        <is>
          <t>reference product</t>
        </is>
      </c>
      <c r="H3949" t="inlineStr">
        <is>
          <t>comment</t>
        </is>
      </c>
      <c r="I3949" t="inlineStr">
        <is>
          <t>uncertainty type</t>
        </is>
      </c>
    </row>
    <row r="3950">
      <c r="A3950" t="inlineStr">
        <is>
          <t>electricity, used in residential electric water heater</t>
        </is>
      </c>
      <c r="B3950">
        <v>1</v>
      </c>
      <c r="C3950" t="inlineStr">
        <is>
          <t>CH</t>
        </is>
      </c>
      <c r="D3950" t="inlineStr">
        <is>
          <t>megajoule</t>
        </is>
      </c>
      <c r="F3950" t="inlineStr">
        <is>
          <t>production</t>
        </is>
      </c>
      <c r="G3950" t="inlineStr">
        <is>
          <t>electricity, low voltage</t>
        </is>
      </c>
    </row>
    <row r="3951">
      <c r="A3951" t="inlineStr">
        <is>
          <t>market for electricity, low voltage</t>
        </is>
      </c>
      <c r="B3951">
        <v>0.2777777777777778</v>
      </c>
      <c r="C3951" t="inlineStr">
        <is>
          <t>CH</t>
        </is>
      </c>
      <c r="D3951" t="inlineStr">
        <is>
          <t>kilowatt hour</t>
        </is>
      </c>
      <c r="F3951" t="inlineStr">
        <is>
          <t>technosphere</t>
        </is>
      </c>
      <c r="G3951" t="inlineStr">
        <is>
          <t>electricity, low voltage</t>
        </is>
      </c>
    </row>
    <row r="3952">
      <c r="A3952" t="inlineStr">
        <is>
          <t>electric boiler equipment production, Høiax Connected 200, 190 L</t>
        </is>
      </c>
      <c r="B3952">
        <v>1.5301179161418566e-06</v>
      </c>
      <c r="C3952" t="inlineStr">
        <is>
          <t>RER</t>
        </is>
      </c>
      <c r="D3952" t="inlineStr">
        <is>
          <t>unit</t>
        </is>
      </c>
      <c r="F3952" t="inlineStr">
        <is>
          <t>technosphere</t>
        </is>
      </c>
      <c r="G3952" t="inlineStr">
        <is>
          <t>Høiax Connected 200, 190 L</t>
        </is>
      </c>
    </row>
    <row r="3953"/>
    <row r="3954">
      <c r="A3954" t="inlineStr">
        <is>
          <t>Activity</t>
        </is>
      </c>
      <c r="B3954" t="inlineStr">
        <is>
          <t>electric boiler equipment production, CTC EL 42</t>
        </is>
      </c>
    </row>
    <row r="3955">
      <c r="A3955" t="inlineStr">
        <is>
          <t>reference product</t>
        </is>
      </c>
      <c r="B3955" t="inlineStr">
        <is>
          <t>CTC EL 42</t>
        </is>
      </c>
    </row>
    <row r="3956">
      <c r="A3956" t="inlineStr">
        <is>
          <t>unit</t>
        </is>
      </c>
      <c r="B3956" t="inlineStr">
        <is>
          <t>unit</t>
        </is>
      </c>
    </row>
    <row r="3957">
      <c r="A3957" t="inlineStr">
        <is>
          <t>location</t>
        </is>
      </c>
      <c r="B3957" t="inlineStr">
        <is>
          <t>RER</t>
        </is>
      </c>
    </row>
    <row r="3958">
      <c r="A3958" t="inlineStr">
        <is>
          <t>comment</t>
        </is>
      </c>
      <c r="B3958" t="inlineStr">
        <is>
          <t>Dedicated electric heating hardware; sourced mass with explicit background-LCI proxies. EU resistance-flow heater proxy; Swiss installed technology mix is unknown. Steel group represented by 18/8 stainless; actual steel grades and their split are not disclosed. Cable/electronics mass uses generic control-unit electronics; unidentified 14% remains unmodelled. Installation, circulation pump and manufacturing assembly energy are not quantified by the declaration.</t>
        </is>
      </c>
    </row>
    <row r="3959">
      <c r="A3959" t="inlineStr">
        <is>
          <t>electric boiler equipment</t>
        </is>
      </c>
      <c r="B3959" t="inlineStr">
        <is>
          <t>{"model": "CTC EL 42", "name": "electricity, used in services electric boiler", "power_kW": 42, "mass_kg": 33, "lifetime_years": 20, "lifetime_range": [20, 25], "material_fractions": {"stainless": 0.581, "brass": 0.011, "electronics": 0.242, "rubber": 0.026, "unmodelled": 0.14}, "source_ids": ["ctc_bvd", "ctc_manual"], "limitations": ["EU resistance-flow heater proxy; Swiss installed technology mix is unknown.", "Steel group represented by 18/8 stainless; actual steel grades and their split are not disclosed.", "Cable/electronics mass uses generic control-unit electronics; unidentified 14% remains unmodelled.", "Installation, circulation pump and manufacturing assembly energy are not quantified by the declaration."], "pathway": "FE_services_electric_boiler", "capacity_variable": "Space water and process heat boiler capacity in Services sectors|Electricity|Electric boiler", "energy_variable": "Fuel consumption in Services sectors|Electricity|Electric boiler", "id": "services", "sources": {"ctc_bvd": {"url": "https://ctc.no/file-download/a9a26013a5c285864d4ad53326bec18c.pdf", "sha256": "8b279c4c47d0e0c1c239d98dea2952f67fade9527b9fcec1e38bd8e0bc6c423a", "locator": "BVD-0045 to BVD-0047, 2022-01-10, material declarations and 20–25 year technical life"}, "ctc_manual": {"url": "https://ctc.se/file-download/97d743f2ce1f34e17d2586fda373f7de.pdf", "sha256": "27c305afaf9e86a445d278b409566a064093ccf6831bc3a7fdb837d533c3b23e", "locator": "Section 3; EL 9 net mass 9.3 kg, EL 42 net mass 33 kg; element EN 1.4404, tube EN 1.4301"}}, "boundary": "Dedicated electric heating equipment only; building fabric and heat-distribution networks excluded.", "hardware": ["electric boiler equipment production, CTC EL 42", "CTC EL 42", "RER", "unit"], "materials_kg": {"stainless": 19.173, "brass": 0.363, "electronics": 7.986, "rubber": 0.858, "unmodelled": 4.62}, "material_suppliers": {"stainless": ["market for steel, chromium steel 18/8", "steel, chromium steel 18/8", "GLO", "kilogram"], "brass": ["market for brass", "brass", "RoW", "kilogram"], "electronics": ["market for electronics, for control units", "electronics, for control units", "GLO", "kilogram"], "rubber": ["market for synthetic rubber", "synthetic rubber", "GLO", "kilogram"]}, "unmodelled_mass_kg": 4.62}</t>
        </is>
      </c>
    </row>
    <row r="3960">
      <c r="A3960" t="inlineStr">
        <is>
          <t>Exchanges</t>
        </is>
      </c>
    </row>
    <row r="3961">
      <c r="A3961" t="inlineStr">
        <is>
          <t>name</t>
        </is>
      </c>
      <c r="B3961" t="inlineStr">
        <is>
          <t>amount</t>
        </is>
      </c>
      <c r="C3961" t="inlineStr">
        <is>
          <t>location</t>
        </is>
      </c>
      <c r="D3961" t="inlineStr">
        <is>
          <t>unit</t>
        </is>
      </c>
      <c r="E3961" t="inlineStr">
        <is>
          <t>categories</t>
        </is>
      </c>
      <c r="F3961" t="inlineStr">
        <is>
          <t>type</t>
        </is>
      </c>
      <c r="G3961" t="inlineStr">
        <is>
          <t>reference product</t>
        </is>
      </c>
      <c r="H3961" t="inlineStr">
        <is>
          <t>comment</t>
        </is>
      </c>
      <c r="I3961" t="inlineStr">
        <is>
          <t>uncertainty type</t>
        </is>
      </c>
    </row>
    <row r="3962">
      <c r="A3962" t="inlineStr">
        <is>
          <t>electric boiler equipment production, CTC EL 42</t>
        </is>
      </c>
      <c r="B3962">
        <v>1</v>
      </c>
      <c r="C3962" t="inlineStr">
        <is>
          <t>RER</t>
        </is>
      </c>
      <c r="D3962" t="inlineStr">
        <is>
          <t>unit</t>
        </is>
      </c>
      <c r="F3962" t="inlineStr">
        <is>
          <t>production</t>
        </is>
      </c>
      <c r="G3962" t="inlineStr">
        <is>
          <t>CTC EL 42</t>
        </is>
      </c>
    </row>
    <row r="3963">
      <c r="A3963" t="inlineStr">
        <is>
          <t>market for steel, chromium steel 18/8</t>
        </is>
      </c>
      <c r="B3963">
        <v>19.173</v>
      </c>
      <c r="C3963" t="inlineStr">
        <is>
          <t>GLO</t>
        </is>
      </c>
      <c r="D3963" t="inlineStr">
        <is>
          <t>kilogram</t>
        </is>
      </c>
      <c r="F3963" t="inlineStr">
        <is>
          <t>technosphere</t>
        </is>
      </c>
      <c r="G3963" t="inlineStr">
        <is>
          <t>steel, chromium steel 18/8</t>
        </is>
      </c>
      <c r="H3963" t="inlineStr">
        <is>
          <t>stainless: sourced material-class mass; mapping limitations in activity metadata</t>
        </is>
      </c>
    </row>
    <row r="3964">
      <c r="A3964" t="inlineStr">
        <is>
          <t>market for brass</t>
        </is>
      </c>
      <c r="B3964">
        <v>0.363</v>
      </c>
      <c r="C3964" t="inlineStr">
        <is>
          <t>RoW</t>
        </is>
      </c>
      <c r="D3964" t="inlineStr">
        <is>
          <t>kilogram</t>
        </is>
      </c>
      <c r="F3964" t="inlineStr">
        <is>
          <t>technosphere</t>
        </is>
      </c>
      <c r="G3964" t="inlineStr">
        <is>
          <t>brass</t>
        </is>
      </c>
      <c r="H3964" t="inlineStr">
        <is>
          <t>brass: sourced material-class mass; mapping limitations in activity metadata</t>
        </is>
      </c>
    </row>
    <row r="3965">
      <c r="A3965" t="inlineStr">
        <is>
          <t>market for electronics, for control units</t>
        </is>
      </c>
      <c r="B3965">
        <v>7.986</v>
      </c>
      <c r="C3965" t="inlineStr">
        <is>
          <t>GLO</t>
        </is>
      </c>
      <c r="D3965" t="inlineStr">
        <is>
          <t>kilogram</t>
        </is>
      </c>
      <c r="F3965" t="inlineStr">
        <is>
          <t>technosphere</t>
        </is>
      </c>
      <c r="G3965" t="inlineStr">
        <is>
          <t>electronics, for control units</t>
        </is>
      </c>
      <c r="H3965" t="inlineStr">
        <is>
          <t>electronics: sourced material-class mass; mapping limitations in activity metadata</t>
        </is>
      </c>
    </row>
    <row r="3966">
      <c r="A3966" t="inlineStr">
        <is>
          <t>market for synthetic rubber</t>
        </is>
      </c>
      <c r="B3966">
        <v>0.858</v>
      </c>
      <c r="C3966" t="inlineStr">
        <is>
          <t>GLO</t>
        </is>
      </c>
      <c r="D3966" t="inlineStr">
        <is>
          <t>kilogram</t>
        </is>
      </c>
      <c r="F3966" t="inlineStr">
        <is>
          <t>technosphere</t>
        </is>
      </c>
      <c r="G3966" t="inlineStr">
        <is>
          <t>synthetic rubber</t>
        </is>
      </c>
      <c r="H3966" t="inlineStr">
        <is>
          <t>rubber: sourced material-class mass; mapping limitations in activity metadata</t>
        </is>
      </c>
    </row>
    <row r="3967"/>
    <row r="3968">
      <c r="A3968" t="inlineStr">
        <is>
          <t>Activity</t>
        </is>
      </c>
      <c r="B3968" t="inlineStr">
        <is>
          <t>electricity, used in services electric boiler</t>
        </is>
      </c>
    </row>
    <row r="3969">
      <c r="A3969" t="inlineStr">
        <is>
          <t>location</t>
        </is>
      </c>
      <c r="B3969" t="inlineStr">
        <is>
          <t>CH</t>
        </is>
      </c>
    </row>
    <row r="3970">
      <c r="A3970" t="inlineStr">
        <is>
          <t>production amount</t>
        </is>
      </c>
      <c r="B3970">
        <v>1</v>
      </c>
    </row>
    <row r="3971">
      <c r="A3971" t="inlineStr">
        <is>
          <t>reference product</t>
        </is>
      </c>
      <c r="B3971" t="inlineStr">
        <is>
          <t>electricity, low voltage</t>
        </is>
      </c>
    </row>
    <row r="3972">
      <c r="A3972" t="inlineStr">
        <is>
          <t>type</t>
        </is>
      </c>
      <c r="B3972" t="inlineStr">
        <is>
          <t>process</t>
        </is>
      </c>
    </row>
    <row r="3973">
      <c r="A3973" t="inlineStr">
        <is>
          <t>unit</t>
        </is>
      </c>
      <c r="B3973" t="inlineStr">
        <is>
          <t>megajoule</t>
        </is>
      </c>
    </row>
    <row r="3974">
      <c r="A3974" t="inlineStr">
        <is>
          <t>electric boiler equipment</t>
        </is>
      </c>
      <c r="B3974" t="inlineStr">
        <is>
          <t>{"model": "CTC EL 42", "name": "electricity, used in services electric boiler", "power_kW": 42, "mass_kg": 33, "lifetime_years": 20, "lifetime_range": [20, 25], "material_fractions": {"stainless": 0.581, "brass": 0.011, "electronics": 0.242, "rubber": 0.026, "unmodelled": 0.14}, "source_ids": ["ctc_bvd", "ctc_manual"], "limitations": ["EU resistance-flow heater proxy; Swiss installed technology mix is unknown.", "Steel group represented by 18/8 stainless; actual steel grades and their split are not disclosed.", "Cable/electronics mass uses generic control-unit electronics; unidentified 14% remains unmodelled.", "Installation, circulation pump and manufacturing assembly energy are not quantified by the declaration."], "pathway": "FE_services_electric_boiler", "capacity_variable": "Space water and process heat boiler capacity in Services sectors|Electricity|Electric boiler", "energy_variable": "Fuel consumption in Services sectors|Electricity|Electric boiler", "id": "services", "sources": {"ctc_bvd": {"url": "https://ctc.no/file-download/a9a26013a5c285864d4ad53326bec18c.pdf", "sha256": "8b279c4c47d0e0c1c239d98dea2952f67fade9527b9fcec1e38bd8e0bc6c423a", "locator": "BVD-0045 to BVD-0047, 2022-01-10, material declarations and 20–25 year technical life"}, "ctc_manual": {"url": "https://ctc.se/file-download/97d743f2ce1f34e17d2586fda373f7de.pdf", "sha256": "27c305afaf9e86a445d278b409566a064093ccf6831bc3a7fdb837d533c3b23e", "locator": "Section 3; EL 9 net mass 9.3 kg, EL 42 net mass 33 kg; element EN 1.4404, tube EN 1.4301"}}, "boundary": "Dedicated electric heating equipment only; building fabric and heat-distribution networks excluded.", "hardware": ["electric boiler equipment production, CTC EL 42", "CTC EL 42", "RER", "unit"], "materials_kg": {"stainless": 19.173, "brass": 0.363, "electronics": 7.986, "rubber": 0.858, "unmodelled": 4.62}, "material_suppliers": {"stainless": ["market for steel, chromium steel 18/8", "steel, chromium steel 18/8", "GLO", "kilogram"], "brass": ["market for brass", "brass", "RoW", "kilogram"], "electronics": ["market for electronics, for control units", "electronics, for control units", "GLO", "kilogram"], "rubber": ["market for synthetic rubber", "synthetic rubber", "GLO", "kilogram"]}, "unmodelled_mass_kg": 4.62}</t>
        </is>
      </c>
    </row>
    <row r="3975">
      <c r="A3975" t="inlineStr">
        <is>
          <t>comment</t>
        </is>
      </c>
      <c r="B3975" t="inlineStr">
        <is>
          <t>Consumes exactly 1 MJ final electricity. Baseline hardware allocation uses SPS1/2020 installed capacity divided by annual electricity and lifetime; the build adapter replaces this for every scenario/year. EU resistance-flow heater proxy; Swiss installed technology mix is unknown. Steel group represented by 18/8 stainless; actual steel grades and their split are not disclosed. Cable/electronics mass uses generic control-unit electronics; unidentified 14% remains unmodelled. Installation, circulation pump and manufacturing assembly energy are not quantified by the declaration.</t>
        </is>
      </c>
    </row>
    <row r="3976">
      <c r="A3976" t="inlineStr">
        <is>
          <t>Exchanges</t>
        </is>
      </c>
    </row>
    <row r="3977">
      <c r="A3977" t="inlineStr">
        <is>
          <t>name</t>
        </is>
      </c>
      <c r="B3977" t="inlineStr">
        <is>
          <t>amount</t>
        </is>
      </c>
      <c r="C3977" t="inlineStr">
        <is>
          <t>location</t>
        </is>
      </c>
      <c r="D3977" t="inlineStr">
        <is>
          <t>unit</t>
        </is>
      </c>
      <c r="E3977" t="inlineStr">
        <is>
          <t>categories</t>
        </is>
      </c>
      <c r="F3977" t="inlineStr">
        <is>
          <t>type</t>
        </is>
      </c>
      <c r="G3977" t="inlineStr">
        <is>
          <t>reference product</t>
        </is>
      </c>
      <c r="H3977" t="inlineStr">
        <is>
          <t>comment</t>
        </is>
      </c>
      <c r="I3977" t="inlineStr">
        <is>
          <t>uncertainty type</t>
        </is>
      </c>
    </row>
    <row r="3978">
      <c r="A3978" t="inlineStr">
        <is>
          <t>electricity, used in services electric boiler</t>
        </is>
      </c>
      <c r="B3978">
        <v>1</v>
      </c>
      <c r="C3978" t="inlineStr">
        <is>
          <t>CH</t>
        </is>
      </c>
      <c r="D3978" t="inlineStr">
        <is>
          <t>megajoule</t>
        </is>
      </c>
      <c r="F3978" t="inlineStr">
        <is>
          <t>production</t>
        </is>
      </c>
      <c r="G3978" t="inlineStr">
        <is>
          <t>electricity, low voltage</t>
        </is>
      </c>
    </row>
    <row r="3979">
      <c r="A3979" t="inlineStr">
        <is>
          <t>market for electricity, low voltage</t>
        </is>
      </c>
      <c r="B3979">
        <v>0.2777777777777778</v>
      </c>
      <c r="C3979" t="inlineStr">
        <is>
          <t>CH</t>
        </is>
      </c>
      <c r="D3979" t="inlineStr">
        <is>
          <t>kilowatt hour</t>
        </is>
      </c>
      <c r="F3979" t="inlineStr">
        <is>
          <t>technosphere</t>
        </is>
      </c>
      <c r="G3979" t="inlineStr">
        <is>
          <t>electricity, low voltage</t>
        </is>
      </c>
    </row>
    <row r="3980">
      <c r="A3980" t="inlineStr">
        <is>
          <t>electric boiler equipment production, CTC EL 42</t>
        </is>
      </c>
      <c r="B3980">
        <v>8.393943337505122e-08</v>
      </c>
      <c r="C3980" t="inlineStr">
        <is>
          <t>RER</t>
        </is>
      </c>
      <c r="D3980" t="inlineStr">
        <is>
          <t>unit</t>
        </is>
      </c>
      <c r="F3980" t="inlineStr">
        <is>
          <t>technosphere</t>
        </is>
      </c>
      <c r="G3980" t="inlineStr">
        <is>
          <t>CTC EL 42</t>
        </is>
      </c>
    </row>
    <row r="3981"/>
    <row r="3982">
      <c r="A3982" t="inlineStr">
        <is>
          <t>Activity</t>
        </is>
      </c>
      <c r="B3982" t="inlineStr">
        <is>
          <t>electric boiler equipment production, Osby Parca EL 500 Eco, 504 kW</t>
        </is>
      </c>
    </row>
    <row r="3983">
      <c r="A3983" t="inlineStr">
        <is>
          <t>reference product</t>
        </is>
      </c>
      <c r="B3983" t="inlineStr">
        <is>
          <t>Osby Parca EL 500 Eco, 504 kW</t>
        </is>
      </c>
    </row>
    <row r="3984">
      <c r="A3984" t="inlineStr">
        <is>
          <t>unit</t>
        </is>
      </c>
      <c r="B3984" t="inlineStr">
        <is>
          <t>unit</t>
        </is>
      </c>
    </row>
    <row r="3985">
      <c r="A3985" t="inlineStr">
        <is>
          <t>location</t>
        </is>
      </c>
      <c r="B3985" t="inlineStr">
        <is>
          <t>RER</t>
        </is>
      </c>
    </row>
    <row r="3986">
      <c r="A3986" t="inlineStr">
        <is>
          <t>comment</t>
        </is>
      </c>
      <c r="B3986" t="inlineStr">
        <is>
          <t>Dedicated electric heating hardware; sourced mass with explicit background-LCI proxies. Published industrial hot-water-boiler mass and power; material fractions and 20-year life are transferred from CTC EL 42 as explicit engineering proxies. Industrial steam/electrode-boiler composition and Swiss technology shares remain unresolved; this is a provisional resistance-boiler archetype. Steel-plate group uses low-alloy steel; stainless-steel substitution must be reported as a sensitivity. Cable/electronics use a generic control-unit electronics proxy; unidentified 14% remains unmodelled. No elemental metal fractions are invented. Installation, circulation pump, manufacturing assembly energy and end-of-life remain unquantified.</t>
        </is>
      </c>
    </row>
    <row r="3987">
      <c r="A3987" t="inlineStr">
        <is>
          <t>electric boiler equipment</t>
        </is>
      </c>
      <c r="B3987" t="inlineStr">
        <is>
          <t>{"model": "Osby Parca EL 500 Eco, 504 kW", "name": "electricity, used in industrial electric boiler", "power_kW": 504, "mass_kg": 410, "lifetime_years": 20, "lifetime_range": [20, 30], "material_fractions": {"low_alloy": 0.581, "brass": 0.011, "electronics": 0.242, "rubber": 0.026, "unmodelled": 0.14}, "source_ids": ["osby", "ctc_bvd"], "limitations": ["Published industrial hot-water-boiler mass and power; material fractions and 20-year life are transferred from CTC EL 42 as explicit engineering proxies.", "Industrial steam/electrode-boiler composition and Swiss technology shares remain unresolved; this is a provisional resistance-boiler archetype.", "Steel-plate group uses low-alloy steel; stainless-steel substitution must be reported as a sensitivity.", "Cable/electronics use a generic control-unit electronics proxy; unidentified 14% remains unmodelled. No elemental metal fractions are invented.", "Installation, circulation pump, manufacturing assembly energy and end-of-life remain unquantified."], "pathway": "FE_industry_process_electric_boiler", "capacity_variable": "Process and space heating capacity in industry sectors|Electricity|Electric boiler", "energy_variable": "Fuel consumption in industry sectors|Electricity|Electric boiler", "id": "industry", "sources": {"osby": {"url": "https://www.rskdatabasen.se/infoDocs/PROD/PROD_1185_6203841.pdf", "sha256": "1e9642102af02575a2afbbccd23659c9f0209d37aa560749d621a7b9e75ade52", "locator": "Last page, 2022-11-25; EL 500 Eco, 504 kW, 410 kg excluding water"}, "ctc_bvd": {"url": "https://ctc.no/file-download/a9a26013a5c285864d4ad53326bec18c.pdf", "sha256": "8b279c4c47d0e0c1c239d98dea2952f67fade9527b9fcec1e38bd8e0bc6c423a", "locator": "BVD-0045 to BVD-0047, 2022-01-10, material declarations and 20–25 year technical life"}}, "boundary": "Dedicated electric heating equipment only; building fabric and heat-distribution networks excluded.", "hardware": ["electric boiler equipment production, Osby Parca EL 500 Eco, 504 kW", "Osby Parca EL 500 Eco, 504 kW", "RER", "unit"], "materials_kg": {"low_alloy": 238.20999999999998, "brass": 4.51, "electronics": 99.22, "rubber": 10.66, "unmodelled": 57.400000000000006}, "material_suppliers": {"low_alloy": ["market for steel, low-alloyed", "steel, low-alloyed", "GLO", "kilogram"], "brass": ["market for brass", "brass", "RoW", "kilogram"], "electronics": ["market for electronics, for control units", "electronics, for control units", "GLO", "kilogram"], "rubber": ["market for synthetic rubber", "synthetic rubber", "GLO", "kilogram"]}, "unmodelled_mass_kg": 57.400000000000006}</t>
        </is>
      </c>
    </row>
    <row r="3988">
      <c r="A3988" t="inlineStr">
        <is>
          <t>Exchanges</t>
        </is>
      </c>
    </row>
    <row r="3989">
      <c r="A3989" t="inlineStr">
        <is>
          <t>name</t>
        </is>
      </c>
      <c r="B3989" t="inlineStr">
        <is>
          <t>amount</t>
        </is>
      </c>
      <c r="C3989" t="inlineStr">
        <is>
          <t>location</t>
        </is>
      </c>
      <c r="D3989" t="inlineStr">
        <is>
          <t>unit</t>
        </is>
      </c>
      <c r="E3989" t="inlineStr">
        <is>
          <t>categories</t>
        </is>
      </c>
      <c r="F3989" t="inlineStr">
        <is>
          <t>type</t>
        </is>
      </c>
      <c r="G3989" t="inlineStr">
        <is>
          <t>reference product</t>
        </is>
      </c>
      <c r="H3989" t="inlineStr">
        <is>
          <t>comment</t>
        </is>
      </c>
      <c r="I3989" t="inlineStr">
        <is>
          <t>uncertainty type</t>
        </is>
      </c>
    </row>
    <row r="3990">
      <c r="A3990" t="inlineStr">
        <is>
          <t>electric boiler equipment production, Osby Parca EL 500 Eco, 504 kW</t>
        </is>
      </c>
      <c r="B3990">
        <v>1</v>
      </c>
      <c r="C3990" t="inlineStr">
        <is>
          <t>RER</t>
        </is>
      </c>
      <c r="D3990" t="inlineStr">
        <is>
          <t>unit</t>
        </is>
      </c>
      <c r="F3990" t="inlineStr">
        <is>
          <t>production</t>
        </is>
      </c>
      <c r="G3990" t="inlineStr">
        <is>
          <t>Osby Parca EL 500 Eco, 504 kW</t>
        </is>
      </c>
    </row>
    <row r="3991">
      <c r="A3991" t="inlineStr">
        <is>
          <t>market for steel, low-alloyed</t>
        </is>
      </c>
      <c r="B3991">
        <v>238.20999999999998</v>
      </c>
      <c r="C3991" t="inlineStr">
        <is>
          <t>GLO</t>
        </is>
      </c>
      <c r="D3991" t="inlineStr">
        <is>
          <t>kilogram</t>
        </is>
      </c>
      <c r="F3991" t="inlineStr">
        <is>
          <t>technosphere</t>
        </is>
      </c>
      <c r="G3991" t="inlineStr">
        <is>
          <t>steel, low-alloyed</t>
        </is>
      </c>
      <c r="H3991" t="inlineStr">
        <is>
          <t>low_alloy: sourced material-class mass; mapping limitations in activity metadata</t>
        </is>
      </c>
    </row>
    <row r="3992">
      <c r="A3992" t="inlineStr">
        <is>
          <t>market for brass</t>
        </is>
      </c>
      <c r="B3992">
        <v>4.51</v>
      </c>
      <c r="C3992" t="inlineStr">
        <is>
          <t>RoW</t>
        </is>
      </c>
      <c r="D3992" t="inlineStr">
        <is>
          <t>kilogram</t>
        </is>
      </c>
      <c r="F3992" t="inlineStr">
        <is>
          <t>technosphere</t>
        </is>
      </c>
      <c r="G3992" t="inlineStr">
        <is>
          <t>brass</t>
        </is>
      </c>
      <c r="H3992" t="inlineStr">
        <is>
          <t>brass: sourced material-class mass; mapping limitations in activity metadata</t>
        </is>
      </c>
    </row>
    <row r="3993">
      <c r="A3993" t="inlineStr">
        <is>
          <t>market for electronics, for control units</t>
        </is>
      </c>
      <c r="B3993">
        <v>99.22</v>
      </c>
      <c r="C3993" t="inlineStr">
        <is>
          <t>GLO</t>
        </is>
      </c>
      <c r="D3993" t="inlineStr">
        <is>
          <t>kilogram</t>
        </is>
      </c>
      <c r="F3993" t="inlineStr">
        <is>
          <t>technosphere</t>
        </is>
      </c>
      <c r="G3993" t="inlineStr">
        <is>
          <t>electronics, for control units</t>
        </is>
      </c>
      <c r="H3993" t="inlineStr">
        <is>
          <t>electronics: sourced material-class mass; mapping limitations in activity metadata</t>
        </is>
      </c>
    </row>
    <row r="3994">
      <c r="A3994" t="inlineStr">
        <is>
          <t>market for synthetic rubber</t>
        </is>
      </c>
      <c r="B3994">
        <v>10.66</v>
      </c>
      <c r="C3994" t="inlineStr">
        <is>
          <t>GLO</t>
        </is>
      </c>
      <c r="D3994" t="inlineStr">
        <is>
          <t>kilogram</t>
        </is>
      </c>
      <c r="F3994" t="inlineStr">
        <is>
          <t>technosphere</t>
        </is>
      </c>
      <c r="G3994" t="inlineStr">
        <is>
          <t>synthetic rubber</t>
        </is>
      </c>
      <c r="H3994" t="inlineStr">
        <is>
          <t>rubber: sourced material-class mass; mapping limitations in activity metadata</t>
        </is>
      </c>
    </row>
    <row r="3995"/>
    <row r="3996">
      <c r="A3996" t="inlineStr">
        <is>
          <t>Activity</t>
        </is>
      </c>
      <c r="B3996" t="inlineStr">
        <is>
          <t>energy equipment production, industrial induction motor, 22 kW (SPS)</t>
        </is>
      </c>
    </row>
    <row r="3997">
      <c r="A3997" t="inlineStr">
        <is>
          <t>reference product</t>
        </is>
      </c>
      <c r="B3997" t="inlineStr">
        <is>
          <t>energy equipment production, industrial induction motor, 22 kW (SPS)</t>
        </is>
      </c>
    </row>
    <row r="3998">
      <c r="A3998" t="inlineStr">
        <is>
          <t>location</t>
        </is>
      </c>
      <c r="B3998" t="inlineStr">
        <is>
          <t>RER</t>
        </is>
      </c>
    </row>
    <row r="3999">
      <c r="A3999" t="inlineStr">
        <is>
          <t>unit</t>
        </is>
      </c>
      <c r="B3999" t="inlineStr">
        <is>
          <t>unit</t>
        </is>
      </c>
    </row>
    <row r="4000">
      <c r="A4000" t="inlineStr">
        <is>
          <t>comment</t>
        </is>
      </c>
      <c r="B4000" t="inlineStr">
        <is>
          <t>ABB M3JP 180MLB EPD: 22 kW shaft, 93.1% efficiency, 15 years at 5000 h/year. Old heavy flameproof motor is a technology proxy. Electrical steel represented by low-alloy steel; unspecified aluminium by cast alloy; insulation/resin/paint use generic LCI proxies. No driven-machine frame or packaging. Assembly energy and drives/controllers not reconstructed.</t>
        </is>
      </c>
    </row>
    <row r="4001">
      <c r="A4001" t="inlineStr">
        <is>
          <t>Exchanges</t>
        </is>
      </c>
    </row>
    <row r="4002">
      <c r="A4002" t="inlineStr">
        <is>
          <t>name</t>
        </is>
      </c>
      <c r="B4002" t="inlineStr">
        <is>
          <t>amount</t>
        </is>
      </c>
      <c r="C4002" t="inlineStr">
        <is>
          <t>location</t>
        </is>
      </c>
      <c r="D4002" t="inlineStr">
        <is>
          <t>unit</t>
        </is>
      </c>
      <c r="E4002" t="inlineStr">
        <is>
          <t>categories</t>
        </is>
      </c>
      <c r="F4002" t="inlineStr">
        <is>
          <t>type</t>
        </is>
      </c>
      <c r="G4002" t="inlineStr">
        <is>
          <t>reference product</t>
        </is>
      </c>
      <c r="H4002" t="inlineStr">
        <is>
          <t>comment</t>
        </is>
      </c>
      <c r="I4002" t="inlineStr">
        <is>
          <t>uncertainty type</t>
        </is>
      </c>
    </row>
    <row r="4003">
      <c r="A4003" t="inlineStr">
        <is>
          <t>energy equipment production, industrial induction motor, 22 kW (SPS)</t>
        </is>
      </c>
      <c r="B4003">
        <v>1</v>
      </c>
      <c r="C4003" t="inlineStr">
        <is>
          <t>RER</t>
        </is>
      </c>
      <c r="D4003" t="inlineStr">
        <is>
          <t>unit</t>
        </is>
      </c>
      <c r="F4003" t="inlineStr">
        <is>
          <t>production</t>
        </is>
      </c>
      <c r="G4003" t="inlineStr">
        <is>
          <t>energy equipment production, industrial induction motor, 22 kW (SPS)</t>
        </is>
      </c>
    </row>
    <row r="4004">
      <c r="A4004" t="inlineStr">
        <is>
          <t>market for steel, low-alloyed</t>
        </is>
      </c>
      <c r="B4004">
        <v>134.0</v>
      </c>
      <c r="C4004" t="inlineStr">
        <is>
          <t>GLO</t>
        </is>
      </c>
      <c r="D4004" t="inlineStr">
        <is>
          <t>kilogram</t>
        </is>
      </c>
      <c r="F4004" t="inlineStr">
        <is>
          <t>technosphere</t>
        </is>
      </c>
      <c r="G4004" t="inlineStr">
        <is>
          <t>steel, low-alloyed</t>
        </is>
      </c>
    </row>
    <row r="4005">
      <c r="A4005" t="inlineStr">
        <is>
          <t>market for cast iron</t>
        </is>
      </c>
      <c r="B4005">
        <v>116.0</v>
      </c>
      <c r="C4005" t="inlineStr">
        <is>
          <t>GLO</t>
        </is>
      </c>
      <c r="D4005" t="inlineStr">
        <is>
          <t>kilogram</t>
        </is>
      </c>
      <c r="F4005" t="inlineStr">
        <is>
          <t>technosphere</t>
        </is>
      </c>
      <c r="G4005" t="inlineStr">
        <is>
          <t>cast iron</t>
        </is>
      </c>
    </row>
    <row r="4006">
      <c r="A4006" t="inlineStr">
        <is>
          <t>market for aluminium, cast alloy</t>
        </is>
      </c>
      <c r="B4006">
        <v>4.1</v>
      </c>
      <c r="C4006" t="inlineStr">
        <is>
          <t>GLO</t>
        </is>
      </c>
      <c r="D4006" t="inlineStr">
        <is>
          <t>kilogram</t>
        </is>
      </c>
      <c r="F4006" t="inlineStr">
        <is>
          <t>technosphere</t>
        </is>
      </c>
      <c r="G4006" t="inlineStr">
        <is>
          <t>aluminium, cast alloy</t>
        </is>
      </c>
    </row>
    <row r="4007">
      <c r="A4007" t="inlineStr">
        <is>
          <t>market for copper, cathode</t>
        </is>
      </c>
      <c r="B4007">
        <v>12.0</v>
      </c>
      <c r="C4007" t="inlineStr">
        <is>
          <t>GLO</t>
        </is>
      </c>
      <c r="D4007" t="inlineStr">
        <is>
          <t>kilogram</t>
        </is>
      </c>
      <c r="F4007" t="inlineStr">
        <is>
          <t>technosphere</t>
        </is>
      </c>
      <c r="G4007" t="inlineStr">
        <is>
          <t>copper, cathode</t>
        </is>
      </c>
    </row>
    <row r="4008">
      <c r="A4008" t="inlineStr">
        <is>
          <t>market for glass fibre</t>
        </is>
      </c>
      <c r="B4008">
        <v>0.3</v>
      </c>
      <c r="C4008" t="inlineStr">
        <is>
          <t>GLO</t>
        </is>
      </c>
      <c r="D4008" t="inlineStr">
        <is>
          <t>kilogram</t>
        </is>
      </c>
      <c r="F4008" t="inlineStr">
        <is>
          <t>technosphere</t>
        </is>
      </c>
      <c r="G4008" t="inlineStr">
        <is>
          <t>glass fibre</t>
        </is>
      </c>
    </row>
    <row r="4009">
      <c r="A4009" t="inlineStr">
        <is>
          <t>market for epoxy resin, liquid</t>
        </is>
      </c>
      <c r="B4009">
        <v>1.2</v>
      </c>
      <c r="C4009" t="inlineStr">
        <is>
          <t>RER</t>
        </is>
      </c>
      <c r="D4009" t="inlineStr">
        <is>
          <t>kilogram</t>
        </is>
      </c>
      <c r="F4009" t="inlineStr">
        <is>
          <t>technosphere</t>
        </is>
      </c>
      <c r="G4009" t="inlineStr">
        <is>
          <t>epoxy resin, liquid</t>
        </is>
      </c>
    </row>
    <row r="4010">
      <c r="A4010" t="inlineStr">
        <is>
          <t>market for alkyd paint, white, without water, in 60% solution state</t>
        </is>
      </c>
      <c r="B4010">
        <v>1.6</v>
      </c>
      <c r="C4010" t="inlineStr">
        <is>
          <t>RER</t>
        </is>
      </c>
      <c r="D4010" t="inlineStr">
        <is>
          <t>kilogram</t>
        </is>
      </c>
      <c r="F4010" t="inlineStr">
        <is>
          <t>technosphere</t>
        </is>
      </c>
      <c r="G4010" t="inlineStr">
        <is>
          <t>alkyd paint, white, without water, in 60% solution state</t>
        </is>
      </c>
    </row>
    <row r="4011"/>
    <row r="4012">
      <c r="A4012" t="inlineStr">
        <is>
          <t>Activity</t>
        </is>
      </c>
      <c r="B4012" t="inlineStr">
        <is>
          <t>energy equipment production, identified electrical components of refrigerator (SPS)</t>
        </is>
      </c>
    </row>
    <row r="4013">
      <c r="A4013" t="inlineStr">
        <is>
          <t>reference product</t>
        </is>
      </c>
      <c r="B4013" t="inlineStr">
        <is>
          <t>energy equipment production, identified electrical components of refrigerator (SPS)</t>
        </is>
      </c>
    </row>
    <row r="4014">
      <c r="A4014" t="inlineStr">
        <is>
          <t>location</t>
        </is>
      </c>
      <c r="B4014" t="inlineStr">
        <is>
          <t>RER</t>
        </is>
      </c>
    </row>
    <row r="4015">
      <c r="A4015" t="inlineStr">
        <is>
          <t>unit</t>
        </is>
      </c>
      <c r="B4015" t="inlineStr">
        <is>
          <t>unit</t>
        </is>
      </c>
    </row>
    <row r="4016">
      <c r="A4016" t="inlineStr">
        <is>
          <t>comment</t>
        </is>
      </c>
      <c r="B4016" t="inlineStr">
        <is>
          <t>Selected electrical materials from ecoinvent 3.12 refrigerator production. Excludes unseparated structural materials, housing, ballast, and associated disposal. This is partial component coverage, not a complete appliance LCI. Lifetime 10 years; Swiss 2020 stock consumption 214 kWh/year.</t>
        </is>
      </c>
    </row>
    <row r="4017">
      <c r="A4017" t="inlineStr">
        <is>
          <t>Exchanges</t>
        </is>
      </c>
    </row>
    <row r="4018">
      <c r="A4018" t="inlineStr">
        <is>
          <t>name</t>
        </is>
      </c>
      <c r="B4018" t="inlineStr">
        <is>
          <t>amount</t>
        </is>
      </c>
      <c r="C4018" t="inlineStr">
        <is>
          <t>location</t>
        </is>
      </c>
      <c r="D4018" t="inlineStr">
        <is>
          <t>unit</t>
        </is>
      </c>
      <c r="E4018" t="inlineStr">
        <is>
          <t>categories</t>
        </is>
      </c>
      <c r="F4018" t="inlineStr">
        <is>
          <t>type</t>
        </is>
      </c>
      <c r="G4018" t="inlineStr">
        <is>
          <t>reference product</t>
        </is>
      </c>
      <c r="H4018" t="inlineStr">
        <is>
          <t>comment</t>
        </is>
      </c>
      <c r="I4018" t="inlineStr">
        <is>
          <t>uncertainty type</t>
        </is>
      </c>
    </row>
    <row r="4019">
      <c r="A4019" t="inlineStr">
        <is>
          <t>energy equipment production, identified electrical components of refrigerator (SPS)</t>
        </is>
      </c>
      <c r="B4019">
        <v>1</v>
      </c>
      <c r="C4019" t="inlineStr">
        <is>
          <t>RER</t>
        </is>
      </c>
      <c r="D4019" t="inlineStr">
        <is>
          <t>unit</t>
        </is>
      </c>
      <c r="F4019" t="inlineStr">
        <is>
          <t>production</t>
        </is>
      </c>
      <c r="G4019" t="inlineStr">
        <is>
          <t>energy equipment production, identified electrical components of refrigerator (SPS)</t>
        </is>
      </c>
    </row>
    <row r="4020">
      <c r="A4020" t="inlineStr">
        <is>
          <t>market for copper, cathode</t>
        </is>
      </c>
      <c r="B4020">
        <v>1.308</v>
      </c>
      <c r="C4020" t="inlineStr">
        <is>
          <t>GLO</t>
        </is>
      </c>
      <c r="D4020" t="inlineStr">
        <is>
          <t>kilogram</t>
        </is>
      </c>
      <c r="F4020" t="inlineStr">
        <is>
          <t>technosphere</t>
        </is>
      </c>
      <c r="G4020" t="inlineStr">
        <is>
          <t>copper, cathode</t>
        </is>
      </c>
    </row>
    <row r="4021"/>
    <row r="4022">
      <c r="A4022" t="inlineStr">
        <is>
          <t>Activity</t>
        </is>
      </c>
      <c r="B4022" t="inlineStr">
        <is>
          <t>energy equipment production, identified electrical components of washer (SPS)</t>
        </is>
      </c>
    </row>
    <row r="4023">
      <c r="A4023" t="inlineStr">
        <is>
          <t>reference product</t>
        </is>
      </c>
      <c r="B4023" t="inlineStr">
        <is>
          <t>energy equipment production, identified electrical components of washer (SPS)</t>
        </is>
      </c>
    </row>
    <row r="4024">
      <c r="A4024" t="inlineStr">
        <is>
          <t>location</t>
        </is>
      </c>
      <c r="B4024" t="inlineStr">
        <is>
          <t>RER</t>
        </is>
      </c>
    </row>
    <row r="4025">
      <c r="A4025" t="inlineStr">
        <is>
          <t>unit</t>
        </is>
      </c>
      <c r="B4025" t="inlineStr">
        <is>
          <t>unit</t>
        </is>
      </c>
    </row>
    <row r="4026">
      <c r="A4026" t="inlineStr">
        <is>
          <t>comment</t>
        </is>
      </c>
      <c r="B4026" t="inlineStr">
        <is>
          <t>Selected electrical materials from ecoinvent 3.12 washing machine production. Excludes unseparated structural materials, housing, ballast, and associated disposal. This is partial component coverage, not a complete appliance LCI. Lifetime 10 years; Swiss 2020 stock consumption 255 kWh/year.</t>
        </is>
      </c>
    </row>
    <row r="4027">
      <c r="A4027" t="inlineStr">
        <is>
          <t>Exchanges</t>
        </is>
      </c>
    </row>
    <row r="4028">
      <c r="A4028" t="inlineStr">
        <is>
          <t>name</t>
        </is>
      </c>
      <c r="B4028" t="inlineStr">
        <is>
          <t>amount</t>
        </is>
      </c>
      <c r="C4028" t="inlineStr">
        <is>
          <t>location</t>
        </is>
      </c>
      <c r="D4028" t="inlineStr">
        <is>
          <t>unit</t>
        </is>
      </c>
      <c r="E4028" t="inlineStr">
        <is>
          <t>categories</t>
        </is>
      </c>
      <c r="F4028" t="inlineStr">
        <is>
          <t>type</t>
        </is>
      </c>
      <c r="G4028" t="inlineStr">
        <is>
          <t>reference product</t>
        </is>
      </c>
      <c r="H4028" t="inlineStr">
        <is>
          <t>comment</t>
        </is>
      </c>
      <c r="I4028" t="inlineStr">
        <is>
          <t>uncertainty type</t>
        </is>
      </c>
    </row>
    <row r="4029">
      <c r="A4029" t="inlineStr">
        <is>
          <t>energy equipment production, identified electrical components of washer (SPS)</t>
        </is>
      </c>
      <c r="B4029">
        <v>1</v>
      </c>
      <c r="C4029" t="inlineStr">
        <is>
          <t>RER</t>
        </is>
      </c>
      <c r="D4029" t="inlineStr">
        <is>
          <t>unit</t>
        </is>
      </c>
      <c r="F4029" t="inlineStr">
        <is>
          <t>production</t>
        </is>
      </c>
      <c r="G4029" t="inlineStr">
        <is>
          <t>energy equipment production, identified electrical components of washer (SPS)</t>
        </is>
      </c>
    </row>
    <row r="4030">
      <c r="A4030" t="inlineStr">
        <is>
          <t>market for cable, unspecified</t>
        </is>
      </c>
      <c r="B4030">
        <v>0.63</v>
      </c>
      <c r="C4030" t="inlineStr">
        <is>
          <t>GLO</t>
        </is>
      </c>
      <c r="D4030" t="inlineStr">
        <is>
          <t>kilogram</t>
        </is>
      </c>
      <c r="F4030" t="inlineStr">
        <is>
          <t>technosphere</t>
        </is>
      </c>
      <c r="G4030" t="inlineStr">
        <is>
          <t>cable, unspecified</t>
        </is>
      </c>
    </row>
    <row r="4031">
      <c r="A4031" t="inlineStr">
        <is>
          <t>market for copper, cathode</t>
        </is>
      </c>
      <c r="B4031">
        <v>1.81</v>
      </c>
      <c r="C4031" t="inlineStr">
        <is>
          <t>GLO</t>
        </is>
      </c>
      <c r="D4031" t="inlineStr">
        <is>
          <t>kilogram</t>
        </is>
      </c>
      <c r="F4031" t="inlineStr">
        <is>
          <t>technosphere</t>
        </is>
      </c>
      <c r="G4031" t="inlineStr">
        <is>
          <t>copper, cathode</t>
        </is>
      </c>
    </row>
    <row r="4032"/>
    <row r="4033">
      <c r="A4033" t="inlineStr">
        <is>
          <t>Activity</t>
        </is>
      </c>
      <c r="B4033" t="inlineStr">
        <is>
          <t>energy equipment production, identified electrical components of dishwasher (SPS)</t>
        </is>
      </c>
    </row>
    <row r="4034">
      <c r="A4034" t="inlineStr">
        <is>
          <t>reference product</t>
        </is>
      </c>
      <c r="B4034" t="inlineStr">
        <is>
          <t>energy equipment production, identified electrical components of dishwasher (SPS)</t>
        </is>
      </c>
    </row>
    <row r="4035">
      <c r="A4035" t="inlineStr">
        <is>
          <t>location</t>
        </is>
      </c>
      <c r="B4035" t="inlineStr">
        <is>
          <t>RER</t>
        </is>
      </c>
    </row>
    <row r="4036">
      <c r="A4036" t="inlineStr">
        <is>
          <t>unit</t>
        </is>
      </c>
      <c r="B4036" t="inlineStr">
        <is>
          <t>unit</t>
        </is>
      </c>
    </row>
    <row r="4037">
      <c r="A4037" t="inlineStr">
        <is>
          <t>comment</t>
        </is>
      </c>
      <c r="B4037" t="inlineStr">
        <is>
          <t>Selected electrical materials from ecoinvent 3.12 dishwasher production. Excludes unseparated structural materials, housing, ballast, and associated disposal. This is partial component coverage, not a complete appliance LCI. Lifetime 12.5 years; Swiss 2020 stock consumption 203 kWh/year.</t>
        </is>
      </c>
    </row>
    <row r="4038">
      <c r="A4038" t="inlineStr">
        <is>
          <t>Exchanges</t>
        </is>
      </c>
    </row>
    <row r="4039">
      <c r="A4039" t="inlineStr">
        <is>
          <t>name</t>
        </is>
      </c>
      <c r="B4039" t="inlineStr">
        <is>
          <t>amount</t>
        </is>
      </c>
      <c r="C4039" t="inlineStr">
        <is>
          <t>location</t>
        </is>
      </c>
      <c r="D4039" t="inlineStr">
        <is>
          <t>unit</t>
        </is>
      </c>
      <c r="E4039" t="inlineStr">
        <is>
          <t>categories</t>
        </is>
      </c>
      <c r="F4039" t="inlineStr">
        <is>
          <t>type</t>
        </is>
      </c>
      <c r="G4039" t="inlineStr">
        <is>
          <t>reference product</t>
        </is>
      </c>
      <c r="H4039" t="inlineStr">
        <is>
          <t>comment</t>
        </is>
      </c>
      <c r="I4039" t="inlineStr">
        <is>
          <t>uncertainty type</t>
        </is>
      </c>
    </row>
    <row r="4040">
      <c r="A4040" t="inlineStr">
        <is>
          <t>energy equipment production, identified electrical components of dishwasher (SPS)</t>
        </is>
      </c>
      <c r="B4040">
        <v>1</v>
      </c>
      <c r="C4040" t="inlineStr">
        <is>
          <t>RER</t>
        </is>
      </c>
      <c r="D4040" t="inlineStr">
        <is>
          <t>unit</t>
        </is>
      </c>
      <c r="F4040" t="inlineStr">
        <is>
          <t>production</t>
        </is>
      </c>
      <c r="G4040" t="inlineStr">
        <is>
          <t>energy equipment production, identified electrical components of dishwasher (SPS)</t>
        </is>
      </c>
    </row>
    <row r="4041">
      <c r="A4041" t="inlineStr">
        <is>
          <t>market for cable, unspecified</t>
        </is>
      </c>
      <c r="B4041">
        <v>0.75</v>
      </c>
      <c r="C4041" t="inlineStr">
        <is>
          <t>GLO</t>
        </is>
      </c>
      <c r="D4041" t="inlineStr">
        <is>
          <t>kilogram</t>
        </is>
      </c>
      <c r="F4041" t="inlineStr">
        <is>
          <t>technosphere</t>
        </is>
      </c>
      <c r="G4041" t="inlineStr">
        <is>
          <t>cable, unspecified</t>
        </is>
      </c>
    </row>
    <row r="4042">
      <c r="A4042" t="inlineStr">
        <is>
          <t>market for copper, cathode</t>
        </is>
      </c>
      <c r="B4042">
        <v>0.75</v>
      </c>
      <c r="C4042" t="inlineStr">
        <is>
          <t>GLO</t>
        </is>
      </c>
      <c r="D4042" t="inlineStr">
        <is>
          <t>kilogram</t>
        </is>
      </c>
      <c r="F4042" t="inlineStr">
        <is>
          <t>technosphere</t>
        </is>
      </c>
      <c r="G4042" t="inlineStr">
        <is>
          <t>copper, cathode</t>
        </is>
      </c>
    </row>
    <row r="4043">
      <c r="A4043" t="inlineStr">
        <is>
          <t>market for printed wiring board, surface mounted, unspecified, Pb free</t>
        </is>
      </c>
      <c r="B4043">
        <v>0.05</v>
      </c>
      <c r="C4043" t="inlineStr">
        <is>
          <t>GLO</t>
        </is>
      </c>
      <c r="D4043" t="inlineStr">
        <is>
          <t>kilogram</t>
        </is>
      </c>
      <c r="F4043" t="inlineStr">
        <is>
          <t>technosphere</t>
        </is>
      </c>
      <c r="G4043" t="inlineStr">
        <is>
          <t>printed wiring board, surface mounted, unspecified, Pb free</t>
        </is>
      </c>
    </row>
    <row r="4044"/>
    <row r="4045">
      <c r="A4045" t="inlineStr">
        <is>
          <t>Activity</t>
        </is>
      </c>
      <c r="B4045" t="inlineStr">
        <is>
          <t>electricity, used in services electric appliances</t>
        </is>
      </c>
    </row>
    <row r="4046">
      <c r="A4046" t="inlineStr">
        <is>
          <t>location</t>
        </is>
      </c>
      <c r="B4046" t="inlineStr">
        <is>
          <t>CH</t>
        </is>
      </c>
    </row>
    <row r="4047">
      <c r="A4047" t="inlineStr">
        <is>
          <t>production amount</t>
        </is>
      </c>
      <c r="B4047">
        <v>1</v>
      </c>
    </row>
    <row r="4048">
      <c r="A4048" t="inlineStr">
        <is>
          <t>reference product</t>
        </is>
      </c>
      <c r="B4048" t="inlineStr">
        <is>
          <t>electricity, low voltage</t>
        </is>
      </c>
    </row>
    <row r="4049">
      <c r="A4049" t="inlineStr">
        <is>
          <t>type</t>
        </is>
      </c>
      <c r="B4049" t="inlineStr">
        <is>
          <t>process</t>
        </is>
      </c>
    </row>
    <row r="4050">
      <c r="A4050" t="inlineStr">
        <is>
          <t>unit</t>
        </is>
      </c>
      <c r="B4050" t="inlineStr">
        <is>
          <t>megajoule</t>
        </is>
      </c>
    </row>
    <row r="4051">
      <c r="A4051" t="inlineStr">
        <is>
          <t>aggregate electric equipment</t>
        </is>
      </c>
      <c r="B4051" t="inlineStr">
        <is>
          <t>{"pathway": "FE_services_other_electric", "name": "electricity, used in services electric appliances", "energy_PJ": {"lighting": 10.9, "motor": 29.1, "unresolved_ICT": 9.4, "unresolved_other": 3.8}, "limitations": ["Swiss end-use shares include agriculture; motors use an industrial archetype, not a measured services equipment mix.", "Lighting uses a 10 W CFL inventory; ICT and other residual equipment remain gaps."], "id": "services", "sources": {"swiss_enduse": {"url": "https://pubdb.bfe.admin.ch/de/publication/download/12358", "locator": "Tables 23, 24, 28 and 32, 2020 columns; space/water/process heating excluded from industry/services other electricity."}, "swiss_appliances": {"url": "https://pubdb.bfe.admin.ch/de/publication/download/10742", "locator": "Sections 3.1.3, 3.2 and 3.5; 2020 stock consumption, 214 kWh/year refrigerator, 255 washer, 203 dishwasher. Later editions revise historical values."}, "abb_motor": {"url": "https://library.e.abb.com/public/6d5d9840ca2fa0f3c1256d63003e98bf/EPD%20M3JP180GB.pdf", "locator": "Page 1; M3JP 180MLB, 22 kW shaft output, 93.1% efficiency, 15 years, 5000 hours/year; product material table, excluding wooden packaging."}}, "boundary": "Energy conversion components only; appliance housings, structural frames, buildings and distribution networks excluded.", "interpretation": "Static representative equipment per lifetime MJ; Swiss 2020 energy shares are held constant to 2050, not projected technology shares.", "shares": {"lighting": 0.2048872180451128, "motor": 0.5469924812030076, "unresolved_ICT": 0.1766917293233083, "unresolved_other": 0.07142857142857142}, "components": [{"category": "lighting", "share": 0.2048872180451128, "per_MJ_of_category": 0.002777777777777778, "exchange": {"name": "compact fluorescent lamp production", "product": "compact fluorescent lamp", "location": "GLO", "unit": "unit", "type": "technosphere", "amount": 0.0005691311612364244}}, {"category": "motor", "share": 0.5469924812030076, "per_MJ_of_category": 1.5673400673400675e-07, "exchange": {"name": "energy equipment production, industrial induction motor, 22 kW (SPS)", "product": "energy equipment production, industrial induction motor, 22 kW (SPS)", "location": "RER", "unit": "unit", "type": "technosphere", "amount": 8.573232323232325e-08}}], "fraction with some identified components": 0.7518796992481204, "fraction without equipment": 0.2481203007518797}</t>
        </is>
      </c>
    </row>
    <row r="4052">
      <c r="A4052" t="inlineStr">
        <is>
          <t>comment</t>
        </is>
      </c>
      <c r="B4052" t="inlineStr">
        <is>
          <t>Energy conversion components only; appliance housings, structural frames, buildings and distribution networks excluded. Static representative equipment per lifetime MJ; Swiss 2020 energy shares are held constant to 2050, not projected technology shares. Swiss end-use shares include agriculture; motors use an industrial archetype, not a measured services equipment mix. Lighting uses a 10 W CFL inventory; ICT and other residual equipment remain gaps.</t>
        </is>
      </c>
    </row>
    <row r="4053">
      <c r="A4053" t="inlineStr">
        <is>
          <t>Exchanges</t>
        </is>
      </c>
    </row>
    <row r="4054">
      <c r="A4054" t="inlineStr">
        <is>
          <t>name</t>
        </is>
      </c>
      <c r="B4054" t="inlineStr">
        <is>
          <t>amount</t>
        </is>
      </c>
      <c r="C4054" t="inlineStr">
        <is>
          <t>location</t>
        </is>
      </c>
      <c r="D4054" t="inlineStr">
        <is>
          <t>unit</t>
        </is>
      </c>
      <c r="E4054" t="inlineStr">
        <is>
          <t>categories</t>
        </is>
      </c>
      <c r="F4054" t="inlineStr">
        <is>
          <t>type</t>
        </is>
      </c>
      <c r="G4054" t="inlineStr">
        <is>
          <t>reference product</t>
        </is>
      </c>
      <c r="H4054" t="inlineStr">
        <is>
          <t>comment</t>
        </is>
      </c>
      <c r="I4054" t="inlineStr">
        <is>
          <t>uncertainty type</t>
        </is>
      </c>
    </row>
    <row r="4055">
      <c r="A4055" t="inlineStr">
        <is>
          <t>electricity, used in services electric appliances</t>
        </is>
      </c>
      <c r="B4055">
        <v>1</v>
      </c>
      <c r="C4055" t="inlineStr">
        <is>
          <t>CH</t>
        </is>
      </c>
      <c r="D4055" t="inlineStr">
        <is>
          <t>megajoule</t>
        </is>
      </c>
      <c r="F4055" t="inlineStr">
        <is>
          <t>production</t>
        </is>
      </c>
      <c r="G4055" t="inlineStr">
        <is>
          <t>electricity, low voltage</t>
        </is>
      </c>
    </row>
    <row r="4056">
      <c r="A4056" t="inlineStr">
        <is>
          <t>market for electricity, low voltage</t>
        </is>
      </c>
      <c r="B4056">
        <v>0.2777777777777778</v>
      </c>
      <c r="C4056" t="inlineStr">
        <is>
          <t>CH</t>
        </is>
      </c>
      <c r="D4056" t="inlineStr">
        <is>
          <t>kilowatt hour</t>
        </is>
      </c>
      <c r="F4056" t="inlineStr">
        <is>
          <t>technosphere</t>
        </is>
      </c>
      <c r="G4056" t="inlineStr">
        <is>
          <t>electricity, low voltage</t>
        </is>
      </c>
    </row>
    <row r="4057">
      <c r="A4057" t="inlineStr">
        <is>
          <t>compact fluorescent lamp production</t>
        </is>
      </c>
      <c r="B4057">
        <v>0.0005691311612364244</v>
      </c>
      <c r="C4057" t="inlineStr">
        <is>
          <t>GLO</t>
        </is>
      </c>
      <c r="D4057" t="inlineStr">
        <is>
          <t>unit</t>
        </is>
      </c>
      <c r="F4057" t="inlineStr">
        <is>
          <t>technosphere</t>
        </is>
      </c>
      <c r="G4057" t="inlineStr">
        <is>
          <t>compact fluorescent lamp</t>
        </is>
      </c>
    </row>
    <row r="4058">
      <c r="A4058" t="inlineStr">
        <is>
          <t>energy equipment production, industrial induction motor, 22 kW (SPS)</t>
        </is>
      </c>
      <c r="B4058">
        <v>8.573232323232325e-08</v>
      </c>
      <c r="C4058" t="inlineStr">
        <is>
          <t>RER</t>
        </is>
      </c>
      <c r="D4058" t="inlineStr">
        <is>
          <t>unit</t>
        </is>
      </c>
      <c r="F4058" t="inlineStr">
        <is>
          <t>technosphere</t>
        </is>
      </c>
      <c r="G4058" t="inlineStr">
        <is>
          <t>energy equipment production, industrial induction motor, 22 kW (SPS)</t>
        </is>
      </c>
    </row>
    <row r="4059"/>
    <row r="4060">
      <c r="A4060" t="inlineStr">
        <is>
          <t>Activity</t>
        </is>
      </c>
      <c r="B4060" t="inlineStr">
        <is>
          <t>electricity, used in passenger train</t>
        </is>
      </c>
    </row>
    <row r="4061">
      <c r="A4061" t="inlineStr">
        <is>
          <t>location</t>
        </is>
      </c>
      <c r="B4061" t="inlineStr">
        <is>
          <t>CH</t>
        </is>
      </c>
    </row>
    <row r="4062">
      <c r="A4062" t="inlineStr">
        <is>
          <t>production amount</t>
        </is>
      </c>
      <c r="B4062">
        <v>1</v>
      </c>
    </row>
    <row r="4063">
      <c r="A4063" t="inlineStr">
        <is>
          <t>reference product</t>
        </is>
      </c>
      <c r="B4063" t="inlineStr">
        <is>
          <t>electricity, high voltage</t>
        </is>
      </c>
    </row>
    <row r="4064">
      <c r="A4064" t="inlineStr">
        <is>
          <t>type</t>
        </is>
      </c>
      <c r="B4064" t="inlineStr">
        <is>
          <t>process</t>
        </is>
      </c>
    </row>
    <row r="4065">
      <c r="A4065" t="inlineStr">
        <is>
          <t>unit</t>
        </is>
      </c>
      <c r="B4065" t="inlineStr">
        <is>
          <t>megajoule</t>
        </is>
      </c>
    </row>
    <row r="4066">
      <c r="A4066" t="inlineStr">
        <is>
          <t>energy use source</t>
        </is>
      </c>
      <c r="B4066" t="inlineStr">
        <is>
          <t>{"source":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 "vehicle per source service": 7.11e-10, "replacement correction factor": 1.0, "amount per MJ": 1.0214001325676948e-05}, {"supplier": ["market for electric motor, electric passenger car", "electric motor, electric passenger car", "GLO", "kilogram"], "amount per vehicle": 3710, "vehicle per source service": 7.11e-10, "replacement correction factor": 1.0, "amount per MJ": 1.2424244235495565e-05}, {"supplier": ["market for converter, for electric passenger car", "converter, for electric passenger car", "GLO", "kilogram"], "amount per vehicle": 10359.999999999989, "vehicle per source service": 7.11e-10, "replacement correction factor": 1.0, "amount per MJ": 3.4694115978364936e-05}], "excluded": [{"supplier": ["market for locomotive", "locomotive", "GLO", "unit"], "amount per vehicle": 1,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4067">
      <c r="A4067" t="inlineStr">
        <is>
          <t>comment</t>
        </is>
      </c>
      <c r="B4067" t="inlineStr">
        <is>
          <t>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4068">
      <c r="A4068" t="inlineStr">
        <is>
          <t>Exchanges</t>
        </is>
      </c>
    </row>
    <row r="4069">
      <c r="A4069" t="inlineStr">
        <is>
          <t>name</t>
        </is>
      </c>
      <c r="B4069" t="inlineStr">
        <is>
          <t>amount</t>
        </is>
      </c>
      <c r="C4069" t="inlineStr">
        <is>
          <t>location</t>
        </is>
      </c>
      <c r="D4069" t="inlineStr">
        <is>
          <t>unit</t>
        </is>
      </c>
      <c r="E4069" t="inlineStr">
        <is>
          <t>categories</t>
        </is>
      </c>
      <c r="F4069" t="inlineStr">
        <is>
          <t>type</t>
        </is>
      </c>
      <c r="G4069" t="inlineStr">
        <is>
          <t>reference product</t>
        </is>
      </c>
      <c r="H4069" t="inlineStr">
        <is>
          <t>comment</t>
        </is>
      </c>
      <c r="I4069" t="inlineStr">
        <is>
          <t>uncertainty type</t>
        </is>
      </c>
    </row>
    <row r="4070">
      <c r="A4070" t="inlineStr">
        <is>
          <t>electricity, used in passenger train</t>
        </is>
      </c>
      <c r="B4070">
        <v>1.0</v>
      </c>
      <c r="C4070" t="inlineStr">
        <is>
          <t>CH</t>
        </is>
      </c>
      <c r="D4070" t="inlineStr">
        <is>
          <t>megajoule</t>
        </is>
      </c>
      <c r="F4070" t="inlineStr">
        <is>
          <t>production</t>
        </is>
      </c>
      <c r="G4070" t="inlineStr">
        <is>
          <t>electricity, high voltage</t>
        </is>
      </c>
      <c r="I4070">
        <v>0</v>
      </c>
    </row>
    <row r="4071">
      <c r="A4071" t="inlineStr">
        <is>
          <t>market group for electricity, high voltage</t>
        </is>
      </c>
      <c r="B4071">
        <v>0.27777777777777773</v>
      </c>
      <c r="C4071" t="inlineStr">
        <is>
          <t>RER</t>
        </is>
      </c>
      <c r="D4071" t="inlineStr">
        <is>
          <t>kilowatt hour</t>
        </is>
      </c>
      <c r="F4071" t="inlineStr">
        <is>
          <t>technosphere</t>
        </is>
      </c>
      <c r="G4071" t="inlineStr">
        <is>
          <t>electricity, high voltage</t>
        </is>
      </c>
      <c r="H407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4071">
        <v>0</v>
      </c>
    </row>
    <row r="4072">
      <c r="A4072" t="inlineStr">
        <is>
          <t>market for diesel</t>
        </is>
      </c>
      <c r="B4072">
        <v>0.003188710842490739</v>
      </c>
      <c r="C4072" t="inlineStr">
        <is>
          <t>Europe without Switzerland</t>
        </is>
      </c>
      <c r="D4072" t="inlineStr">
        <is>
          <t>kilogram</t>
        </is>
      </c>
      <c r="F4072" t="inlineStr">
        <is>
          <t>technosphere</t>
        </is>
      </c>
      <c r="G4072" t="inlineStr">
        <is>
          <t>diesel</t>
        </is>
      </c>
      <c r="H4072"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4072">
        <v>0</v>
      </c>
    </row>
    <row r="4073">
      <c r="A4073" t="inlineStr">
        <is>
          <t>market for transformer, high voltage use</t>
        </is>
      </c>
      <c r="B4073">
        <v>1.0214001325676948e-05</v>
      </c>
      <c r="C4073" t="inlineStr">
        <is>
          <t>GLO</t>
        </is>
      </c>
      <c r="D4073" t="inlineStr">
        <is>
          <t>kilogram</t>
        </is>
      </c>
      <c r="F4073" t="inlineStr">
        <is>
          <t>technosphere</t>
        </is>
      </c>
      <c r="G4073" t="inlineStr">
        <is>
          <t>transformer, high voltage use</t>
        </is>
      </c>
      <c r="H4073"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4073">
        <v>0</v>
      </c>
    </row>
    <row r="4074">
      <c r="A4074" t="inlineStr">
        <is>
          <t>market for electric motor, electric passenger car</t>
        </is>
      </c>
      <c r="B4074">
        <v>1.2424244235495565e-05</v>
      </c>
      <c r="C4074" t="inlineStr">
        <is>
          <t>GLO</t>
        </is>
      </c>
      <c r="D4074" t="inlineStr">
        <is>
          <t>kilogram</t>
        </is>
      </c>
      <c r="F4074" t="inlineStr">
        <is>
          <t>technosphere</t>
        </is>
      </c>
      <c r="G4074" t="inlineStr">
        <is>
          <t>electric motor, electric passenger car</t>
        </is>
      </c>
      <c r="H4074" t="inlineStr">
        <is>
          <t>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4074">
        <v>0</v>
      </c>
    </row>
    <row r="4075">
      <c r="A4075" t="inlineStr">
        <is>
          <t>market for converter, for electric passenger car</t>
        </is>
      </c>
      <c r="B4075">
        <v>3.4694115978364936e-05</v>
      </c>
      <c r="C4075" t="inlineStr">
        <is>
          <t>GLO</t>
        </is>
      </c>
      <c r="D4075" t="inlineStr">
        <is>
          <t>kilogram</t>
        </is>
      </c>
      <c r="F4075" t="inlineStr">
        <is>
          <t>technosphere</t>
        </is>
      </c>
      <c r="G4075" t="inlineStr">
        <is>
          <t>converter, for electric passenger car</t>
        </is>
      </c>
      <c r="H4075"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4075">
        <v>0</v>
      </c>
    </row>
    <row r="4076">
      <c r="A4076" t="inlineStr">
        <is>
          <t>Ammonia</t>
        </is>
      </c>
      <c r="B4076">
        <v>6.377421684981479e-08</v>
      </c>
      <c r="D4076" t="inlineStr">
        <is>
          <t>kilogram</t>
        </is>
      </c>
      <c r="E4076" t="inlineStr">
        <is>
          <t>air</t>
        </is>
      </c>
      <c r="F4076" t="inlineStr">
        <is>
          <t>biosphere</t>
        </is>
      </c>
      <c r="H4076" t="inlineStr">
        <is>
          <t>2.0E-05 kg/kg fuel for diesel locomotives, according to Spielmann et al. (2007)
Spielmann, M., Bauer, C., Dones, R., Institut, P. S., &amp; Tuchschmid, M. (2007). Transport Services. Swiss Centre for Life Cycle Inventories, ecoinvent report No. 14.</t>
        </is>
      </c>
      <c r="I4076">
        <v>0</v>
      </c>
    </row>
    <row r="4077">
      <c r="A4077" t="inlineStr">
        <is>
          <t>Benzene</t>
        </is>
      </c>
      <c r="B4077">
        <v>3.1887108424907397e-07</v>
      </c>
      <c r="D4077" t="inlineStr">
        <is>
          <t>kilogram</t>
        </is>
      </c>
      <c r="E4077" t="inlineStr">
        <is>
          <t>air</t>
        </is>
      </c>
      <c r="F4077" t="inlineStr">
        <is>
          <t>biosphere</t>
        </is>
      </c>
      <c r="H4077" t="inlineStr">
        <is>
          <t>1.0E-04 kg/kg fuel for diesel locomotives, according to Spielmann et al. (2007)
Spielmann, M., Bauer, C., Dones, R., Institut, P. S., &amp; Tuchschmid, M. (2007). Transport Services. Swiss Centre for Life Cycle Inventories, ecoinvent report No. 14.</t>
        </is>
      </c>
      <c r="I4077">
        <v>0</v>
      </c>
    </row>
    <row r="4078">
      <c r="A4078" t="inlineStr">
        <is>
          <t>Cadmium II</t>
        </is>
      </c>
      <c r="B4078">
        <v>3.1887108424907394e-11</v>
      </c>
      <c r="D4078" t="inlineStr">
        <is>
          <t>kilogram</t>
        </is>
      </c>
      <c r="E4078" t="inlineStr">
        <is>
          <t>air</t>
        </is>
      </c>
      <c r="F4078" t="inlineStr">
        <is>
          <t>biosphere</t>
        </is>
      </c>
      <c r="H4078" t="inlineStr">
        <is>
          <t>1.0E-08 kg/kg fuel for diesel locomotives, according to Spielmann et al. (2007)
Spielmann, M., Bauer, C., Dones, R., Institut, P. S., &amp; Tuchschmid, M. (2007). Transport Services. Swiss Centre for Life Cycle Inventories, ecoinvent report No. 14.</t>
        </is>
      </c>
      <c r="I4078">
        <v>0</v>
      </c>
    </row>
    <row r="4079">
      <c r="A4079" t="inlineStr">
        <is>
          <t>Carbon dioxide, fossil</t>
        </is>
      </c>
      <c r="B4079">
        <v>0.010031684310475865</v>
      </c>
      <c r="D4079" t="inlineStr">
        <is>
          <t>kilogram</t>
        </is>
      </c>
      <c r="E4079" t="inlineStr">
        <is>
          <t>air</t>
        </is>
      </c>
      <c r="F4079" t="inlineStr">
        <is>
          <t>biosphere</t>
        </is>
      </c>
      <c r="H4079" t="inlineStr">
        <is>
          <t>3.146 kg/kg fuel for diesel locomotives, according to Spielmann et al. (2007)
Spielmann, M., Bauer, C., Dones, R., Institut, P. S., &amp; Tuchschmid, M. (2007). Transport Services. Swiss Centre for Life Cycle Inventories, ecoinvent report No. 14.</t>
        </is>
      </c>
      <c r="I4079">
        <v>0</v>
      </c>
    </row>
    <row r="4080">
      <c r="A4080" t="inlineStr">
        <is>
          <t>Carbon monoxide, fossil</t>
        </is>
      </c>
      <c r="B4080">
        <v>5.038163131135368e-05</v>
      </c>
      <c r="D4080" t="inlineStr">
        <is>
          <t>kilogram</t>
        </is>
      </c>
      <c r="E4080" t="inlineStr">
        <is>
          <t>air</t>
        </is>
      </c>
      <c r="F4080" t="inlineStr">
        <is>
          <t>biosphere</t>
        </is>
      </c>
      <c r="H4080" t="inlineStr">
        <is>
          <t>1.58E-02 kg/kg fuel for diesel locomotives, according to Spielmann et al. (2007)
Spielmann, M., Bauer, C., Dones, R., Institut, P. S., &amp; Tuchschmid, M. (2007). Transport Services. Swiss Centre for Life Cycle Inventories, ecoinvent report No. 14.</t>
        </is>
      </c>
      <c r="I4080">
        <v>0</v>
      </c>
    </row>
    <row r="4081">
      <c r="A4081" t="inlineStr">
        <is>
          <t>Chromium III</t>
        </is>
      </c>
      <c r="B4081">
        <v>1.5943554212453697e-10</v>
      </c>
      <c r="D4081" t="inlineStr">
        <is>
          <t>kilogram</t>
        </is>
      </c>
      <c r="E4081" t="inlineStr">
        <is>
          <t>air</t>
        </is>
      </c>
      <c r="F4081" t="inlineStr">
        <is>
          <t>biosphere</t>
        </is>
      </c>
      <c r="H4081" t="inlineStr">
        <is>
          <t>5.0E-08 kg/kg fuel for diesel locomotives, according to Spielmann et al. (2007)
Spielmann, M., Bauer, C., Dones, R., Institut, P. S., &amp; Tuchschmid, M. (2007). Transport Services. Swiss Centre for Life Cycle Inventories, ecoinvent report No. 14.</t>
        </is>
      </c>
      <c r="I4081">
        <v>0</v>
      </c>
    </row>
    <row r="4082">
      <c r="A4082" t="inlineStr">
        <is>
          <t>Copper ion</t>
        </is>
      </c>
      <c r="B4082">
        <v>5.420808432234257e-09</v>
      </c>
      <c r="D4082" t="inlineStr">
        <is>
          <t>kilogram</t>
        </is>
      </c>
      <c r="E4082" t="inlineStr">
        <is>
          <t>air</t>
        </is>
      </c>
      <c r="F4082" t="inlineStr">
        <is>
          <t>biosphere</t>
        </is>
      </c>
      <c r="H4082" t="inlineStr">
        <is>
          <t>1.7E-06 kg/kg fuel for diesel locomotives, according to Spielmann et al. (2007)
Spielmann, M., Bauer, C., Dones, R., Institut, P. S., &amp; Tuchschmid, M. (2007). Transport Services. Swiss Centre for Life Cycle Inventories, ecoinvent report No. 14.</t>
        </is>
      </c>
      <c r="I4082">
        <v>0</v>
      </c>
    </row>
    <row r="4083">
      <c r="A4083" t="inlineStr">
        <is>
          <t>Dinitrogen monoxide</t>
        </is>
      </c>
      <c r="B4083">
        <v>3.1887108424907397e-07</v>
      </c>
      <c r="D4083" t="inlineStr">
        <is>
          <t>kilogram</t>
        </is>
      </c>
      <c r="E4083" t="inlineStr">
        <is>
          <t>air</t>
        </is>
      </c>
      <c r="F4083" t="inlineStr">
        <is>
          <t>biosphere</t>
        </is>
      </c>
      <c r="H4083" t="inlineStr">
        <is>
          <t>1.0E-04 kg/kg fuel for diesel locomotives, according to Spielmann et al. (2007)
Spielmann, M., Bauer, C., Dones, R., Institut, P. S., &amp; Tuchschmid, M. (2007). Transport Services. Swiss Centre for Life Cycle Inventories, ecoinvent report No. 14.</t>
        </is>
      </c>
      <c r="I4083">
        <v>0</v>
      </c>
    </row>
    <row r="4084">
      <c r="A4084" t="inlineStr">
        <is>
          <t>Iron ion</t>
        </is>
      </c>
      <c r="B4084">
        <v>5.840474807516273e-05</v>
      </c>
      <c r="D4084" t="inlineStr">
        <is>
          <t>kilogram</t>
        </is>
      </c>
      <c r="E4084" t="inlineStr">
        <is>
          <t>soil</t>
        </is>
      </c>
      <c r="F4084" t="inlineStr">
        <is>
          <t>biosphere</t>
        </is>
      </c>
      <c r="H408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84">
        <v>0</v>
      </c>
    </row>
    <row r="4085">
      <c r="A4085" t="inlineStr">
        <is>
          <t>Lead II</t>
        </is>
      </c>
      <c r="B4085">
        <v>3.5075819267398133e-13</v>
      </c>
      <c r="D4085" t="inlineStr">
        <is>
          <t>kilogram</t>
        </is>
      </c>
      <c r="E4085" t="inlineStr">
        <is>
          <t>air</t>
        </is>
      </c>
      <c r="F4085" t="inlineStr">
        <is>
          <t>biosphere</t>
        </is>
      </c>
      <c r="H4085" t="inlineStr">
        <is>
          <t>1.1E-10 kg/kg fuel for diesel locomotives, according to Spielmann et al. (2007)
Spielmann, M., Bauer, C., Dones, R., Institut, P. S., &amp; Tuchschmid, M. (2007). Transport Services. Swiss Centre for Life Cycle Inventories, ecoinvent report No. 14.</t>
        </is>
      </c>
      <c r="I4085">
        <v>0</v>
      </c>
    </row>
    <row r="4086">
      <c r="A4086" t="inlineStr">
        <is>
          <t>Mercury II</t>
        </is>
      </c>
      <c r="B4086">
        <v>6.377421684981477e-14</v>
      </c>
      <c r="D4086" t="inlineStr">
        <is>
          <t>kilogram</t>
        </is>
      </c>
      <c r="E4086" t="inlineStr">
        <is>
          <t>air</t>
        </is>
      </c>
      <c r="F4086" t="inlineStr">
        <is>
          <t>biosphere</t>
        </is>
      </c>
      <c r="H4086" t="inlineStr">
        <is>
          <t>2.0E-11 kg/kg fuel for diesel locomotives, according to Spielmann et al. (2007)
Spielmann, M., Bauer, C., Dones, R., Institut, P. S., &amp; Tuchschmid, M. (2007). Transport Services. Swiss Centre for Life Cycle Inventories, ecoinvent report No. 14.</t>
        </is>
      </c>
      <c r="I4086">
        <v>0</v>
      </c>
    </row>
    <row r="4087">
      <c r="A4087" t="inlineStr">
        <is>
          <t>Methane, fossil</t>
        </is>
      </c>
      <c r="B4087">
        <v>4.1453240952379607e-07</v>
      </c>
      <c r="D4087" t="inlineStr">
        <is>
          <t>kilogram</t>
        </is>
      </c>
      <c r="E4087" t="inlineStr">
        <is>
          <t>air</t>
        </is>
      </c>
      <c r="F4087" t="inlineStr">
        <is>
          <t>biosphere</t>
        </is>
      </c>
      <c r="H4087" t="inlineStr">
        <is>
          <t>1.3E-04 kg/kg fuel for diesel locomotives, according to Spielmann et al. (2007)
Spielmann, M., Bauer, C., Dones, R., Institut, P. S., &amp; Tuchschmid, M. (2007). Transport Services. Swiss Centre for Life Cycle Inventories, ecoinvent report No. 14.</t>
        </is>
      </c>
      <c r="I4087">
        <v>0</v>
      </c>
    </row>
    <row r="4088">
      <c r="A4088" t="inlineStr">
        <is>
          <t>NMVOC, non-methane volatile organic compounds</t>
        </is>
      </c>
      <c r="B4088">
        <v>1.6740731923076382e-05</v>
      </c>
      <c r="D4088" t="inlineStr">
        <is>
          <t>kilogram</t>
        </is>
      </c>
      <c r="E4088" t="inlineStr">
        <is>
          <t>air</t>
        </is>
      </c>
      <c r="F4088" t="inlineStr">
        <is>
          <t>biosphere</t>
        </is>
      </c>
      <c r="H4088" t="inlineStr">
        <is>
          <t>5.25E-03 kg/kg fuel for diesel locomotives, according to Spielmann et al. (2007)
Spielmann, M., Bauer, C., Dones, R., Institut, P. S., &amp; Tuchschmid, M. (2007). Transport Services. Swiss Centre for Life Cycle Inventories, ecoinvent report No. 14.</t>
        </is>
      </c>
      <c r="I4088">
        <v>0</v>
      </c>
    </row>
    <row r="4089">
      <c r="A4089" t="inlineStr">
        <is>
          <t>Nickel II</t>
        </is>
      </c>
      <c r="B4089">
        <v>2.2320975897435179e-10</v>
      </c>
      <c r="D4089" t="inlineStr">
        <is>
          <t>kilogram</t>
        </is>
      </c>
      <c r="E4089" t="inlineStr">
        <is>
          <t>air</t>
        </is>
      </c>
      <c r="F4089" t="inlineStr">
        <is>
          <t>biosphere</t>
        </is>
      </c>
      <c r="H4089" t="inlineStr">
        <is>
          <t>7.0E-08 kg/kg fuel for diesel locomotives, according to Spielmann et al. (2007)
Spielmann, M., Bauer, C., Dones, R., Institut, P. S., &amp; Tuchschmid, M. (2007). Transport Services. Swiss Centre for Life Cycle Inventories, ecoinvent report No. 14.</t>
        </is>
      </c>
      <c r="I4089">
        <v>0</v>
      </c>
    </row>
    <row r="4090">
      <c r="A4090" t="inlineStr">
        <is>
          <t>Nitrogen oxides</t>
        </is>
      </c>
      <c r="B4090">
        <v>0.00017537909633699066</v>
      </c>
      <c r="D4090" t="inlineStr">
        <is>
          <t>kilogram</t>
        </is>
      </c>
      <c r="E4090" t="inlineStr">
        <is>
          <t>air::unspecified</t>
        </is>
      </c>
      <c r="F4090" t="inlineStr">
        <is>
          <t>biosphere</t>
        </is>
      </c>
      <c r="H4090" t="inlineStr">
        <is>
          <t>5.5E-02 kg/kg fuel for diesel locomotives, according to Spielmann et al. (2007)
Spielmann, M., Bauer, C., Dones, R., Institut, P. S., &amp; Tuchschmid, M. (2007). Transport Services. Swiss Centre for Life Cycle Inventories, ecoinvent report No. 14.</t>
        </is>
      </c>
      <c r="I4090">
        <v>0</v>
      </c>
    </row>
    <row r="4091">
      <c r="A4091" t="inlineStr">
        <is>
          <t>Particulate Matter, &lt; 2.5 um</t>
        </is>
      </c>
      <c r="B4091">
        <v>3.922114336263609e-06</v>
      </c>
      <c r="D4091" t="inlineStr">
        <is>
          <t>kilogram</t>
        </is>
      </c>
      <c r="E4091" t="inlineStr">
        <is>
          <t>air</t>
        </is>
      </c>
      <c r="F4091" t="inlineStr">
        <is>
          <t>biosphere</t>
        </is>
      </c>
      <c r="H4091" t="inlineStr">
        <is>
          <t>1.28E-03 kg/kg fuel for diesel locomotives, according to Spielmann et al. (2007)
Spielmann, M., Bauer, C., Dones, R., Institut, P. S., &amp; Tuchschmid, M. (2007). Transport Services. Swiss Centre for Life Cycle Inventories, ecoinvent report No. 14.</t>
        </is>
      </c>
      <c r="I4091">
        <v>0</v>
      </c>
    </row>
    <row r="4092">
      <c r="A4092" t="inlineStr">
        <is>
          <t>Particulate Matter, &gt; 10 um</t>
        </is>
      </c>
      <c r="B4092">
        <v>8.35431280422189e-05</v>
      </c>
      <c r="D4092" t="inlineStr">
        <is>
          <t>kilogram</t>
        </is>
      </c>
      <c r="E4092" t="inlineStr">
        <is>
          <t>air</t>
        </is>
      </c>
      <c r="F4092" t="inlineStr">
        <is>
          <t>biosphere</t>
        </is>
      </c>
      <c r="H409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92">
        <v>0</v>
      </c>
    </row>
    <row r="4093">
      <c r="A4093" t="inlineStr">
        <is>
          <t>Particulate Matter, &gt; 2.5 um and &lt; 10um</t>
        </is>
      </c>
      <c r="B4093">
        <v>7.711517541701365e-05</v>
      </c>
      <c r="D4093" t="inlineStr">
        <is>
          <t>kilogram</t>
        </is>
      </c>
      <c r="E4093" t="inlineStr">
        <is>
          <t>air</t>
        </is>
      </c>
      <c r="F4093" t="inlineStr">
        <is>
          <t>biosphere</t>
        </is>
      </c>
      <c r="H409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93">
        <v>0</v>
      </c>
    </row>
    <row r="4094">
      <c r="A4094" t="inlineStr">
        <is>
          <t>Selenium IV</t>
        </is>
      </c>
      <c r="B4094">
        <v>3.1887108424907394e-11</v>
      </c>
      <c r="D4094" t="inlineStr">
        <is>
          <t>kilogram</t>
        </is>
      </c>
      <c r="E4094" t="inlineStr">
        <is>
          <t>air</t>
        </is>
      </c>
      <c r="F4094" t="inlineStr">
        <is>
          <t>biosphere</t>
        </is>
      </c>
      <c r="H4094" t="inlineStr">
        <is>
          <t>1.0E-08 kg/kg fuel for diesel locomotives, according to Spielmann et al. (2007)
Spielmann, M., Bauer, C., Dones, R., Institut, P. S., &amp; Tuchschmid, M. (2007). Transport Services. Swiss Centre for Life Cycle Inventories, ecoinvent report No. 14.</t>
        </is>
      </c>
      <c r="I4094">
        <v>0</v>
      </c>
    </row>
    <row r="4095">
      <c r="A4095" t="inlineStr">
        <is>
          <t>Sulfur dioxide</t>
        </is>
      </c>
      <c r="B4095">
        <v>1.9132265054944433e-06</v>
      </c>
      <c r="D4095" t="inlineStr">
        <is>
          <t>kilogram</t>
        </is>
      </c>
      <c r="E4095" t="inlineStr">
        <is>
          <t>air</t>
        </is>
      </c>
      <c r="F4095" t="inlineStr">
        <is>
          <t>biosphere</t>
        </is>
      </c>
      <c r="H4095" t="inlineStr">
        <is>
          <t>6.0E-04 kg/kg fuel for diesel locomotives, according to Spielmann et al. (2007)
Spielmann, M., Bauer, C., Dones, R., Institut, P. S., &amp; Tuchschmid, M. (2007). Transport Services. Swiss Centre for Life Cycle Inventories, ecoinvent report No. 14.</t>
        </is>
      </c>
      <c r="I4095">
        <v>0</v>
      </c>
    </row>
    <row r="4096">
      <c r="A4096" t="inlineStr">
        <is>
          <t>Sulfur hexafluoride</t>
        </is>
      </c>
      <c r="B4096">
        <v>1.4789589431936368e-08</v>
      </c>
      <c r="D4096" t="inlineStr">
        <is>
          <t>kilogram</t>
        </is>
      </c>
      <c r="E4096" t="inlineStr">
        <is>
          <t>air</t>
        </is>
      </c>
      <c r="F4096" t="inlineStr">
        <is>
          <t>biosphere</t>
        </is>
      </c>
      <c r="H409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4096">
        <v>0</v>
      </c>
    </row>
    <row r="4097">
      <c r="A4097" t="inlineStr">
        <is>
          <t>Toluene</t>
        </is>
      </c>
      <c r="B4097">
        <v>1.2754843369962958e-07</v>
      </c>
      <c r="D4097" t="inlineStr">
        <is>
          <t>kilogram</t>
        </is>
      </c>
      <c r="E4097" t="inlineStr">
        <is>
          <t>air</t>
        </is>
      </c>
      <c r="F4097" t="inlineStr">
        <is>
          <t>biosphere</t>
        </is>
      </c>
      <c r="H4097" t="inlineStr">
        <is>
          <t>4.0E-05 kg/kg fuel for diesel locomotives, according to Spielmann et al. (2007)
Spielmann, M., Bauer, C., Dones, R., Institut, P. S., &amp; Tuchschmid, M. (2007). Transport Services. Swiss Centre for Life Cycle Inventories, ecoinvent report No. 14.</t>
        </is>
      </c>
      <c r="I4097">
        <v>0</v>
      </c>
    </row>
    <row r="4098">
      <c r="A4098" t="inlineStr">
        <is>
          <t>Xylenes, unspecified</t>
        </is>
      </c>
      <c r="B4098">
        <v>1.2754843369962958e-07</v>
      </c>
      <c r="D4098" t="inlineStr">
        <is>
          <t>kilogram</t>
        </is>
      </c>
      <c r="E4098" t="inlineStr">
        <is>
          <t>air::unspecified</t>
        </is>
      </c>
      <c r="F4098" t="inlineStr">
        <is>
          <t>biosphere</t>
        </is>
      </c>
      <c r="H4098" t="inlineStr">
        <is>
          <t>4.0E-05 kg/kg fuel for diesel locomotives, according to Spielmann et al. (2007)
Spielmann, M., Bauer, C., Dones, R., Institut, P. S., &amp; Tuchschmid, M. (2007). Transport Services. Swiss Centre for Life Cycle Inventories, ecoinvent report No. 14.</t>
        </is>
      </c>
      <c r="I4098">
        <v>0</v>
      </c>
    </row>
    <row r="4099">
      <c r="A4099" t="inlineStr">
        <is>
          <t>Zinc II</t>
        </is>
      </c>
      <c r="B4099">
        <v>3.188710842490739e-09</v>
      </c>
      <c r="D4099" t="inlineStr">
        <is>
          <t>kilogram</t>
        </is>
      </c>
      <c r="E4099" t="inlineStr">
        <is>
          <t>air</t>
        </is>
      </c>
      <c r="F4099" t="inlineStr">
        <is>
          <t>biosphere</t>
        </is>
      </c>
      <c r="H4099" t="inlineStr">
        <is>
          <t>1.0E-06 kg/kg fuel for diesel locomotives, according to Spielmann et al. (2007)
Spielmann, M., Bauer, C., Dones, R., Institut, P. S., &amp; Tuchschmid, M. (2007). Transport Services. Swiss Centre for Life Cycle Inventories, ecoinvent report No. 14.</t>
        </is>
      </c>
      <c r="I4099">
        <v>0</v>
      </c>
    </row>
    <row r="4100"/>
    <row r="4101">
      <c r="A4101" t="inlineStr">
        <is>
          <t>Activity</t>
        </is>
      </c>
      <c r="B4101" t="inlineStr">
        <is>
          <t>hydrogen, used in a fuel cell in a passenger train</t>
        </is>
      </c>
    </row>
    <row r="4102">
      <c r="A4102" t="inlineStr">
        <is>
          <t>location</t>
        </is>
      </c>
      <c r="B4102" t="inlineStr">
        <is>
          <t>CH</t>
        </is>
      </c>
    </row>
    <row r="4103">
      <c r="A4103" t="inlineStr">
        <is>
          <t>production amount</t>
        </is>
      </c>
      <c r="B4103">
        <v>1</v>
      </c>
    </row>
    <row r="4104">
      <c r="A4104" t="inlineStr">
        <is>
          <t>reference product</t>
        </is>
      </c>
      <c r="B4104" t="inlineStr">
        <is>
          <t>heat</t>
        </is>
      </c>
    </row>
    <row r="4105">
      <c r="A4105" t="inlineStr">
        <is>
          <t>type</t>
        </is>
      </c>
      <c r="B4105" t="inlineStr">
        <is>
          <t>process</t>
        </is>
      </c>
    </row>
    <row r="4106">
      <c r="A4106" t="inlineStr">
        <is>
          <t>unit</t>
        </is>
      </c>
      <c r="B4106" t="inlineStr">
        <is>
          <t>megajoule</t>
        </is>
      </c>
    </row>
    <row r="4107">
      <c r="A4107" t="inlineStr">
        <is>
          <t>energy use source</t>
        </is>
      </c>
      <c r="B4107"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["market for electric motor, electric passenger car", "electric motor, electric passenger car", "GLO", "kilogram"], "amount per vehicle": 1325, "vehicle per source service": 7.11e-10, "replacement correction factor": 1.0, "amount per MJ": 2.9729323652514984e-06}, {"supplier": ["market for converter, for electric passenger car", "converter, for electric passenger car", "GLO", "kilogram"], "amount per vehicle": 2280.000000000002, "vehicle per source service": 7.11e-10, "replacement correction factor": 1.0, "amount per MJ": 5.1156873907723935e-06}, {"supplier": ["fuel cell system assembly, 1 kWe, proton exchange membrane (PEM)", "fuel cell system, 1 kWe, proton exchange membrane (PEM)", "GLO", "unit"], "amount per vehicle": 6880, "vehicle per source service": 7.11e-10, "replacement correction factor": 1.0, "amount per MJ": 1.5436811073909667e-05}, {"supplier": ["Fuel tank, compressed hydrogen gas, 700bar, with aluminium liner", "hydrogen tank", "RER", "kilogram"], "amount per vehicle": 30323.84571428572, "vehicle per source service": 7.11e-10, "replacement correction factor": 1.0, "amount per MJ": 6.803829612293808e-05}, {"supplier": ["market for battery cell, Li-ion, NMC622", "battery cell, Li-ion, NMC622", "GLO", "kilogram"], "amount per vehicle": 67404.25531914894, "vehicle per source service": 7.11e-10, "replacement correction factor": 1.0, "amount per MJ": 0.00015123644693884782}], "excluded": [{"supplier": ["market for locomotive", "locomotive", "GLO", "unit"], "amount per vehicle": 1, "vehicle per source service": 7.11e-10}, {"supplier": ["market for goods wagon", "goods wagon", "GLO", "unit"], "amount per vehicle": 1,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4108">
      <c r="A4108" t="inlineStr">
        <is>
          <t>comment</t>
        </is>
      </c>
      <c r="B4108" t="inlineStr">
        <is>
          <t>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4109">
      <c r="A4109" t="inlineStr">
        <is>
          <t>Exchanges</t>
        </is>
      </c>
    </row>
    <row r="4110">
      <c r="A4110" t="inlineStr">
        <is>
          <t>name</t>
        </is>
      </c>
      <c r="B4110" t="inlineStr">
        <is>
          <t>amount</t>
        </is>
      </c>
      <c r="C4110" t="inlineStr">
        <is>
          <t>location</t>
        </is>
      </c>
      <c r="D4110" t="inlineStr">
        <is>
          <t>unit</t>
        </is>
      </c>
      <c r="E4110" t="inlineStr">
        <is>
          <t>categories</t>
        </is>
      </c>
      <c r="F4110" t="inlineStr">
        <is>
          <t>type</t>
        </is>
      </c>
      <c r="G4110" t="inlineStr">
        <is>
          <t>reference product</t>
        </is>
      </c>
      <c r="H4110" t="inlineStr">
        <is>
          <t>comment</t>
        </is>
      </c>
      <c r="I4110" t="inlineStr">
        <is>
          <t>uncertainty type</t>
        </is>
      </c>
    </row>
    <row r="4111">
      <c r="A4111" t="inlineStr">
        <is>
          <t>hydrogen, used in a fuel cell in a passenger train</t>
        </is>
      </c>
      <c r="B4111">
        <v>1.0</v>
      </c>
      <c r="C4111" t="inlineStr">
        <is>
          <t>CH</t>
        </is>
      </c>
      <c r="D4111" t="inlineStr">
        <is>
          <t>megajoule</t>
        </is>
      </c>
      <c r="F4111" t="inlineStr">
        <is>
          <t>production</t>
        </is>
      </c>
      <c r="G4111" t="inlineStr">
        <is>
          <t>heat</t>
        </is>
      </c>
      <c r="I4111">
        <v>0</v>
      </c>
    </row>
    <row r="4112">
      <c r="A4112" t="inlineStr">
        <is>
          <t>market for hydrogen, gaseous, low pressure</t>
        </is>
      </c>
      <c r="B4112">
        <v>0.0012945987175919267</v>
      </c>
      <c r="C4112" t="inlineStr">
        <is>
          <t>CN</t>
        </is>
      </c>
      <c r="D4112" t="inlineStr">
        <is>
          <t>kilogram</t>
        </is>
      </c>
      <c r="F4112" t="inlineStr">
        <is>
          <t>technosphere</t>
        </is>
      </c>
      <c r="G4112" t="inlineStr">
        <is>
          <t>hydrogen, gaseous, low pressure</t>
        </is>
      </c>
      <c r="H411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4112">
        <v>0</v>
      </c>
    </row>
    <row r="4113">
      <c r="A4113" t="inlineStr">
        <is>
          <t>market for hydrogen, gaseous, low pressure</t>
        </is>
      </c>
      <c r="B4113">
        <v>0.005469534948887209</v>
      </c>
      <c r="C4113" t="inlineStr">
        <is>
          <t>RoW</t>
        </is>
      </c>
      <c r="D4113" t="inlineStr">
        <is>
          <t>kilogram</t>
        </is>
      </c>
      <c r="F4113" t="inlineStr">
        <is>
          <t>technosphere</t>
        </is>
      </c>
      <c r="G4113" t="inlineStr">
        <is>
          <t>hydrogen, gaseous, low pressure</t>
        </is>
      </c>
      <c r="H411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4113">
        <v>0</v>
      </c>
    </row>
    <row r="4114">
      <c r="A4114" t="inlineStr">
        <is>
          <t>market for hydrogen, gaseous, low pressure</t>
        </is>
      </c>
      <c r="B4114">
        <v>0.0007686670431839547</v>
      </c>
      <c r="C4114" t="inlineStr">
        <is>
          <t>RER</t>
        </is>
      </c>
      <c r="D4114" t="inlineStr">
        <is>
          <t>kilogram</t>
        </is>
      </c>
      <c r="F4114" t="inlineStr">
        <is>
          <t>technosphere</t>
        </is>
      </c>
      <c r="G4114" t="inlineStr">
        <is>
          <t>hydrogen, gaseous, low pressure</t>
        </is>
      </c>
      <c r="H411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4114">
        <v>0</v>
      </c>
    </row>
    <row r="4115">
      <c r="A4115" t="inlineStr">
        <is>
          <t>market for hydrogen, gaseous, low pressure</t>
        </is>
      </c>
      <c r="B4115">
        <v>0.000800532623670244</v>
      </c>
      <c r="C4115" t="inlineStr">
        <is>
          <t>US</t>
        </is>
      </c>
      <c r="D4115" t="inlineStr">
        <is>
          <t>kilogram</t>
        </is>
      </c>
      <c r="F4115" t="inlineStr">
        <is>
          <t>technosphere</t>
        </is>
      </c>
      <c r="G4115" t="inlineStr">
        <is>
          <t>hydrogen, gaseous, low pressure</t>
        </is>
      </c>
      <c r="H4115"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4115">
        <v>0</v>
      </c>
    </row>
    <row r="4116">
      <c r="A4116" t="inlineStr">
        <is>
          <t>market for diesel</t>
        </is>
      </c>
      <c r="B4116">
        <v>0.0021364277910731785</v>
      </c>
      <c r="C4116" t="inlineStr">
        <is>
          <t>Europe without Switzerland</t>
        </is>
      </c>
      <c r="D4116" t="inlineStr">
        <is>
          <t>kilogram</t>
        </is>
      </c>
      <c r="F4116" t="inlineStr">
        <is>
          <t>technosphere</t>
        </is>
      </c>
      <c r="G4116" t="inlineStr">
        <is>
          <t>diesel</t>
        </is>
      </c>
      <c r="H4116"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4116">
        <v>0</v>
      </c>
    </row>
    <row r="4117">
      <c r="A4117" t="inlineStr">
        <is>
          <t>market for electric motor, electric passenger car</t>
        </is>
      </c>
      <c r="B4117">
        <v>2.9729323652514984e-06</v>
      </c>
      <c r="C4117" t="inlineStr">
        <is>
          <t>GLO</t>
        </is>
      </c>
      <c r="D4117" t="inlineStr">
        <is>
          <t>kilogram</t>
        </is>
      </c>
      <c r="F4117" t="inlineStr">
        <is>
          <t>technosphere</t>
        </is>
      </c>
      <c r="G4117" t="inlineStr">
        <is>
          <t>electric motor, electric passenger car</t>
        </is>
      </c>
      <c r="H4117" t="inlineStr">
        <is>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4117">
        <v>0</v>
      </c>
    </row>
    <row r="4118">
      <c r="A4118" t="inlineStr">
        <is>
          <t>market for converter, for electric passenger car</t>
        </is>
      </c>
      <c r="B4118">
        <v>5.1156873907723935e-06</v>
      </c>
      <c r="C4118" t="inlineStr">
        <is>
          <t>GLO</t>
        </is>
      </c>
      <c r="D4118" t="inlineStr">
        <is>
          <t>kilogram</t>
        </is>
      </c>
      <c r="F4118" t="inlineStr">
        <is>
          <t>technosphere</t>
        </is>
      </c>
      <c r="G4118" t="inlineStr">
        <is>
          <t>converter, for electric passenger car</t>
        </is>
      </c>
      <c r="H4118"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4118">
        <v>0</v>
      </c>
    </row>
    <row r="4119">
      <c r="A4119" t="inlineStr">
        <is>
          <t>fuel cell system assembly, 1 kWe, proton exchange membrane (PEM)</t>
        </is>
      </c>
      <c r="B4119">
        <v>1.5436811073909667e-05</v>
      </c>
      <c r="C4119" t="inlineStr">
        <is>
          <t>GLO</t>
        </is>
      </c>
      <c r="D4119" t="inlineStr">
        <is>
          <t>unit</t>
        </is>
      </c>
      <c r="F4119" t="inlineStr">
        <is>
          <t>technosphere</t>
        </is>
      </c>
      <c r="G4119" t="inlineStr">
        <is>
          <t>fuel cell system, 1 kWe, proton exchange membrane (PEM)</t>
        </is>
      </c>
      <c r="H4119" t="inlineStr">
        <is>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 Energy-use allocation: 6880 * 7.11e-10 / 0.3168841010348058 MJ per ton kilometer.</t>
        </is>
      </c>
      <c r="I4119">
        <v>0</v>
      </c>
    </row>
    <row r="4120">
      <c r="A4120" t="inlineStr">
        <is>
          <t>Fuel tank, compressed hydrogen gas, 700bar, with aluminium liner</t>
        </is>
      </c>
      <c r="B4120">
        <v>6.803829612293808e-05</v>
      </c>
      <c r="C4120" t="inlineStr">
        <is>
          <t>RER</t>
        </is>
      </c>
      <c r="D4120" t="inlineStr">
        <is>
          <t>kilogram</t>
        </is>
      </c>
      <c r="F4120" t="inlineStr">
        <is>
          <t>technosphere</t>
        </is>
      </c>
      <c r="G4120" t="inlineStr">
        <is>
          <t>hydrogen tank</t>
        </is>
      </c>
      <c r="H4120"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4120">
        <v>0</v>
      </c>
    </row>
    <row r="4121">
      <c r="A4121" t="inlineStr">
        <is>
          <t>market for battery cell, Li-ion, NMC622</t>
        </is>
      </c>
      <c r="B4121">
        <v>0.00015123644693884782</v>
      </c>
      <c r="C4121" t="inlineStr">
        <is>
          <t>GLO</t>
        </is>
      </c>
      <c r="D4121" t="inlineStr">
        <is>
          <t>kilogram</t>
        </is>
      </c>
      <c r="F4121" t="inlineStr">
        <is>
          <t>technosphere</t>
        </is>
      </c>
      <c r="G4121" t="inlineStr">
        <is>
          <t>battery cell, Li-ion, NMC622</t>
        </is>
      </c>
      <c r="H4121" t="inlineStr">
        <is>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 Energy-use allocation: 67404.25531914894 * 7.11e-10 / 0.3168841010348058 MJ per ton kilometer.</t>
        </is>
      </c>
      <c r="I4121">
        <v>0</v>
      </c>
    </row>
    <row r="4122">
      <c r="A4122" t="inlineStr">
        <is>
          <t>Water</t>
        </is>
      </c>
      <c r="B4122">
        <v>7.500000000000001e-05</v>
      </c>
      <c r="D4122" t="inlineStr">
        <is>
          <t>cubic meter</t>
        </is>
      </c>
      <c r="E4122" t="inlineStr">
        <is>
          <t>air</t>
        </is>
      </c>
      <c r="F4122" t="inlineStr">
        <is>
          <t>biosphere</t>
        </is>
      </c>
      <c r="H4122" t="inlineStr">
        <is>
          <t>9kg H2O per kg H2 converted.</t>
        </is>
      </c>
      <c r="I4122">
        <v>0</v>
      </c>
    </row>
    <row r="4123"/>
  </sheetData>
  <autoFilter ref="A1:O2320" ns2:uid="{00000000-0001-0000-0400-000000000000}"/>
  <pageMargins left="0.7" right="0.7" top="0.75" bottom="0.75" header="0.3" footer="0.3"/>
  <pageSetup orientation="portrait" horizontalDpi="300" verticalDpi="300" ns4: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8"/>
  <sheetViews>
    <sheetView workbookViewId="0">
      <selection activeCell="C29" sqref="C29"/>
    </sheetView>
  </sheetViews>
  <sheetFormatPr baseColWidth="10" defaultColWidth="8.83203125" defaultRowHeight="15" x14ac:dyDescent="0.2"/>
  <cols>
    <col min="1" max="1" width="34.5" bestFit="1" customWidth="1"/>
    <col min="2" max="2" width="50" customWidth="1"/>
    <col min="3" max="3" width="16.6640625" customWidth="1"/>
    <col min="4" max="4" width="22" customWidth="1"/>
    <col min="5" max="5" width="13.5" bestFit="1" customWidth="1"/>
    <col min="6" max="6" width="25.5" bestFit="1" customWidth="1"/>
    <col min="7" max="7" width="16" customWidth="1"/>
  </cols>
  <sheetData>
    <row r="1" spans="1:2" x14ac:dyDescent="0.2">
      <c r="A1" t="s">
        <v>22</v>
      </c>
    </row>
    <row r="2" spans="1:2" x14ac:dyDescent="0.2">
      <c r="A2" s="4" t="s">
        <v>42</v>
      </c>
    </row>
    <row r="3" spans="1:2" x14ac:dyDescent="0.2">
      <c r="A3" t="s">
        <v>23</v>
      </c>
      <c r="B3">
        <v>1.0550558999999999E-3</v>
      </c>
    </row>
    <row r="4" spans="1:2" x14ac:dyDescent="0.2">
      <c r="A4" t="s">
        <v>25</v>
      </c>
      <c r="B4">
        <v>3.7850000000000001</v>
      </c>
    </row>
    <row r="5" spans="1:2" x14ac:dyDescent="0.2">
      <c r="A5" t="s">
        <v>26</v>
      </c>
      <c r="B5">
        <v>29.7</v>
      </c>
    </row>
    <row r="6" spans="1:2" x14ac:dyDescent="0.2">
      <c r="A6" t="s">
        <v>112</v>
      </c>
      <c r="B6">
        <v>37.200000000000003</v>
      </c>
    </row>
    <row r="7" spans="1:2" x14ac:dyDescent="0.2">
      <c r="A7" t="s">
        <v>113</v>
      </c>
      <c r="B7">
        <v>43</v>
      </c>
    </row>
    <row r="8" spans="1:2" x14ac:dyDescent="0.2">
      <c r="A8" t="s">
        <v>29</v>
      </c>
      <c r="B8">
        <v>0.4536</v>
      </c>
    </row>
    <row r="9" spans="1:2" x14ac:dyDescent="0.2">
      <c r="A9" t="s">
        <v>31</v>
      </c>
      <c r="B9">
        <v>1.61</v>
      </c>
    </row>
    <row r="10" spans="1:2" x14ac:dyDescent="0.2">
      <c r="A10" t="s">
        <v>32</v>
      </c>
      <c r="B10">
        <f>1/39.37</f>
        <v>2.5400050800101603E-2</v>
      </c>
    </row>
    <row r="11" spans="1:2" x14ac:dyDescent="0.2">
      <c r="A11" t="s">
        <v>33</v>
      </c>
      <c r="B11">
        <v>10000</v>
      </c>
    </row>
    <row r="12" spans="1:2" x14ac:dyDescent="0.2">
      <c r="A12" t="s">
        <v>40</v>
      </c>
      <c r="B12">
        <v>0.78900000000000003</v>
      </c>
    </row>
    <row r="13" spans="1:2" x14ac:dyDescent="0.2">
      <c r="A13" t="s">
        <v>41</v>
      </c>
      <c r="B13">
        <v>4047</v>
      </c>
    </row>
    <row r="14" spans="1:2" x14ac:dyDescent="0.2">
      <c r="A14" t="s">
        <v>92</v>
      </c>
      <c r="B14">
        <v>0.52200000000000002</v>
      </c>
    </row>
    <row r="15" spans="1:2" x14ac:dyDescent="0.2">
      <c r="A15" t="s">
        <v>93</v>
      </c>
      <c r="B15">
        <f>B14*(44/12)</f>
        <v>1.9139999999999999</v>
      </c>
    </row>
    <row r="16" spans="1:2" x14ac:dyDescent="0.2">
      <c r="A16" t="s">
        <v>109</v>
      </c>
      <c r="B16">
        <v>2.85</v>
      </c>
    </row>
    <row r="17" spans="1:10" x14ac:dyDescent="0.2">
      <c r="A17" t="s">
        <v>114</v>
      </c>
      <c r="B17">
        <v>3.15</v>
      </c>
    </row>
    <row r="18" spans="1:10" x14ac:dyDescent="0.2">
      <c r="A18" t="s">
        <v>115</v>
      </c>
      <c r="B18">
        <v>0.90700000000000003</v>
      </c>
    </row>
    <row r="19" spans="1:10" x14ac:dyDescent="0.2">
      <c r="A19" s="4" t="s">
        <v>64</v>
      </c>
      <c r="G19" s="3"/>
    </row>
    <row r="20" spans="1:10" x14ac:dyDescent="0.2">
      <c r="A20" s="4" t="s">
        <v>14</v>
      </c>
      <c r="G20" s="3"/>
    </row>
    <row r="21" spans="1:10" x14ac:dyDescent="0.2">
      <c r="B21" s="5"/>
      <c r="C21" s="6" t="s">
        <v>43</v>
      </c>
      <c r="D21" s="7"/>
      <c r="E21" s="8"/>
      <c r="F21" s="8"/>
      <c r="G21" s="8"/>
      <c r="H21" s="19"/>
    </row>
    <row r="22" spans="1:10" x14ac:dyDescent="0.2">
      <c r="B22" s="9"/>
      <c r="C22" s="10" t="s">
        <v>44</v>
      </c>
      <c r="D22" s="11" t="s">
        <v>45</v>
      </c>
      <c r="E22" s="11" t="s">
        <v>46</v>
      </c>
      <c r="F22" s="11" t="s">
        <v>47</v>
      </c>
      <c r="G22" s="11" t="s">
        <v>48</v>
      </c>
      <c r="H22" s="20" t="s">
        <v>49</v>
      </c>
    </row>
    <row r="23" spans="1:10" x14ac:dyDescent="0.2">
      <c r="B23" s="12" t="s">
        <v>50</v>
      </c>
      <c r="C23" s="13">
        <v>1.7889999999999999</v>
      </c>
      <c r="D23" s="13">
        <v>1.7889999999999999</v>
      </c>
      <c r="E23" s="13">
        <v>1.7889999999999999</v>
      </c>
      <c r="F23" s="13">
        <v>1.7889999999999999</v>
      </c>
      <c r="G23" s="13">
        <v>1.7889999999999999</v>
      </c>
      <c r="H23" s="13">
        <v>1.7889999999999999</v>
      </c>
    </row>
    <row r="24" spans="1:10" x14ac:dyDescent="0.2">
      <c r="B24" s="12" t="s">
        <v>51</v>
      </c>
      <c r="C24" s="24">
        <v>80</v>
      </c>
      <c r="D24" s="26">
        <v>80</v>
      </c>
      <c r="E24" s="26">
        <v>80</v>
      </c>
      <c r="F24" s="26">
        <v>80</v>
      </c>
      <c r="G24" s="26">
        <v>80</v>
      </c>
      <c r="H24" s="26">
        <v>80</v>
      </c>
    </row>
    <row r="25" spans="1:10" x14ac:dyDescent="0.2">
      <c r="B25" s="34" t="s">
        <v>91</v>
      </c>
      <c r="C25" s="17">
        <f>8576/1000</f>
        <v>8.5760000000000005</v>
      </c>
      <c r="D25" s="17">
        <f>8823/1000</f>
        <v>8.8230000000000004</v>
      </c>
      <c r="E25" s="17">
        <f>7294/1000</f>
        <v>7.2939999999999996</v>
      </c>
      <c r="F25" s="17">
        <f>7451/1000</f>
        <v>7.4509999999999996</v>
      </c>
      <c r="G25" s="18">
        <f>7310/1000</f>
        <v>7.31</v>
      </c>
      <c r="H25" s="21">
        <f>7874/1000</f>
        <v>7.8739999999999997</v>
      </c>
    </row>
    <row r="27" spans="1:10" x14ac:dyDescent="0.2">
      <c r="C27" t="s">
        <v>8</v>
      </c>
      <c r="G27" s="3"/>
    </row>
    <row r="28" spans="1:10" x14ac:dyDescent="0.2">
      <c r="A28" t="s">
        <v>53</v>
      </c>
      <c r="B28">
        <v>2.36</v>
      </c>
      <c r="C28" t="s">
        <v>19</v>
      </c>
      <c r="J28">
        <f>1/0.013</f>
        <v>76.92307692307692</v>
      </c>
    </row>
    <row r="29" spans="1:10" x14ac:dyDescent="0.2">
      <c r="A29" t="s">
        <v>54</v>
      </c>
      <c r="B29">
        <v>0.107</v>
      </c>
      <c r="C29" t="s">
        <v>52</v>
      </c>
    </row>
    <row r="30" spans="1:10" x14ac:dyDescent="0.2">
      <c r="A30" t="s">
        <v>55</v>
      </c>
      <c r="B30">
        <v>0.82</v>
      </c>
      <c r="G30" s="3"/>
    </row>
    <row r="32" spans="1:10" x14ac:dyDescent="0.2">
      <c r="A32" t="s">
        <v>83</v>
      </c>
    </row>
    <row r="33" spans="1:8" x14ac:dyDescent="0.2">
      <c r="A33" t="s">
        <v>56</v>
      </c>
    </row>
    <row r="34" spans="1:8" x14ac:dyDescent="0.2">
      <c r="A34" t="s">
        <v>84</v>
      </c>
      <c r="B34" s="2">
        <f>((1/C24)/(B4*B12))*1000</f>
        <v>4.1856906305826644</v>
      </c>
      <c r="C34" t="s">
        <v>34</v>
      </c>
      <c r="F34" s="4" t="s">
        <v>65</v>
      </c>
      <c r="G34" s="4" t="s">
        <v>66</v>
      </c>
    </row>
    <row r="35" spans="1:8" x14ac:dyDescent="0.2">
      <c r="A35" t="s">
        <v>57</v>
      </c>
      <c r="D35" t="s">
        <v>60</v>
      </c>
      <c r="F35" t="s">
        <v>62</v>
      </c>
      <c r="G35" t="s">
        <v>67</v>
      </c>
    </row>
    <row r="36" spans="1:8" x14ac:dyDescent="0.2">
      <c r="A36" t="s">
        <v>63</v>
      </c>
      <c r="B36">
        <v>1</v>
      </c>
      <c r="C36" t="s">
        <v>34</v>
      </c>
      <c r="D36" s="2">
        <f>B36*($B$28/$B$4*$B$12*$B$30)</f>
        <v>0.40340100396301187</v>
      </c>
      <c r="E36" s="22" t="s">
        <v>61</v>
      </c>
      <c r="F36" s="23">
        <f>D36/(D36+D37)</f>
        <v>0.86288984699852078</v>
      </c>
      <c r="G36" s="23">
        <f>(B36*$B$5)/((B36*$B$5)+(B37*3.6))</f>
        <v>0.93230283093081379</v>
      </c>
    </row>
    <row r="37" spans="1:8" x14ac:dyDescent="0.2">
      <c r="A37" t="s">
        <v>58</v>
      </c>
      <c r="B37" s="2">
        <f>C23/(B4*B12)</f>
        <v>0.59905604304899096</v>
      </c>
      <c r="C37" t="s">
        <v>59</v>
      </c>
      <c r="D37" s="2">
        <f>B37*$B$29</f>
        <v>6.4098996606242034E-2</v>
      </c>
      <c r="E37" s="22" t="s">
        <v>61</v>
      </c>
      <c r="F37" s="23">
        <f>D37/(D37+D36)</f>
        <v>0.13711015300147925</v>
      </c>
      <c r="G37" s="23">
        <f>1-G36</f>
        <v>6.7697169069186214E-2</v>
      </c>
    </row>
    <row r="40" spans="1:8" x14ac:dyDescent="0.2">
      <c r="B40" s="5"/>
      <c r="C40" s="6" t="s">
        <v>43</v>
      </c>
      <c r="D40" s="12"/>
      <c r="E40" s="28"/>
      <c r="F40" s="28"/>
      <c r="G40" s="28"/>
      <c r="H40" s="28"/>
    </row>
    <row r="41" spans="1:8" x14ac:dyDescent="0.2">
      <c r="B41" s="9"/>
      <c r="C41" s="10" t="s">
        <v>69</v>
      </c>
      <c r="D41" s="29"/>
      <c r="E41" s="28"/>
      <c r="F41" s="28"/>
      <c r="G41" s="28"/>
      <c r="H41" s="28"/>
    </row>
    <row r="42" spans="1:8" x14ac:dyDescent="0.2">
      <c r="B42" s="12" t="s">
        <v>50</v>
      </c>
      <c r="C42" s="48">
        <v>4.673</v>
      </c>
      <c r="D42" s="13"/>
      <c r="E42" s="14"/>
      <c r="F42" s="14"/>
      <c r="G42" s="15"/>
      <c r="H42" s="15"/>
    </row>
    <row r="43" spans="1:8" x14ac:dyDescent="0.2">
      <c r="B43" s="12" t="s">
        <v>85</v>
      </c>
      <c r="C43" s="24">
        <v>21.4</v>
      </c>
      <c r="D43" s="24"/>
      <c r="E43" s="26"/>
      <c r="F43" s="26"/>
      <c r="G43" s="27"/>
      <c r="H43" s="27"/>
    </row>
    <row r="44" spans="1:8" x14ac:dyDescent="0.2">
      <c r="B44" s="34" t="s">
        <v>91</v>
      </c>
      <c r="C44" s="35">
        <f>14776/1000</f>
        <v>14.776</v>
      </c>
      <c r="D44" s="26"/>
      <c r="E44" s="26"/>
      <c r="F44" s="26"/>
      <c r="G44" s="27"/>
      <c r="H44" s="27"/>
    </row>
    <row r="47" spans="1:8" x14ac:dyDescent="0.2">
      <c r="A47" t="s">
        <v>74</v>
      </c>
    </row>
    <row r="48" spans="1:8" x14ac:dyDescent="0.2">
      <c r="A48" t="s">
        <v>56</v>
      </c>
    </row>
    <row r="49" spans="1:7" x14ac:dyDescent="0.2">
      <c r="A49" t="s">
        <v>86</v>
      </c>
      <c r="B49" s="2">
        <f>((1/B18/C43)/(B4*B12))*1000</f>
        <v>17.251865060258897</v>
      </c>
      <c r="C49" t="s">
        <v>34</v>
      </c>
      <c r="F49" s="4" t="s">
        <v>65</v>
      </c>
      <c r="G49" s="4" t="s">
        <v>66</v>
      </c>
    </row>
    <row r="50" spans="1:7" x14ac:dyDescent="0.2">
      <c r="A50" t="s">
        <v>57</v>
      </c>
      <c r="D50" t="s">
        <v>60</v>
      </c>
      <c r="F50" t="s">
        <v>62</v>
      </c>
      <c r="G50" t="s">
        <v>67</v>
      </c>
    </row>
    <row r="51" spans="1:7" x14ac:dyDescent="0.2">
      <c r="A51" t="s">
        <v>63</v>
      </c>
      <c r="B51">
        <v>1</v>
      </c>
      <c r="C51" t="s">
        <v>34</v>
      </c>
      <c r="D51" s="2">
        <f>B51*($B$28/$B$4*$B$12*$B$30)</f>
        <v>0.40340100396301187</v>
      </c>
      <c r="E51" s="22" t="s">
        <v>61</v>
      </c>
      <c r="F51" s="23">
        <f>D51/(D51+D52)</f>
        <v>0.70668915382489195</v>
      </c>
      <c r="G51" s="23">
        <f>(B51*$B$5)/((B51*$B$5)+(B52*3.6))</f>
        <v>0.84056914053315945</v>
      </c>
    </row>
    <row r="52" spans="1:7" x14ac:dyDescent="0.2">
      <c r="A52" t="s">
        <v>58</v>
      </c>
      <c r="B52" s="2">
        <f>C42/(B4*B12)</f>
        <v>1.5647785853370233</v>
      </c>
      <c r="C52" t="s">
        <v>59</v>
      </c>
      <c r="D52" s="2">
        <f>B52*$B$29</f>
        <v>0.16743130863106148</v>
      </c>
      <c r="E52" s="22" t="s">
        <v>61</v>
      </c>
      <c r="F52" s="23">
        <f>D52/(D52+D51)</f>
        <v>0.29331084617510816</v>
      </c>
      <c r="G52" s="23">
        <f>1-G51</f>
        <v>0.15943085946684055</v>
      </c>
    </row>
    <row r="56" spans="1:7" x14ac:dyDescent="0.2">
      <c r="B56" s="5"/>
      <c r="C56" s="6" t="s">
        <v>43</v>
      </c>
      <c r="D56" s="7"/>
      <c r="E56" s="7"/>
      <c r="F56" s="32"/>
    </row>
    <row r="57" spans="1:7" x14ac:dyDescent="0.2">
      <c r="B57" s="9"/>
      <c r="C57" s="10" t="s">
        <v>87</v>
      </c>
      <c r="D57" t="s">
        <v>88</v>
      </c>
      <c r="E57" t="s">
        <v>89</v>
      </c>
      <c r="F57" s="33" t="s">
        <v>90</v>
      </c>
    </row>
    <row r="58" spans="1:7" x14ac:dyDescent="0.2">
      <c r="B58" s="12" t="s">
        <v>50</v>
      </c>
      <c r="C58" s="24">
        <v>0</v>
      </c>
      <c r="D58" s="7">
        <v>0</v>
      </c>
      <c r="E58" s="7">
        <v>13.59</v>
      </c>
      <c r="F58" s="32">
        <v>2.4900000000000002</v>
      </c>
    </row>
    <row r="59" spans="1:7" x14ac:dyDescent="0.2">
      <c r="B59" s="12" t="s">
        <v>85</v>
      </c>
      <c r="C59" s="25">
        <f>2.84/B10</f>
        <v>111.81079999999999</v>
      </c>
      <c r="D59" s="30">
        <f>2.81/B10</f>
        <v>110.62969999999999</v>
      </c>
      <c r="E59" s="2">
        <v>9.57</v>
      </c>
      <c r="F59" s="33">
        <v>17.21</v>
      </c>
    </row>
    <row r="60" spans="1:7" x14ac:dyDescent="0.2">
      <c r="B60" s="12" t="s">
        <v>96</v>
      </c>
      <c r="C60" s="36">
        <f>5.63*B8</f>
        <v>2.5537679999999998</v>
      </c>
      <c r="D60">
        <v>5.63</v>
      </c>
      <c r="E60">
        <v>0</v>
      </c>
      <c r="F60" s="33">
        <v>0</v>
      </c>
    </row>
    <row r="61" spans="1:7" x14ac:dyDescent="0.2">
      <c r="B61" s="46" t="s">
        <v>97</v>
      </c>
      <c r="C61" s="2"/>
      <c r="E61">
        <v>16.3</v>
      </c>
      <c r="F61" s="33"/>
    </row>
    <row r="62" spans="1:7" x14ac:dyDescent="0.2">
      <c r="B62" s="46" t="s">
        <v>102</v>
      </c>
      <c r="C62" s="2">
        <v>0.54</v>
      </c>
      <c r="F62" s="33"/>
    </row>
    <row r="63" spans="1:7" x14ac:dyDescent="0.2">
      <c r="B63" s="34" t="s">
        <v>91</v>
      </c>
      <c r="C63" s="31">
        <v>2.36</v>
      </c>
      <c r="D63" s="31"/>
      <c r="E63" s="37">
        <f>25362/1000</f>
        <v>25.361999999999998</v>
      </c>
      <c r="F63" s="38">
        <f>11023/1000</f>
        <v>11.023</v>
      </c>
    </row>
    <row r="64" spans="1:7" x14ac:dyDescent="0.2">
      <c r="B64" s="39" t="s">
        <v>94</v>
      </c>
      <c r="C64" s="40">
        <v>0.84699999999999998</v>
      </c>
      <c r="D64" s="40">
        <v>0.80100000000000005</v>
      </c>
      <c r="E64" s="41">
        <v>0.98</v>
      </c>
      <c r="F64" s="42">
        <v>0.93500000000000005</v>
      </c>
    </row>
    <row r="65" spans="1:6" x14ac:dyDescent="0.2">
      <c r="B65" s="34" t="s">
        <v>95</v>
      </c>
      <c r="C65" s="43">
        <v>0.64400000000000002</v>
      </c>
      <c r="D65" s="43">
        <v>0.60899999999999999</v>
      </c>
      <c r="E65" s="44">
        <v>0.96799999999999997</v>
      </c>
      <c r="F65" s="45">
        <v>0.90100000000000002</v>
      </c>
    </row>
    <row r="67" spans="1:6" x14ac:dyDescent="0.2">
      <c r="C67" t="s">
        <v>99</v>
      </c>
      <c r="D67" t="s">
        <v>100</v>
      </c>
      <c r="E67" t="s">
        <v>101</v>
      </c>
    </row>
    <row r="68" spans="1:6" x14ac:dyDescent="0.2">
      <c r="B68" t="s">
        <v>98</v>
      </c>
      <c r="C68">
        <v>3.03</v>
      </c>
      <c r="D68">
        <v>7.53</v>
      </c>
      <c r="E68">
        <v>0</v>
      </c>
    </row>
    <row r="78" spans="1:6" x14ac:dyDescent="0.2">
      <c r="A78" s="4" t="s">
        <v>68</v>
      </c>
    </row>
    <row r="79" spans="1:6" x14ac:dyDescent="0.2">
      <c r="A79" s="4" t="s">
        <v>14</v>
      </c>
    </row>
    <row r="81" spans="1:7" x14ac:dyDescent="0.2">
      <c r="B81" s="9"/>
      <c r="C81" s="10" t="s">
        <v>71</v>
      </c>
      <c r="D81" s="11" t="s">
        <v>72</v>
      </c>
    </row>
    <row r="82" spans="1:7" x14ac:dyDescent="0.2">
      <c r="B82" s="12" t="s">
        <v>73</v>
      </c>
      <c r="C82" s="24">
        <v>26.1</v>
      </c>
      <c r="D82" s="26">
        <f>(0.13*B5/B12)/3.6</f>
        <v>1.3593155893536122</v>
      </c>
    </row>
    <row r="83" spans="1:7" x14ac:dyDescent="0.2">
      <c r="B83" s="9" t="s">
        <v>70</v>
      </c>
      <c r="C83" s="16">
        <v>85.2</v>
      </c>
      <c r="D83" s="17">
        <f>(1/0.01808)/B5/B12</f>
        <v>2.3603049725507863</v>
      </c>
    </row>
    <row r="85" spans="1:7" x14ac:dyDescent="0.2">
      <c r="A85" t="s">
        <v>74</v>
      </c>
    </row>
    <row r="86" spans="1:7" x14ac:dyDescent="0.2">
      <c r="A86" t="s">
        <v>56</v>
      </c>
    </row>
    <row r="87" spans="1:7" x14ac:dyDescent="0.2">
      <c r="A87" t="s">
        <v>76</v>
      </c>
      <c r="B87">
        <v>1000</v>
      </c>
      <c r="F87" s="4" t="s">
        <v>65</v>
      </c>
      <c r="G87" s="4" t="s">
        <v>66</v>
      </c>
    </row>
    <row r="88" spans="1:7" x14ac:dyDescent="0.2">
      <c r="A88" t="s">
        <v>75</v>
      </c>
      <c r="D88" t="s">
        <v>60</v>
      </c>
      <c r="F88" t="s">
        <v>62</v>
      </c>
      <c r="G88" t="s">
        <v>67</v>
      </c>
    </row>
    <row r="89" spans="1:7" x14ac:dyDescent="0.2">
      <c r="A89" t="s">
        <v>77</v>
      </c>
      <c r="B89" s="27">
        <f>C83*B12</f>
        <v>67.222800000000007</v>
      </c>
      <c r="C89" t="s">
        <v>34</v>
      </c>
      <c r="D89" s="2">
        <f>B89*(B28/B4*B12*B30)</f>
        <v>27.117745009204757</v>
      </c>
      <c r="E89" s="22" t="s">
        <v>61</v>
      </c>
      <c r="F89" s="23">
        <f>D89/(D89+D90)</f>
        <v>0.90663127883451533</v>
      </c>
      <c r="G89" s="23">
        <f>(B89*$B$5)/((B89*$B$5)+(B90*3.6))</f>
        <v>0.9550533238067046</v>
      </c>
    </row>
    <row r="90" spans="1:7" x14ac:dyDescent="0.2">
      <c r="A90" t="s">
        <v>78</v>
      </c>
      <c r="B90" s="27">
        <f>C82</f>
        <v>26.1</v>
      </c>
      <c r="C90" t="s">
        <v>59</v>
      </c>
      <c r="D90" s="2">
        <f>B90*B29</f>
        <v>2.7927</v>
      </c>
      <c r="E90" s="22" t="s">
        <v>61</v>
      </c>
      <c r="F90" s="23">
        <f>D90/(D90+D89)</f>
        <v>9.3368721165484614E-2</v>
      </c>
      <c r="G90" s="23">
        <f>1-G89</f>
        <v>4.4946676193295398E-2</v>
      </c>
    </row>
    <row r="93" spans="1:7" x14ac:dyDescent="0.2">
      <c r="A93" t="s">
        <v>79</v>
      </c>
    </row>
    <row r="94" spans="1:7" x14ac:dyDescent="0.2">
      <c r="A94" t="s">
        <v>56</v>
      </c>
    </row>
    <row r="95" spans="1:7" x14ac:dyDescent="0.2">
      <c r="A95" t="s">
        <v>80</v>
      </c>
      <c r="B95">
        <v>1000</v>
      </c>
      <c r="F95" s="4" t="s">
        <v>65</v>
      </c>
      <c r="G95" s="4" t="s">
        <v>66</v>
      </c>
    </row>
    <row r="96" spans="1:7" x14ac:dyDescent="0.2">
      <c r="A96" t="s">
        <v>75</v>
      </c>
      <c r="D96" t="s">
        <v>60</v>
      </c>
      <c r="F96" t="s">
        <v>62</v>
      </c>
      <c r="G96" t="s">
        <v>67</v>
      </c>
    </row>
    <row r="97" spans="1:7" x14ac:dyDescent="0.2">
      <c r="A97" t="s">
        <v>77</v>
      </c>
      <c r="B97" s="27">
        <f>D83*1000</f>
        <v>2360.3049725507863</v>
      </c>
      <c r="C97" t="s">
        <v>34</v>
      </c>
      <c r="D97" s="2">
        <f>B97*(B28/B4*B12*B30)</f>
        <v>952.14939558587639</v>
      </c>
      <c r="E97" s="22" t="s">
        <v>61</v>
      </c>
      <c r="F97" s="23">
        <f>D97/(D97+D98)</f>
        <v>0.73499615836189169</v>
      </c>
      <c r="G97" s="23">
        <f>(B97*$B$5)/((B97*$B$5)+(B98*3.6))</f>
        <v>0.85854189336235043</v>
      </c>
    </row>
    <row r="98" spans="1:7" x14ac:dyDescent="0.2">
      <c r="A98" t="s">
        <v>78</v>
      </c>
      <c r="B98" s="27">
        <f>D82*B97</f>
        <v>3208.3993448171336</v>
      </c>
      <c r="C98" t="s">
        <v>59</v>
      </c>
      <c r="D98" s="2">
        <f>B98*B29</f>
        <v>343.29872989543327</v>
      </c>
      <c r="E98" s="22" t="s">
        <v>61</v>
      </c>
      <c r="F98" s="23">
        <f>D98/(D98+D97)</f>
        <v>0.26500384163810831</v>
      </c>
      <c r="G98" s="23">
        <f>1-G97</f>
        <v>0.14145810663764957</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lci</vt:lpstr>
      <vt:lpstr>Parameters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2021-01-18T11:29:07Z</dcterms:created>
  <dcterms:modified xsi:type="dcterms:W3CDTF">2025-08-26T10:13:08Z</dcterms:modified>
</cp:coreProperties>
</file>